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4.xml" ContentType="application/vnd.openxmlformats-officedocument.spreadsheetml.comments+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drawings/drawing5.xml" ContentType="application/vnd.openxmlformats-officedocument.drawing+xml"/>
  <Override PartName="/xl/comments7.xml" ContentType="application/vnd.openxmlformats-officedocument.spreadsheetml.comments+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omments8.xml" ContentType="application/vnd.openxmlformats-officedocument.spreadsheetml.comments+xml"/>
  <Override PartName="/xl/drawings/drawing6.xml" ContentType="application/vnd.openxmlformats-officedocument.drawing+xml"/>
  <Override PartName="/xl/comments9.xml" ContentType="application/vnd.openxmlformats-officedocument.spreadsheetml.comments+xml"/>
  <Override PartName="/xl/charts/chart39.xml" ContentType="application/vnd.openxmlformats-officedocument.drawingml.chart+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7.xml" ContentType="application/vnd.openxmlformats-officedocument.drawing+xml"/>
  <Override PartName="/xl/comments15.xml" ContentType="application/vnd.openxmlformats-officedocument.spreadsheetml.comments+xml"/>
  <Override PartName="/xl/charts/chart40.xml" ContentType="application/vnd.openxmlformats-officedocument.drawingml.chart+xml"/>
  <Override PartName="/xl/charts/chart41.xml" ContentType="application/vnd.openxmlformats-officedocument.drawingml.chart+xml"/>
  <Override PartName="/xl/comments16.xml" ContentType="application/vnd.openxmlformats-officedocument.spreadsheetml.comments+xml"/>
  <Override PartName="/xl/drawings/drawing8.xml" ContentType="application/vnd.openxmlformats-officedocument.drawing+xml"/>
  <Override PartName="/xl/comments17.xml" ContentType="application/vnd.openxmlformats-officedocument.spreadsheetml.comments+xml"/>
  <Override PartName="/xl/charts/chart42.xml" ContentType="application/vnd.openxmlformats-officedocument.drawingml.chart+xml"/>
  <Override PartName="/xl/drawings/drawing9.xml" ContentType="application/vnd.openxmlformats-officedocument.drawing+xml"/>
  <Override PartName="/xl/comments18.xml" ContentType="application/vnd.openxmlformats-officedocument.spreadsheetml.comments+xml"/>
  <Override PartName="/xl/charts/chart43.xml" ContentType="application/vnd.openxmlformats-officedocument.drawingml.chart+xml"/>
  <Override PartName="/xl/charts/chart44.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Niranjan\MBA\NMIMS\My own Learnings\Financial Models\TVS Motor\"/>
    </mc:Choice>
  </mc:AlternateContent>
  <xr:revisionPtr revIDLastSave="0" documentId="8_{695047EE-DC57-438A-A1A2-CF966CE106F8}" xr6:coauthVersionLast="47" xr6:coauthVersionMax="47" xr10:uidLastSave="{00000000-0000-0000-0000-000000000000}"/>
  <bookViews>
    <workbookView xWindow="-108" yWindow="-108" windowWidth="23256" windowHeight="12456" tabRatio="692" xr2:uid="{00000000-000D-0000-FFFF-FFFF00000000}"/>
  </bookViews>
  <sheets>
    <sheet name="Cover Page" sheetId="1" r:id="rId1"/>
    <sheet name="Control Panel" sheetId="2" r:id="rId2"/>
    <sheet name="Balance Sheet" sheetId="8" r:id="rId3"/>
    <sheet name="Income Statement" sheetId="7" r:id="rId4"/>
    <sheet name="Cash Flows" sheetId="9" r:id="rId5"/>
    <sheet name="Graphical Representation" sheetId="4" r:id="rId6"/>
    <sheet name="Guidance &amp; Assumptions" sheetId="3" r:id="rId7"/>
    <sheet name="Revenue Segments" sheetId="5" r:id="rId8"/>
    <sheet name="Cost Structure &amp; Hedging" sheetId="6" r:id="rId9"/>
    <sheet name="Debt &amp; Cost of Capital" sheetId="10" r:id="rId10"/>
    <sheet name="DCF - FCFF" sheetId="11" r:id="rId11"/>
    <sheet name="DCF - FCFE &amp; DDM" sheetId="12" r:id="rId12"/>
    <sheet name="TVS Credit (NBFC)" sheetId="13" r:id="rId13"/>
    <sheet name="Peer Comps" sheetId="14" r:id="rId14"/>
    <sheet name="Precedent Transactions" sheetId="15" r:id="rId15"/>
    <sheet name="Asset-Based Valuation" sheetId="16" r:id="rId16"/>
    <sheet name="SOTP &amp; Football Field" sheetId="17" r:id="rId17"/>
    <sheet name="Sensitivity &amp; Scenarios" sheetId="18" r:id="rId18"/>
    <sheet name="Monte Carlo" sheetId="19" r:id="rId19"/>
    <sheet name="Credit &amp; Quality Analysis" sheetId="20" r:id="rId2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Q135" i="5" l="1"/>
  <c r="AP135" i="5"/>
  <c r="AO135" i="5"/>
  <c r="AN135" i="5"/>
  <c r="AM135" i="5"/>
  <c r="AL135" i="5"/>
  <c r="AK135" i="5"/>
  <c r="AJ135" i="5"/>
  <c r="AI135" i="5"/>
  <c r="AH135" i="5"/>
  <c r="AQ134" i="5"/>
  <c r="AP134" i="5"/>
  <c r="AO134" i="5"/>
  <c r="AN134" i="5"/>
  <c r="AM134" i="5"/>
  <c r="AL134" i="5"/>
  <c r="AK134" i="5"/>
  <c r="AJ134" i="5"/>
  <c r="AI134" i="5"/>
  <c r="AH134" i="5"/>
  <c r="AQ133" i="5"/>
  <c r="AP133" i="5"/>
  <c r="AO133" i="5"/>
  <c r="AN133" i="5"/>
  <c r="AM133" i="5"/>
  <c r="AL133" i="5"/>
  <c r="AK133" i="5"/>
  <c r="AJ133" i="5"/>
  <c r="AI133" i="5"/>
  <c r="AH133" i="5"/>
  <c r="AQ132" i="5"/>
  <c r="AP132" i="5"/>
  <c r="AO132" i="5"/>
  <c r="AN132" i="5"/>
  <c r="AM132" i="5"/>
  <c r="AL132" i="5"/>
  <c r="AK132" i="5"/>
  <c r="AJ132" i="5"/>
  <c r="AI132" i="5"/>
  <c r="AH132" i="5"/>
  <c r="AQ131" i="5"/>
  <c r="AP131" i="5"/>
  <c r="AO131" i="5"/>
  <c r="AN131" i="5"/>
  <c r="AM131" i="5"/>
  <c r="AL131" i="5"/>
  <c r="AK131" i="5"/>
  <c r="AJ131" i="5"/>
  <c r="AI131" i="5"/>
  <c r="AH131" i="5"/>
  <c r="AQ130" i="5"/>
  <c r="AP130" i="5"/>
  <c r="AO130" i="5"/>
  <c r="AN130" i="5"/>
  <c r="AM130" i="5"/>
  <c r="AL130" i="5"/>
  <c r="AK130" i="5"/>
  <c r="AJ130" i="5"/>
  <c r="AI130" i="5"/>
  <c r="AH130" i="5"/>
  <c r="AQ129" i="5"/>
  <c r="AP129" i="5"/>
  <c r="AO129" i="5"/>
  <c r="AN129" i="5"/>
  <c r="AM129" i="5"/>
  <c r="AL129" i="5"/>
  <c r="AK129" i="5"/>
  <c r="AJ129" i="5"/>
  <c r="AI129" i="5"/>
  <c r="AH129" i="5"/>
  <c r="AQ128" i="5"/>
  <c r="AP128" i="5"/>
  <c r="AO128" i="5"/>
  <c r="AN128" i="5"/>
  <c r="AM128" i="5"/>
  <c r="AL128" i="5"/>
  <c r="AK128" i="5"/>
  <c r="AJ128" i="5"/>
  <c r="AI128" i="5"/>
  <c r="AH128" i="5"/>
  <c r="AQ127" i="5"/>
  <c r="AP127" i="5"/>
  <c r="AO127" i="5"/>
  <c r="AN127" i="5"/>
  <c r="AM127" i="5"/>
  <c r="AL127" i="5"/>
  <c r="AK127" i="5"/>
  <c r="AJ127" i="5"/>
  <c r="AI127" i="5"/>
  <c r="AH127" i="5"/>
  <c r="AQ126" i="5"/>
  <c r="AP126" i="5"/>
  <c r="AO126" i="5"/>
  <c r="AN126" i="5"/>
  <c r="AM126" i="5"/>
  <c r="AL126" i="5"/>
  <c r="AK126" i="5"/>
  <c r="AJ126" i="5"/>
  <c r="AI126" i="5"/>
  <c r="AH126" i="5"/>
  <c r="G69" i="20"/>
  <c r="F69" i="20"/>
  <c r="E69" i="20"/>
  <c r="D69" i="20"/>
  <c r="C69" i="20"/>
  <c r="G50" i="20"/>
  <c r="F50" i="20"/>
  <c r="E50" i="20"/>
  <c r="D50" i="20"/>
  <c r="G37" i="20"/>
  <c r="F37" i="20"/>
  <c r="E37" i="20"/>
  <c r="D37" i="20"/>
  <c r="G36" i="20"/>
  <c r="F36" i="20"/>
  <c r="E36" i="20"/>
  <c r="D36" i="20"/>
  <c r="G31" i="20"/>
  <c r="F31" i="20"/>
  <c r="E31" i="20"/>
  <c r="D31" i="20"/>
  <c r="C24" i="19"/>
  <c r="C54" i="18"/>
  <c r="C55" i="18" s="1"/>
  <c r="C12" i="18"/>
  <c r="E70" i="17"/>
  <c r="E265" i="4" s="1"/>
  <c r="E69" i="17"/>
  <c r="E264" i="4" s="1"/>
  <c r="E68" i="17"/>
  <c r="E263" i="4" s="1"/>
  <c r="E67" i="17"/>
  <c r="E66" i="17"/>
  <c r="E65" i="17"/>
  <c r="E64" i="17"/>
  <c r="C51" i="17"/>
  <c r="D47" i="17"/>
  <c r="D46" i="17"/>
  <c r="D45" i="17"/>
  <c r="D44" i="17"/>
  <c r="D43" i="17"/>
  <c r="D42" i="17"/>
  <c r="D41" i="17"/>
  <c r="D37" i="17"/>
  <c r="C15" i="17"/>
  <c r="C17" i="16" s="1"/>
  <c r="C31" i="16"/>
  <c r="C26" i="16"/>
  <c r="C28" i="16" s="1"/>
  <c r="C15" i="16"/>
  <c r="C8" i="16"/>
  <c r="C14" i="16" s="1"/>
  <c r="C7" i="16"/>
  <c r="C6" i="16"/>
  <c r="C20" i="15"/>
  <c r="C18" i="15"/>
  <c r="G14" i="15"/>
  <c r="G12" i="15"/>
  <c r="G11" i="15"/>
  <c r="G10" i="15"/>
  <c r="G9" i="15"/>
  <c r="G8" i="15"/>
  <c r="G17" i="14"/>
  <c r="D17" i="14"/>
  <c r="D248" i="4" s="1"/>
  <c r="B17" i="14"/>
  <c r="G16" i="14"/>
  <c r="D16" i="14"/>
  <c r="D247" i="4" s="1"/>
  <c r="B16" i="14"/>
  <c r="G15" i="14"/>
  <c r="G19" i="14" s="1"/>
  <c r="D15" i="14"/>
  <c r="B15" i="14"/>
  <c r="J10" i="14"/>
  <c r="G10" i="14"/>
  <c r="E10" i="14"/>
  <c r="F17" i="14" s="1"/>
  <c r="E248" i="4" s="1"/>
  <c r="K9" i="14"/>
  <c r="E16" i="14" s="1"/>
  <c r="J9" i="14"/>
  <c r="C16" i="14" s="1"/>
  <c r="G9" i="14"/>
  <c r="E9" i="14"/>
  <c r="F16" i="14" s="1"/>
  <c r="E247" i="4" s="1"/>
  <c r="J8" i="14"/>
  <c r="C15" i="14" s="1"/>
  <c r="C246" i="4" s="1"/>
  <c r="G8" i="14"/>
  <c r="E8" i="14"/>
  <c r="F15" i="14" s="1"/>
  <c r="E246" i="4" s="1"/>
  <c r="C55" i="13"/>
  <c r="C44" i="13"/>
  <c r="C51" i="13" s="1"/>
  <c r="C56" i="2" s="1"/>
  <c r="C26" i="13"/>
  <c r="G22" i="13"/>
  <c r="F22" i="13"/>
  <c r="E22" i="13"/>
  <c r="D22" i="13"/>
  <c r="C22" i="13"/>
  <c r="G21" i="13"/>
  <c r="F21" i="13"/>
  <c r="E21" i="13"/>
  <c r="D21" i="13"/>
  <c r="C21" i="13"/>
  <c r="G20" i="13"/>
  <c r="F20" i="13"/>
  <c r="E20" i="13"/>
  <c r="D20" i="13"/>
  <c r="C20" i="13"/>
  <c r="G19" i="13"/>
  <c r="C33" i="13" s="1"/>
  <c r="F19" i="13"/>
  <c r="E19" i="13"/>
  <c r="D19" i="13"/>
  <c r="C19" i="13"/>
  <c r="G17" i="13"/>
  <c r="F17" i="13"/>
  <c r="E17" i="13"/>
  <c r="D17" i="13"/>
  <c r="G13" i="13"/>
  <c r="F13" i="13"/>
  <c r="E13" i="13"/>
  <c r="D13" i="13"/>
  <c r="C53" i="12"/>
  <c r="H16" i="12"/>
  <c r="H13" i="12"/>
  <c r="G13" i="12"/>
  <c r="F13" i="12"/>
  <c r="E13" i="12"/>
  <c r="H11" i="12"/>
  <c r="G11" i="12"/>
  <c r="F11" i="12"/>
  <c r="E11" i="12"/>
  <c r="D11" i="12"/>
  <c r="C9" i="12"/>
  <c r="C8" i="12"/>
  <c r="C96" i="11"/>
  <c r="C57" i="11"/>
  <c r="C56" i="11"/>
  <c r="H35" i="11"/>
  <c r="G35" i="11"/>
  <c r="G16" i="12" s="1"/>
  <c r="F35" i="11"/>
  <c r="F16" i="12" s="1"/>
  <c r="E35" i="11"/>
  <c r="E16" i="12" s="1"/>
  <c r="D35" i="11"/>
  <c r="D16" i="12" s="1"/>
  <c r="C30" i="11"/>
  <c r="C25" i="11"/>
  <c r="C29" i="11" s="1"/>
  <c r="C16" i="11"/>
  <c r="C17" i="11" s="1"/>
  <c r="C6" i="11"/>
  <c r="F75" i="10"/>
  <c r="E75" i="10"/>
  <c r="D75" i="10"/>
  <c r="C75" i="10"/>
  <c r="C63" i="10"/>
  <c r="C62" i="10"/>
  <c r="C64" i="10" s="1"/>
  <c r="C61" i="10"/>
  <c r="C56" i="10"/>
  <c r="C51" i="10"/>
  <c r="C50" i="10"/>
  <c r="H11" i="14" s="1"/>
  <c r="C39" i="10"/>
  <c r="C7" i="11" s="1"/>
  <c r="C38" i="10"/>
  <c r="C35" i="13" s="1"/>
  <c r="C31" i="10"/>
  <c r="C10" i="11" s="1"/>
  <c r="C29" i="10"/>
  <c r="C14" i="10"/>
  <c r="C13" i="10"/>
  <c r="C15" i="10" s="1"/>
  <c r="G34" i="9"/>
  <c r="F34" i="9"/>
  <c r="E34" i="9"/>
  <c r="D34" i="9"/>
  <c r="C34" i="9"/>
  <c r="H33" i="9"/>
  <c r="G33" i="9"/>
  <c r="F33" i="9"/>
  <c r="E33" i="9"/>
  <c r="D33" i="9"/>
  <c r="G28" i="9"/>
  <c r="F28" i="9"/>
  <c r="E28" i="9"/>
  <c r="D28" i="9"/>
  <c r="C28" i="9"/>
  <c r="L26" i="9"/>
  <c r="K26" i="9"/>
  <c r="J26" i="9"/>
  <c r="I26" i="9"/>
  <c r="H26" i="9"/>
  <c r="G21" i="9"/>
  <c r="F21" i="9"/>
  <c r="E21" i="9"/>
  <c r="D21" i="9"/>
  <c r="G20" i="9"/>
  <c r="F20" i="9"/>
  <c r="F22" i="9" s="1"/>
  <c r="E20" i="9"/>
  <c r="E22" i="9" s="1"/>
  <c r="D20" i="9"/>
  <c r="D22" i="9" s="1"/>
  <c r="C20" i="9"/>
  <c r="C22" i="9" s="1"/>
  <c r="G14" i="9"/>
  <c r="F14" i="9"/>
  <c r="E14" i="9"/>
  <c r="D14" i="9"/>
  <c r="C14" i="9"/>
  <c r="G10" i="9"/>
  <c r="F10" i="9"/>
  <c r="E10" i="9"/>
  <c r="D10" i="9"/>
  <c r="C10" i="9"/>
  <c r="G9" i="9"/>
  <c r="F9" i="9"/>
  <c r="E9" i="9"/>
  <c r="D9" i="9"/>
  <c r="C9" i="9"/>
  <c r="G8" i="9"/>
  <c r="F8" i="9"/>
  <c r="E8" i="9"/>
  <c r="D8" i="9"/>
  <c r="C8" i="9"/>
  <c r="L55" i="8"/>
  <c r="K55" i="8"/>
  <c r="J55" i="8"/>
  <c r="I55" i="8"/>
  <c r="H55" i="8"/>
  <c r="G53" i="8"/>
  <c r="H51" i="8" s="1"/>
  <c r="H53" i="8" s="1"/>
  <c r="F53" i="8"/>
  <c r="G51" i="8" s="1"/>
  <c r="E53" i="8"/>
  <c r="D53" i="8"/>
  <c r="C53" i="8"/>
  <c r="D51" i="8" s="1"/>
  <c r="G47" i="8"/>
  <c r="F47" i="8"/>
  <c r="G44" i="8" s="1"/>
  <c r="G49" i="8" s="1"/>
  <c r="E47" i="8"/>
  <c r="F44" i="8" s="1"/>
  <c r="F49" i="8" s="1"/>
  <c r="D47" i="8"/>
  <c r="C47" i="8"/>
  <c r="D44" i="8" s="1"/>
  <c r="D49" i="8" s="1"/>
  <c r="H44" i="8"/>
  <c r="E44" i="8"/>
  <c r="E49" i="8" s="1"/>
  <c r="G39" i="8"/>
  <c r="G223" i="4" s="1"/>
  <c r="F39" i="8"/>
  <c r="F223" i="4" s="1"/>
  <c r="E39" i="8"/>
  <c r="D39" i="8"/>
  <c r="D223" i="4" s="1"/>
  <c r="C39" i="8"/>
  <c r="C223" i="4" s="1"/>
  <c r="H38" i="8"/>
  <c r="H37" i="8"/>
  <c r="I37" i="8" s="1"/>
  <c r="H36" i="8"/>
  <c r="H220" i="4" s="1"/>
  <c r="G32" i="8"/>
  <c r="F32" i="8"/>
  <c r="E32" i="8"/>
  <c r="D32" i="8"/>
  <c r="C32" i="8"/>
  <c r="G26" i="8"/>
  <c r="C19" i="16" s="1"/>
  <c r="F26" i="8"/>
  <c r="E26" i="8"/>
  <c r="D26" i="8"/>
  <c r="C26" i="8"/>
  <c r="G24" i="8"/>
  <c r="F24" i="8"/>
  <c r="F226" i="4" s="1"/>
  <c r="E24" i="8"/>
  <c r="E226" i="4" s="1"/>
  <c r="D24" i="8"/>
  <c r="C24" i="8"/>
  <c r="C226" i="4" s="1"/>
  <c r="H23" i="8"/>
  <c r="I23" i="8" s="1"/>
  <c r="J21" i="8"/>
  <c r="K21" i="8" s="1"/>
  <c r="K100" i="6" s="1"/>
  <c r="H21" i="8"/>
  <c r="I21" i="8" s="1"/>
  <c r="G14" i="8"/>
  <c r="G15" i="8" s="1"/>
  <c r="F14" i="8"/>
  <c r="F15" i="8" s="1"/>
  <c r="E14" i="8"/>
  <c r="E15" i="8" s="1"/>
  <c r="D14" i="8"/>
  <c r="D15" i="8" s="1"/>
  <c r="C14" i="8"/>
  <c r="C15" i="8" s="1"/>
  <c r="G11" i="8"/>
  <c r="M11" i="14" s="1"/>
  <c r="F11" i="8"/>
  <c r="N64" i="7" s="1"/>
  <c r="F255" i="4" s="1"/>
  <c r="E11" i="8"/>
  <c r="E17" i="8" s="1"/>
  <c r="E33" i="8" s="1"/>
  <c r="D11" i="8"/>
  <c r="H64" i="7" s="1"/>
  <c r="D255" i="4" s="1"/>
  <c r="C11" i="8"/>
  <c r="C17" i="8" s="1"/>
  <c r="C33" i="8" s="1"/>
  <c r="H8" i="8"/>
  <c r="Q48" i="7"/>
  <c r="G23" i="20" s="1"/>
  <c r="N48" i="7"/>
  <c r="K48" i="7"/>
  <c r="E23" i="20" s="1"/>
  <c r="H48" i="7"/>
  <c r="D23" i="20" s="1"/>
  <c r="E48" i="7"/>
  <c r="AF44" i="7"/>
  <c r="AC44" i="7"/>
  <c r="Z44" i="7"/>
  <c r="W44" i="7"/>
  <c r="T44" i="7"/>
  <c r="O33" i="7"/>
  <c r="P33" i="7" s="1"/>
  <c r="L33" i="7"/>
  <c r="M33" i="7" s="1"/>
  <c r="I33" i="7"/>
  <c r="J33" i="7" s="1"/>
  <c r="F33" i="7"/>
  <c r="G33" i="7" s="1"/>
  <c r="C33" i="7"/>
  <c r="D33" i="7" s="1"/>
  <c r="O26" i="7"/>
  <c r="P26" i="7" s="1"/>
  <c r="L26" i="7"/>
  <c r="M26" i="7" s="1"/>
  <c r="I26" i="7"/>
  <c r="J26" i="7" s="1"/>
  <c r="F26" i="7"/>
  <c r="G26" i="7" s="1"/>
  <c r="C26" i="7"/>
  <c r="D26" i="7" s="1"/>
  <c r="AF25" i="7"/>
  <c r="AC25" i="7"/>
  <c r="AA25" i="7" s="1"/>
  <c r="Z25" i="7"/>
  <c r="J10" i="9" s="1"/>
  <c r="X25" i="7"/>
  <c r="Y25" i="7" s="1"/>
  <c r="W25" i="7"/>
  <c r="I10" i="9" s="1"/>
  <c r="T25" i="7"/>
  <c r="R25" i="7" s="1"/>
  <c r="O25" i="7"/>
  <c r="P25" i="7" s="1"/>
  <c r="L25" i="7"/>
  <c r="M25" i="7" s="1"/>
  <c r="I25" i="7"/>
  <c r="J25" i="7" s="1"/>
  <c r="F25" i="7"/>
  <c r="G25" i="7" s="1"/>
  <c r="C25" i="7"/>
  <c r="D25" i="7" s="1"/>
  <c r="O21" i="7"/>
  <c r="P21" i="7" s="1"/>
  <c r="L21" i="7"/>
  <c r="M21" i="7" s="1"/>
  <c r="I21" i="7"/>
  <c r="J21" i="7" s="1"/>
  <c r="F21" i="7"/>
  <c r="G21" i="7" s="1"/>
  <c r="C21" i="7"/>
  <c r="D21" i="7" s="1"/>
  <c r="Q16" i="7"/>
  <c r="N16" i="7"/>
  <c r="K16" i="7"/>
  <c r="H16" i="7"/>
  <c r="E16" i="7"/>
  <c r="I100" i="6"/>
  <c r="H100" i="6"/>
  <c r="G100" i="6"/>
  <c r="F100" i="6"/>
  <c r="E100" i="6"/>
  <c r="D100" i="6"/>
  <c r="C100" i="6"/>
  <c r="G97" i="6"/>
  <c r="F97" i="6"/>
  <c r="F240" i="4" s="1"/>
  <c r="E97" i="6"/>
  <c r="D97" i="6"/>
  <c r="C97" i="6"/>
  <c r="C76" i="6"/>
  <c r="C51" i="6"/>
  <c r="C50" i="6"/>
  <c r="C49" i="6"/>
  <c r="C48" i="6"/>
  <c r="C47" i="6"/>
  <c r="C46" i="6"/>
  <c r="C45" i="6"/>
  <c r="C44" i="6"/>
  <c r="C38" i="6"/>
  <c r="G11" i="6"/>
  <c r="F11" i="6"/>
  <c r="E11" i="6"/>
  <c r="D11" i="6"/>
  <c r="C11" i="6"/>
  <c r="G9" i="6"/>
  <c r="F9" i="6"/>
  <c r="E9" i="6"/>
  <c r="D9" i="6"/>
  <c r="C9" i="6"/>
  <c r="G7" i="6"/>
  <c r="D36" i="6" s="1"/>
  <c r="F7" i="6"/>
  <c r="F72" i="6" s="1"/>
  <c r="E7" i="6"/>
  <c r="D7" i="6"/>
  <c r="C7" i="6"/>
  <c r="C72" i="6" s="1"/>
  <c r="L233" i="4"/>
  <c r="K233" i="4"/>
  <c r="J233" i="4"/>
  <c r="I233" i="4"/>
  <c r="H233" i="4"/>
  <c r="G233" i="4"/>
  <c r="G206" i="4"/>
  <c r="E206" i="4"/>
  <c r="G203" i="4"/>
  <c r="G202" i="4"/>
  <c r="C202" i="4"/>
  <c r="E71" i="5"/>
  <c r="C230" i="4" s="1"/>
  <c r="Q70" i="5"/>
  <c r="Q71" i="5" s="1"/>
  <c r="G230" i="4" s="1"/>
  <c r="N70" i="5"/>
  <c r="N71" i="5" s="1"/>
  <c r="F230" i="4" s="1"/>
  <c r="K70" i="5"/>
  <c r="E229" i="4" s="1"/>
  <c r="H70" i="5"/>
  <c r="H71" i="5" s="1"/>
  <c r="D230" i="4" s="1"/>
  <c r="E70" i="5"/>
  <c r="Q68" i="5"/>
  <c r="G219" i="4" s="1"/>
  <c r="N68" i="5"/>
  <c r="K68" i="5"/>
  <c r="E219" i="4" s="1"/>
  <c r="H68" i="5"/>
  <c r="E68" i="5"/>
  <c r="AF61" i="5"/>
  <c r="AC61" i="5"/>
  <c r="Z61" i="5"/>
  <c r="W61" i="5"/>
  <c r="T61" i="5"/>
  <c r="Q59" i="5"/>
  <c r="N59" i="5"/>
  <c r="K59" i="5"/>
  <c r="H59" i="5"/>
  <c r="Q58" i="5"/>
  <c r="Q61" i="5" s="1"/>
  <c r="O58" i="5"/>
  <c r="O61" i="5" s="1"/>
  <c r="K58" i="5"/>
  <c r="P57" i="5"/>
  <c r="M57" i="5"/>
  <c r="J57" i="5"/>
  <c r="G57" i="5"/>
  <c r="D57" i="5"/>
  <c r="P51" i="5"/>
  <c r="M51" i="5"/>
  <c r="J51" i="5"/>
  <c r="G51" i="5"/>
  <c r="D51" i="5"/>
  <c r="Q42" i="5"/>
  <c r="G218" i="4" s="1"/>
  <c r="O42" i="5"/>
  <c r="O60" i="5" s="1"/>
  <c r="N42" i="5"/>
  <c r="L42" i="5"/>
  <c r="K42" i="5"/>
  <c r="E218" i="4" s="1"/>
  <c r="I42" i="5"/>
  <c r="I58" i="5" s="1"/>
  <c r="I61" i="5" s="1"/>
  <c r="H42" i="5"/>
  <c r="D19" i="6" s="1"/>
  <c r="F42" i="5"/>
  <c r="E42" i="5"/>
  <c r="E58" i="5" s="1"/>
  <c r="C42" i="5"/>
  <c r="C60" i="5" s="1"/>
  <c r="Q40" i="5"/>
  <c r="N40" i="5"/>
  <c r="F206" i="4" s="1"/>
  <c r="K40" i="5"/>
  <c r="H40" i="5"/>
  <c r="D206" i="4" s="1"/>
  <c r="F40" i="5"/>
  <c r="E40" i="5"/>
  <c r="C206" i="4" s="1"/>
  <c r="C40" i="5"/>
  <c r="Q39" i="5"/>
  <c r="N39" i="5"/>
  <c r="K39" i="5"/>
  <c r="H39" i="5"/>
  <c r="T38" i="5"/>
  <c r="W38" i="5" s="1"/>
  <c r="S38" i="5"/>
  <c r="R38" i="5"/>
  <c r="P38" i="5"/>
  <c r="O38" i="5"/>
  <c r="O40" i="5" s="1"/>
  <c r="M38" i="5"/>
  <c r="L38" i="5"/>
  <c r="L40" i="5" s="1"/>
  <c r="J38" i="5"/>
  <c r="I38" i="5"/>
  <c r="I40" i="5" s="1"/>
  <c r="G38" i="5"/>
  <c r="F38" i="5"/>
  <c r="D38" i="5"/>
  <c r="C38" i="5"/>
  <c r="Q37" i="5"/>
  <c r="N37" i="5"/>
  <c r="K37" i="5"/>
  <c r="H37" i="5"/>
  <c r="P36" i="5"/>
  <c r="P40" i="5" s="1"/>
  <c r="M36" i="5"/>
  <c r="J36" i="5"/>
  <c r="G36" i="5"/>
  <c r="G40" i="5" s="1"/>
  <c r="D36" i="5"/>
  <c r="Q33" i="5"/>
  <c r="G205" i="4" s="1"/>
  <c r="N33" i="5"/>
  <c r="F205" i="4" s="1"/>
  <c r="K33" i="5"/>
  <c r="E205" i="4" s="1"/>
  <c r="H33" i="5"/>
  <c r="E33" i="5"/>
  <c r="C205" i="4" s="1"/>
  <c r="Q32" i="5"/>
  <c r="N32" i="5"/>
  <c r="K32" i="5"/>
  <c r="H32" i="5"/>
  <c r="T31" i="5"/>
  <c r="P31" i="5"/>
  <c r="O31" i="5"/>
  <c r="O33" i="5" s="1"/>
  <c r="M31" i="5"/>
  <c r="L31" i="5"/>
  <c r="L33" i="5" s="1"/>
  <c r="J31" i="5"/>
  <c r="I31" i="5"/>
  <c r="I33" i="5" s="1"/>
  <c r="G31" i="5"/>
  <c r="F31" i="5"/>
  <c r="F33" i="5" s="1"/>
  <c r="D31" i="5"/>
  <c r="C31" i="5"/>
  <c r="C33" i="5" s="1"/>
  <c r="Q30" i="5"/>
  <c r="N30" i="5"/>
  <c r="K30" i="5"/>
  <c r="H30" i="5"/>
  <c r="P29" i="5"/>
  <c r="P33" i="5" s="1"/>
  <c r="M29" i="5"/>
  <c r="M33" i="5" s="1"/>
  <c r="J29" i="5"/>
  <c r="J33" i="5" s="1"/>
  <c r="G29" i="5"/>
  <c r="D29" i="5"/>
  <c r="Q26" i="5"/>
  <c r="G204" i="4" s="1"/>
  <c r="N26" i="5"/>
  <c r="F204" i="4" s="1"/>
  <c r="K26" i="5"/>
  <c r="E204" i="4" s="1"/>
  <c r="H26" i="5"/>
  <c r="E26" i="5"/>
  <c r="C204" i="4" s="1"/>
  <c r="Q25" i="5"/>
  <c r="N25" i="5"/>
  <c r="K25" i="5"/>
  <c r="H25" i="5"/>
  <c r="T24" i="5"/>
  <c r="S24" i="5" s="1"/>
  <c r="P24" i="5"/>
  <c r="O24" i="5"/>
  <c r="O26" i="5" s="1"/>
  <c r="M24" i="5"/>
  <c r="M26" i="5" s="1"/>
  <c r="L24" i="5"/>
  <c r="L26" i="5" s="1"/>
  <c r="J24" i="5"/>
  <c r="J26" i="5" s="1"/>
  <c r="I24" i="5"/>
  <c r="I26" i="5" s="1"/>
  <c r="G24" i="5"/>
  <c r="F24" i="5"/>
  <c r="F26" i="5" s="1"/>
  <c r="D24" i="5"/>
  <c r="D26" i="5" s="1"/>
  <c r="C24" i="5"/>
  <c r="C26" i="5" s="1"/>
  <c r="Q23" i="5"/>
  <c r="N23" i="5"/>
  <c r="K23" i="5"/>
  <c r="H23" i="5"/>
  <c r="P22" i="5"/>
  <c r="P26" i="5" s="1"/>
  <c r="M22" i="5"/>
  <c r="J22" i="5"/>
  <c r="G22" i="5"/>
  <c r="G26" i="5" s="1"/>
  <c r="D22" i="5"/>
  <c r="Q19" i="5"/>
  <c r="N19" i="5"/>
  <c r="F203" i="4" s="1"/>
  <c r="K19" i="5"/>
  <c r="E203" i="4" s="1"/>
  <c r="J19" i="5"/>
  <c r="H19" i="5"/>
  <c r="E19" i="5"/>
  <c r="C203" i="4" s="1"/>
  <c r="Q18" i="5"/>
  <c r="N18" i="5"/>
  <c r="K18" i="5"/>
  <c r="H18" i="5"/>
  <c r="W17" i="5"/>
  <c r="U17" i="5" s="1"/>
  <c r="T17" i="5"/>
  <c r="S17" i="5"/>
  <c r="R17" i="5"/>
  <c r="P17" i="5"/>
  <c r="O17" i="5"/>
  <c r="O19" i="5" s="1"/>
  <c r="M17" i="5"/>
  <c r="L17" i="5"/>
  <c r="L19" i="5" s="1"/>
  <c r="J17" i="5"/>
  <c r="I17" i="5"/>
  <c r="I19" i="5" s="1"/>
  <c r="G17" i="5"/>
  <c r="F17" i="5"/>
  <c r="F19" i="5" s="1"/>
  <c r="D17" i="5"/>
  <c r="D19" i="5" s="1"/>
  <c r="C17" i="5"/>
  <c r="C19" i="5" s="1"/>
  <c r="Q16" i="5"/>
  <c r="N16" i="5"/>
  <c r="K16" i="5"/>
  <c r="H16" i="5"/>
  <c r="P15" i="5"/>
  <c r="P19" i="5" s="1"/>
  <c r="M15" i="5"/>
  <c r="J15" i="5"/>
  <c r="G15" i="5"/>
  <c r="G19" i="5" s="1"/>
  <c r="D15" i="5"/>
  <c r="Q12" i="5"/>
  <c r="N12" i="5"/>
  <c r="K12" i="5"/>
  <c r="E202" i="4" s="1"/>
  <c r="H12" i="5"/>
  <c r="D202" i="4" s="1"/>
  <c r="E12" i="5"/>
  <c r="Q11" i="5"/>
  <c r="N11" i="5"/>
  <c r="K11" i="5"/>
  <c r="H11" i="5"/>
  <c r="W10" i="5"/>
  <c r="U10" i="5" s="1"/>
  <c r="T10" i="5"/>
  <c r="S10" i="5" s="1"/>
  <c r="P10" i="5"/>
  <c r="O10" i="5"/>
  <c r="O12" i="5" s="1"/>
  <c r="M10" i="5"/>
  <c r="L10" i="5"/>
  <c r="L12" i="5" s="1"/>
  <c r="L45" i="5" s="1"/>
  <c r="L47" i="5" s="1"/>
  <c r="L48" i="5" s="1"/>
  <c r="J10" i="5"/>
  <c r="I10" i="5"/>
  <c r="I12" i="5" s="1"/>
  <c r="G10" i="5"/>
  <c r="F10" i="5"/>
  <c r="F12" i="5" s="1"/>
  <c r="D10" i="5"/>
  <c r="C10" i="5"/>
  <c r="C12" i="5" s="1"/>
  <c r="Q9" i="5"/>
  <c r="N9" i="5"/>
  <c r="K9" i="5"/>
  <c r="H9" i="5"/>
  <c r="P8" i="5"/>
  <c r="M8" i="5"/>
  <c r="J8" i="5"/>
  <c r="G8" i="5"/>
  <c r="G12" i="5" s="1"/>
  <c r="D8" i="5"/>
  <c r="C306" i="4"/>
  <c r="C278" i="4"/>
  <c r="B271" i="4"/>
  <c r="B270" i="4"/>
  <c r="B269" i="4"/>
  <c r="B265" i="4"/>
  <c r="B264" i="4"/>
  <c r="B263" i="4"/>
  <c r="E262" i="4"/>
  <c r="B262" i="4"/>
  <c r="E261" i="4"/>
  <c r="B261" i="4"/>
  <c r="E260" i="4"/>
  <c r="B260" i="4"/>
  <c r="E259" i="4"/>
  <c r="B259" i="4"/>
  <c r="F248" i="4"/>
  <c r="F247" i="4"/>
  <c r="C247" i="4"/>
  <c r="D246" i="4"/>
  <c r="G240" i="4"/>
  <c r="E240" i="4"/>
  <c r="D240" i="4"/>
  <c r="C240" i="4"/>
  <c r="G229" i="4"/>
  <c r="D229" i="4"/>
  <c r="C229" i="4"/>
  <c r="G226" i="4"/>
  <c r="D226" i="4"/>
  <c r="E223" i="4"/>
  <c r="H222" i="4"/>
  <c r="G222" i="4"/>
  <c r="F222" i="4"/>
  <c r="E222" i="4"/>
  <c r="D222" i="4"/>
  <c r="C222" i="4"/>
  <c r="G221" i="4"/>
  <c r="F221" i="4"/>
  <c r="E221" i="4"/>
  <c r="D221" i="4"/>
  <c r="C221" i="4"/>
  <c r="G220" i="4"/>
  <c r="F220" i="4"/>
  <c r="E220" i="4"/>
  <c r="D220" i="4"/>
  <c r="C220" i="4"/>
  <c r="F219" i="4"/>
  <c r="D219" i="4"/>
  <c r="C219" i="4"/>
  <c r="L217" i="4"/>
  <c r="K217" i="4"/>
  <c r="J217" i="4"/>
  <c r="I217" i="4"/>
  <c r="H217" i="4"/>
  <c r="G217" i="4"/>
  <c r="F217" i="4"/>
  <c r="E217" i="4"/>
  <c r="D217" i="4"/>
  <c r="C217" i="4"/>
  <c r="G216" i="4"/>
  <c r="F216" i="4"/>
  <c r="E216" i="4"/>
  <c r="D216" i="4"/>
  <c r="C216" i="4"/>
  <c r="G214" i="4"/>
  <c r="F214" i="4"/>
  <c r="E214" i="4"/>
  <c r="D214" i="4"/>
  <c r="C214" i="4"/>
  <c r="D205" i="4"/>
  <c r="D203" i="4"/>
  <c r="G34" i="3"/>
  <c r="F34" i="3"/>
  <c r="E34" i="3"/>
  <c r="D34" i="3"/>
  <c r="C34" i="3"/>
  <c r="G31" i="3"/>
  <c r="F31" i="3"/>
  <c r="E31" i="3"/>
  <c r="D31" i="3"/>
  <c r="C31" i="3"/>
  <c r="C27" i="3"/>
  <c r="C54" i="6" s="1"/>
  <c r="C79" i="2"/>
  <c r="E10" i="19" s="1"/>
  <c r="C78" i="2"/>
  <c r="C77" i="2"/>
  <c r="C76" i="2"/>
  <c r="C40" i="3" s="1"/>
  <c r="T36" i="5" s="1"/>
  <c r="J67" i="2"/>
  <c r="J66" i="2"/>
  <c r="J65" i="2"/>
  <c r="D61" i="2"/>
  <c r="C25" i="2"/>
  <c r="C20" i="2"/>
  <c r="G72" i="6" l="1"/>
  <c r="AB25" i="7"/>
  <c r="J37" i="8"/>
  <c r="I221" i="4"/>
  <c r="F45" i="5"/>
  <c r="F44" i="5" s="1"/>
  <c r="F63" i="5" s="1"/>
  <c r="F64" i="5" s="1"/>
  <c r="V38" i="5"/>
  <c r="U38" i="5"/>
  <c r="K45" i="5"/>
  <c r="K44" i="5" s="1"/>
  <c r="C58" i="5"/>
  <c r="C61" i="5" s="1"/>
  <c r="C52" i="6"/>
  <c r="D19" i="14"/>
  <c r="D59" i="2" s="1"/>
  <c r="C39" i="14" s="1"/>
  <c r="H221" i="4"/>
  <c r="M19" i="5"/>
  <c r="H58" i="5"/>
  <c r="H61" i="5" s="1"/>
  <c r="L21" i="8"/>
  <c r="L100" i="6" s="1"/>
  <c r="D52" i="8"/>
  <c r="D26" i="9" s="1"/>
  <c r="F229" i="4"/>
  <c r="F246" i="4"/>
  <c r="U25" i="7"/>
  <c r="V25" i="7" s="1"/>
  <c r="K8" i="14"/>
  <c r="E15" i="14" s="1"/>
  <c r="D42" i="5"/>
  <c r="D60" i="5" s="1"/>
  <c r="D12" i="5"/>
  <c r="J40" i="5"/>
  <c r="E45" i="5"/>
  <c r="E47" i="5" s="1"/>
  <c r="E48" i="5" s="1"/>
  <c r="M40" i="5"/>
  <c r="J12" i="5"/>
  <c r="I36" i="8"/>
  <c r="I39" i="8" s="1"/>
  <c r="I223" i="4" s="1"/>
  <c r="D13" i="10"/>
  <c r="C27" i="10" s="1"/>
  <c r="O45" i="5"/>
  <c r="O50" i="5" s="1"/>
  <c r="J42" i="5"/>
  <c r="J100" i="6"/>
  <c r="R10" i="5"/>
  <c r="K43" i="5"/>
  <c r="K60" i="5"/>
  <c r="G19" i="6"/>
  <c r="G99" i="6" s="1"/>
  <c r="E60" i="20"/>
  <c r="G33" i="5"/>
  <c r="Q43" i="5"/>
  <c r="Q60" i="5"/>
  <c r="D32" i="6"/>
  <c r="K64" i="7"/>
  <c r="E255" i="4" s="1"/>
  <c r="F17" i="8"/>
  <c r="F33" i="8" s="1"/>
  <c r="E51" i="8"/>
  <c r="E54" i="8" s="1"/>
  <c r="E55" i="8" s="1"/>
  <c r="G18" i="14"/>
  <c r="Q64" i="7"/>
  <c r="G255" i="4" s="1"/>
  <c r="G17" i="8"/>
  <c r="G33" i="8" s="1"/>
  <c r="V10" i="5"/>
  <c r="D33" i="5"/>
  <c r="D24" i="6"/>
  <c r="D99" i="6"/>
  <c r="J60" i="5"/>
  <c r="J58" i="5"/>
  <c r="J61" i="5" s="1"/>
  <c r="E61" i="5"/>
  <c r="C233" i="4"/>
  <c r="T40" i="5"/>
  <c r="H206" i="4" s="1"/>
  <c r="W36" i="5"/>
  <c r="R36" i="5"/>
  <c r="R40" i="5" s="1"/>
  <c r="O47" i="5"/>
  <c r="O48" i="5" s="1"/>
  <c r="O44" i="5"/>
  <c r="O63" i="5" s="1"/>
  <c r="O64" i="5" s="1"/>
  <c r="F202" i="4"/>
  <c r="N45" i="5"/>
  <c r="W31" i="5"/>
  <c r="S31" i="5"/>
  <c r="R31" i="5"/>
  <c r="I45" i="5"/>
  <c r="Q45" i="5"/>
  <c r="W24" i="5"/>
  <c r="R24" i="5"/>
  <c r="F60" i="20"/>
  <c r="G42" i="5"/>
  <c r="D218" i="4"/>
  <c r="H60" i="5"/>
  <c r="D21" i="6"/>
  <c r="D64" i="6" s="1"/>
  <c r="I51" i="8"/>
  <c r="H13" i="8"/>
  <c r="H54" i="8"/>
  <c r="H56" i="8" s="1"/>
  <c r="G45" i="5"/>
  <c r="D204" i="4"/>
  <c r="D233" i="4"/>
  <c r="D35" i="6"/>
  <c r="D33" i="6"/>
  <c r="D31" i="6"/>
  <c r="D30" i="6"/>
  <c r="E233" i="4"/>
  <c r="K61" i="5"/>
  <c r="K71" i="5"/>
  <c r="E230" i="4" s="1"/>
  <c r="H45" i="5"/>
  <c r="AD25" i="7"/>
  <c r="AE25" i="7" s="1"/>
  <c r="L10" i="9"/>
  <c r="H46" i="8"/>
  <c r="M42" i="5"/>
  <c r="M60" i="5" s="1"/>
  <c r="C45" i="5"/>
  <c r="F218" i="4"/>
  <c r="N60" i="5"/>
  <c r="F19" i="6"/>
  <c r="N58" i="5"/>
  <c r="N43" i="5"/>
  <c r="G13" i="6"/>
  <c r="D34" i="6"/>
  <c r="I8" i="8"/>
  <c r="C30" i="13"/>
  <c r="C49" i="13" s="1"/>
  <c r="T15" i="5"/>
  <c r="T8" i="5"/>
  <c r="K47" i="5"/>
  <c r="K48" i="5" s="1"/>
  <c r="C13" i="6"/>
  <c r="C218" i="4"/>
  <c r="C19" i="6"/>
  <c r="C24" i="6" s="1"/>
  <c r="L50" i="5"/>
  <c r="L44" i="5"/>
  <c r="L63" i="5" s="1"/>
  <c r="L64" i="5" s="1"/>
  <c r="E60" i="5"/>
  <c r="F51" i="8"/>
  <c r="F54" i="8" s="1"/>
  <c r="F55" i="8" s="1"/>
  <c r="E52" i="8"/>
  <c r="E26" i="9" s="1"/>
  <c r="E9" i="19"/>
  <c r="E7" i="19"/>
  <c r="E8" i="19"/>
  <c r="Z38" i="5"/>
  <c r="T22" i="5"/>
  <c r="T29" i="5"/>
  <c r="H43" i="5"/>
  <c r="P42" i="5"/>
  <c r="P12" i="5"/>
  <c r="P45" i="5" s="1"/>
  <c r="M12" i="5"/>
  <c r="V17" i="5"/>
  <c r="Z17" i="5"/>
  <c r="G47" i="5"/>
  <c r="G48" i="5" s="1"/>
  <c r="D37" i="6"/>
  <c r="G54" i="8"/>
  <c r="G55" i="8" s="1"/>
  <c r="C28" i="10" s="1"/>
  <c r="G52" i="8"/>
  <c r="C19" i="15"/>
  <c r="F60" i="5"/>
  <c r="F58" i="5"/>
  <c r="F61" i="5" s="1"/>
  <c r="D18" i="14"/>
  <c r="D60" i="2" s="1"/>
  <c r="Z10" i="5"/>
  <c r="D72" i="6"/>
  <c r="D13" i="6"/>
  <c r="E19" i="6"/>
  <c r="E21" i="6" s="1"/>
  <c r="E64" i="6" s="1"/>
  <c r="E21" i="20"/>
  <c r="E52" i="20"/>
  <c r="E48" i="20"/>
  <c r="F70" i="20"/>
  <c r="E35" i="20"/>
  <c r="E63" i="20"/>
  <c r="E20" i="20"/>
  <c r="D62" i="2"/>
  <c r="D40" i="5"/>
  <c r="D45" i="5" s="1"/>
  <c r="L58" i="5"/>
  <c r="L61" i="5" s="1"/>
  <c r="L60" i="5"/>
  <c r="I60" i="5"/>
  <c r="E72" i="6"/>
  <c r="J23" i="8"/>
  <c r="D21" i="20"/>
  <c r="D63" i="20"/>
  <c r="D20" i="20"/>
  <c r="D52" i="20"/>
  <c r="D35" i="20"/>
  <c r="D48" i="20"/>
  <c r="E70" i="20"/>
  <c r="D33" i="8"/>
  <c r="D58" i="5"/>
  <c r="D61" i="5" s="1"/>
  <c r="F13" i="6"/>
  <c r="E13" i="6"/>
  <c r="C23" i="20"/>
  <c r="E64" i="7"/>
  <c r="C255" i="4" s="1"/>
  <c r="I38" i="8"/>
  <c r="H39" i="8"/>
  <c r="H223" i="4" s="1"/>
  <c r="D54" i="8"/>
  <c r="D55" i="8" s="1"/>
  <c r="G22" i="9"/>
  <c r="K10" i="14"/>
  <c r="E17" i="14" s="1"/>
  <c r="E19" i="14" s="1"/>
  <c r="C17" i="14"/>
  <c r="H24" i="8"/>
  <c r="C58" i="11"/>
  <c r="C59" i="11" s="1"/>
  <c r="S25" i="7"/>
  <c r="H10" i="9"/>
  <c r="F23" i="20"/>
  <c r="K10" i="9"/>
  <c r="C39" i="13"/>
  <c r="C37" i="13"/>
  <c r="C38" i="13" s="1"/>
  <c r="C50" i="13" s="1"/>
  <c r="C55" i="2" s="1"/>
  <c r="C19" i="14"/>
  <c r="C59" i="2" s="1"/>
  <c r="C31" i="14" s="1"/>
  <c r="C33" i="14" s="1"/>
  <c r="C18" i="14"/>
  <c r="C60" i="2" s="1"/>
  <c r="D17" i="8"/>
  <c r="C14" i="18"/>
  <c r="C20" i="12"/>
  <c r="C14" i="11"/>
  <c r="C42" i="11" s="1"/>
  <c r="C66" i="10"/>
  <c r="D33" i="11"/>
  <c r="D13" i="12" s="1"/>
  <c r="C18" i="18"/>
  <c r="C33" i="12"/>
  <c r="F19" i="14"/>
  <c r="F18" i="14"/>
  <c r="F52" i="8"/>
  <c r="F26" i="9" s="1"/>
  <c r="C75" i="17"/>
  <c r="C271" i="4" s="1"/>
  <c r="D15" i="17"/>
  <c r="C45" i="10"/>
  <c r="C45" i="13"/>
  <c r="C10" i="16"/>
  <c r="D48" i="17"/>
  <c r="G60" i="20"/>
  <c r="C52" i="10"/>
  <c r="C46" i="13"/>
  <c r="C70" i="20"/>
  <c r="D70" i="20"/>
  <c r="C21" i="20"/>
  <c r="C20" i="20"/>
  <c r="C42" i="10"/>
  <c r="C43" i="10" s="1"/>
  <c r="C44" i="10" s="1"/>
  <c r="C8" i="11" s="1"/>
  <c r="D60" i="20"/>
  <c r="F52" i="20"/>
  <c r="F63" i="20"/>
  <c r="G70" i="20"/>
  <c r="F35" i="20"/>
  <c r="F48" i="20"/>
  <c r="F20" i="20"/>
  <c r="F21" i="20"/>
  <c r="G48" i="20"/>
  <c r="G63" i="20"/>
  <c r="G52" i="20"/>
  <c r="G21" i="20"/>
  <c r="G35" i="20"/>
  <c r="G20" i="20"/>
  <c r="G21" i="6" l="1"/>
  <c r="G64" i="6" s="1"/>
  <c r="J45" i="5"/>
  <c r="F47" i="5"/>
  <c r="F48" i="5" s="1"/>
  <c r="E242" i="4"/>
  <c r="K63" i="5"/>
  <c r="K64" i="5"/>
  <c r="E231" i="4" s="1"/>
  <c r="E50" i="5"/>
  <c r="J36" i="8"/>
  <c r="E44" i="5"/>
  <c r="K37" i="8"/>
  <c r="J221" i="4"/>
  <c r="I220" i="4"/>
  <c r="E18" i="14"/>
  <c r="M45" i="5"/>
  <c r="M47" i="5" s="1"/>
  <c r="M48" i="5" s="1"/>
  <c r="G24" i="6"/>
  <c r="D38" i="6"/>
  <c r="D39" i="6" s="1"/>
  <c r="D44" i="5"/>
  <c r="D63" i="5" s="1"/>
  <c r="D64" i="5" s="1"/>
  <c r="D47" i="5"/>
  <c r="D48" i="5" s="1"/>
  <c r="T68" i="5"/>
  <c r="H219" i="4" s="1"/>
  <c r="W8" i="5"/>
  <c r="R8" i="5"/>
  <c r="T12" i="5"/>
  <c r="T42" i="5"/>
  <c r="W15" i="5"/>
  <c r="R15" i="5"/>
  <c r="R19" i="5" s="1"/>
  <c r="T19" i="5"/>
  <c r="H203" i="4" s="1"/>
  <c r="G44" i="5"/>
  <c r="G63" i="5" s="1"/>
  <c r="G64" i="5"/>
  <c r="G50" i="5"/>
  <c r="Z36" i="5"/>
  <c r="U36" i="5"/>
  <c r="U40" i="5" s="1"/>
  <c r="W40" i="5"/>
  <c r="I206" i="4" s="1"/>
  <c r="C53" i="2"/>
  <c r="C54" i="13" s="1"/>
  <c r="C56" i="13" s="1"/>
  <c r="C54" i="2"/>
  <c r="F233" i="4"/>
  <c r="N61" i="5"/>
  <c r="P44" i="5"/>
  <c r="P63" i="5" s="1"/>
  <c r="P64" i="5" s="1"/>
  <c r="F99" i="6"/>
  <c r="F21" i="6"/>
  <c r="F64" i="6" s="1"/>
  <c r="M58" i="5"/>
  <c r="M61" i="5" s="1"/>
  <c r="Z31" i="5"/>
  <c r="V31" i="5"/>
  <c r="U31" i="5"/>
  <c r="S36" i="5"/>
  <c r="S40" i="5" s="1"/>
  <c r="C11" i="12"/>
  <c r="G26" i="9"/>
  <c r="P60" i="5"/>
  <c r="P58" i="5"/>
  <c r="P61" i="5" s="1"/>
  <c r="P47" i="5"/>
  <c r="P48" i="5" s="1"/>
  <c r="C34" i="10"/>
  <c r="T26" i="7"/>
  <c r="C242" i="4"/>
  <c r="E63" i="5"/>
  <c r="L7" i="7"/>
  <c r="L52" i="5"/>
  <c r="K36" i="8"/>
  <c r="J220" i="4"/>
  <c r="Z24" i="5"/>
  <c r="U24" i="5"/>
  <c r="V24" i="5"/>
  <c r="N44" i="5"/>
  <c r="N47" i="5"/>
  <c r="N48" i="5" s="1"/>
  <c r="C53" i="10"/>
  <c r="C11" i="11" s="1"/>
  <c r="C54" i="10"/>
  <c r="C12" i="11" s="1"/>
  <c r="J38" i="8"/>
  <c r="I222" i="4"/>
  <c r="C99" i="6"/>
  <c r="C21" i="6"/>
  <c r="C64" i="6" s="1"/>
  <c r="C44" i="5"/>
  <c r="C63" i="5" s="1"/>
  <c r="C47" i="5"/>
  <c r="C48" i="5" s="1"/>
  <c r="C64" i="5"/>
  <c r="I53" i="8"/>
  <c r="I54" i="8"/>
  <c r="I56" i="8" s="1"/>
  <c r="W26" i="7" s="1"/>
  <c r="Q44" i="5"/>
  <c r="Q47" i="5"/>
  <c r="Q48" i="5" s="1"/>
  <c r="I47" i="5"/>
  <c r="I48" i="5" s="1"/>
  <c r="I64" i="5"/>
  <c r="I50" i="5"/>
  <c r="L54" i="5" s="1"/>
  <c r="I44" i="5"/>
  <c r="I63" i="5" s="1"/>
  <c r="T70" i="5"/>
  <c r="T26" i="5"/>
  <c r="W22" i="5"/>
  <c r="R22" i="5"/>
  <c r="R26" i="5" s="1"/>
  <c r="T21" i="7"/>
  <c r="H216" i="4"/>
  <c r="J8" i="8"/>
  <c r="E99" i="6"/>
  <c r="E24" i="6"/>
  <c r="R29" i="5"/>
  <c r="R33" i="5" s="1"/>
  <c r="W29" i="5"/>
  <c r="T33" i="5"/>
  <c r="H205" i="4" s="1"/>
  <c r="S29" i="5"/>
  <c r="S33" i="5" s="1"/>
  <c r="Y38" i="5"/>
  <c r="X38" i="5"/>
  <c r="AC38" i="5"/>
  <c r="D8" i="19"/>
  <c r="G26" i="18"/>
  <c r="D26" i="18"/>
  <c r="H26" i="18"/>
  <c r="E26" i="18"/>
  <c r="F26" i="18"/>
  <c r="D46" i="18"/>
  <c r="F46" i="18"/>
  <c r="E46" i="18"/>
  <c r="E7" i="7"/>
  <c r="AK113" i="7" s="1"/>
  <c r="E52" i="5"/>
  <c r="E72" i="5"/>
  <c r="C62" i="2"/>
  <c r="C61" i="2"/>
  <c r="C248" i="4"/>
  <c r="F24" i="6"/>
  <c r="K23" i="8"/>
  <c r="AC17" i="5"/>
  <c r="Y17" i="5"/>
  <c r="X17" i="5"/>
  <c r="H44" i="5"/>
  <c r="H47" i="5"/>
  <c r="H48" i="5" s="1"/>
  <c r="F50" i="5"/>
  <c r="AC10" i="5"/>
  <c r="Y10" i="5"/>
  <c r="X10" i="5"/>
  <c r="C82" i="11"/>
  <c r="O52" i="5"/>
  <c r="O7" i="7"/>
  <c r="O54" i="5"/>
  <c r="D15" i="12"/>
  <c r="D17" i="12" s="1"/>
  <c r="C34" i="12"/>
  <c r="F15" i="12"/>
  <c r="F17" i="12" s="1"/>
  <c r="E15" i="12"/>
  <c r="E17" i="12" s="1"/>
  <c r="C55" i="10"/>
  <c r="G15" i="12"/>
  <c r="G17" i="12" s="1"/>
  <c r="C9" i="11"/>
  <c r="C18" i="2"/>
  <c r="H15" i="12"/>
  <c r="H17" i="12" s="1"/>
  <c r="I24" i="8"/>
  <c r="H22" i="8"/>
  <c r="H21" i="9" s="1"/>
  <c r="G60" i="5"/>
  <c r="G58" i="5"/>
  <c r="G61" i="5" s="1"/>
  <c r="K50" i="5"/>
  <c r="P50" i="5" l="1"/>
  <c r="P7" i="7" s="1"/>
  <c r="K221" i="4"/>
  <c r="L37" i="8"/>
  <c r="L221" i="4" s="1"/>
  <c r="E232" i="4"/>
  <c r="E69" i="6"/>
  <c r="E73" i="6" s="1"/>
  <c r="N50" i="5"/>
  <c r="N52" i="5" s="1"/>
  <c r="J44" i="5"/>
  <c r="J63" i="5" s="1"/>
  <c r="J64" i="5" s="1"/>
  <c r="J47" i="5"/>
  <c r="J48" i="5" s="1"/>
  <c r="M64" i="5"/>
  <c r="M44" i="5"/>
  <c r="M63" i="5" s="1"/>
  <c r="Z22" i="5"/>
  <c r="U22" i="5"/>
  <c r="U26" i="5" s="1"/>
  <c r="W26" i="5"/>
  <c r="W70" i="5"/>
  <c r="D25" i="11"/>
  <c r="D29" i="11" s="1"/>
  <c r="H8" i="9"/>
  <c r="R21" i="7"/>
  <c r="D8" i="12"/>
  <c r="S21" i="7"/>
  <c r="I9" i="9"/>
  <c r="I28" i="9"/>
  <c r="U26" i="7"/>
  <c r="V26" i="7" s="1"/>
  <c r="R12" i="5"/>
  <c r="R45" i="5" s="1"/>
  <c r="R42" i="5"/>
  <c r="O8" i="7"/>
  <c r="F54" i="5"/>
  <c r="F7" i="7"/>
  <c r="F52" i="5"/>
  <c r="S22" i="5"/>
  <c r="S26" i="5" s="1"/>
  <c r="I13" i="8"/>
  <c r="J51" i="8"/>
  <c r="V36" i="5"/>
  <c r="V40" i="5" s="1"/>
  <c r="W68" i="5"/>
  <c r="I219" i="4" s="1"/>
  <c r="W12" i="5"/>
  <c r="Z8" i="5"/>
  <c r="W42" i="5"/>
  <c r="U8" i="5"/>
  <c r="J24" i="8"/>
  <c r="I22" i="8"/>
  <c r="I21" i="9" s="1"/>
  <c r="H204" i="4"/>
  <c r="G7" i="7"/>
  <c r="G52" i="5"/>
  <c r="H50" i="5"/>
  <c r="W33" i="5"/>
  <c r="I205" i="4" s="1"/>
  <c r="U29" i="5"/>
  <c r="U33" i="5" s="1"/>
  <c r="Z29" i="5"/>
  <c r="H229" i="4"/>
  <c r="T71" i="5"/>
  <c r="H230" i="4" s="1"/>
  <c r="C50" i="5"/>
  <c r="M50" i="5"/>
  <c r="H28" i="9"/>
  <c r="R26" i="7"/>
  <c r="S26" i="7" s="1"/>
  <c r="H9" i="9"/>
  <c r="P54" i="5"/>
  <c r="C57" i="10"/>
  <c r="S15" i="5"/>
  <c r="S19" i="5" s="1"/>
  <c r="D242" i="4"/>
  <c r="H63" i="5"/>
  <c r="N54" i="5"/>
  <c r="N7" i="7"/>
  <c r="L23" i="8"/>
  <c r="K8" i="8"/>
  <c r="W19" i="5"/>
  <c r="I203" i="4" s="1"/>
  <c r="Z15" i="5"/>
  <c r="U15" i="5"/>
  <c r="U19" i="5" s="1"/>
  <c r="C24" i="20"/>
  <c r="C28" i="8"/>
  <c r="E18" i="7"/>
  <c r="AK114" i="7" s="1"/>
  <c r="E13" i="7"/>
  <c r="C207" i="4"/>
  <c r="C48" i="8"/>
  <c r="C215" i="4" s="1"/>
  <c r="E15" i="7"/>
  <c r="C6" i="6"/>
  <c r="E11" i="7"/>
  <c r="E51" i="7" s="1"/>
  <c r="E58" i="7"/>
  <c r="C69" i="6"/>
  <c r="C232" i="4"/>
  <c r="E64" i="5"/>
  <c r="C231" i="4" s="1"/>
  <c r="I54" i="5"/>
  <c r="I7" i="7"/>
  <c r="L8" i="7" s="1"/>
  <c r="I52" i="5"/>
  <c r="AB17" i="5"/>
  <c r="AA17" i="5"/>
  <c r="AF17" i="5"/>
  <c r="Q63" i="5"/>
  <c r="G242" i="4"/>
  <c r="S8" i="5"/>
  <c r="F242" i="4"/>
  <c r="N63" i="5"/>
  <c r="Y36" i="5"/>
  <c r="Y40" i="5" s="1"/>
  <c r="AC36" i="5"/>
  <c r="Z40" i="5"/>
  <c r="J206" i="4" s="1"/>
  <c r="X36" i="5"/>
  <c r="X40" i="5" s="1"/>
  <c r="G39" i="12"/>
  <c r="F39" i="12"/>
  <c r="E39" i="12"/>
  <c r="H39" i="12"/>
  <c r="D39" i="12"/>
  <c r="AB10" i="5"/>
  <c r="AA10" i="5"/>
  <c r="AF10" i="5"/>
  <c r="D1026" i="19"/>
  <c r="D1019" i="19"/>
  <c r="D1012" i="19"/>
  <c r="D1005" i="19"/>
  <c r="D998" i="19"/>
  <c r="D991" i="19"/>
  <c r="D984" i="19"/>
  <c r="D977" i="19"/>
  <c r="D970" i="19"/>
  <c r="D963" i="19"/>
  <c r="D956" i="19"/>
  <c r="D949" i="19"/>
  <c r="D942" i="19"/>
  <c r="D935" i="19"/>
  <c r="D928" i="19"/>
  <c r="D921" i="19"/>
  <c r="D914" i="19"/>
  <c r="D907" i="19"/>
  <c r="D1003" i="19"/>
  <c r="D1001" i="19"/>
  <c r="D999" i="19"/>
  <c r="D997" i="19"/>
  <c r="D995" i="19"/>
  <c r="D993" i="19"/>
  <c r="D954" i="19"/>
  <c r="D952" i="19"/>
  <c r="D950" i="19"/>
  <c r="D948" i="19"/>
  <c r="D946" i="19"/>
  <c r="D944" i="19"/>
  <c r="D902" i="19"/>
  <c r="D895" i="19"/>
  <c r="D888" i="19"/>
  <c r="D881" i="19"/>
  <c r="D874" i="19"/>
  <c r="D1029" i="19"/>
  <c r="D1027" i="19"/>
  <c r="D1025" i="19"/>
  <c r="D1023" i="19"/>
  <c r="D1021" i="19"/>
  <c r="D982" i="19"/>
  <c r="D980" i="19"/>
  <c r="D978" i="19"/>
  <c r="D976" i="19"/>
  <c r="D974" i="19"/>
  <c r="D972" i="19"/>
  <c r="D933" i="19"/>
  <c r="D931" i="19"/>
  <c r="D929" i="19"/>
  <c r="D927" i="19"/>
  <c r="D925" i="19"/>
  <c r="D923" i="19"/>
  <c r="D905" i="19"/>
  <c r="D898" i="19"/>
  <c r="D891" i="19"/>
  <c r="D884" i="19"/>
  <c r="D1030" i="19"/>
  <c r="D1028" i="19"/>
  <c r="D989" i="19"/>
  <c r="D987" i="19"/>
  <c r="D985" i="19"/>
  <c r="D983" i="19"/>
  <c r="D981" i="19"/>
  <c r="D979" i="19"/>
  <c r="D940" i="19"/>
  <c r="D938" i="19"/>
  <c r="D936" i="19"/>
  <c r="D934" i="19"/>
  <c r="D932" i="19"/>
  <c r="D930" i="19"/>
  <c r="D904" i="19"/>
  <c r="D897" i="19"/>
  <c r="D890" i="19"/>
  <c r="D994" i="19"/>
  <c r="D937" i="19"/>
  <c r="D896" i="19"/>
  <c r="D880" i="19"/>
  <c r="D996" i="19"/>
  <c r="D939" i="19"/>
  <c r="D1024" i="19"/>
  <c r="D1007" i="19"/>
  <c r="D1004" i="19"/>
  <c r="D967" i="19"/>
  <c r="D964" i="19"/>
  <c r="D961" i="19"/>
  <c r="D924" i="19"/>
  <c r="D885" i="19"/>
  <c r="D879" i="19"/>
  <c r="D866" i="19"/>
  <c r="D859" i="19"/>
  <c r="D852" i="19"/>
  <c r="D845" i="19"/>
  <c r="D838" i="19"/>
  <c r="D831" i="19"/>
  <c r="D824" i="19"/>
  <c r="D817" i="19"/>
  <c r="D810" i="19"/>
  <c r="D803" i="19"/>
  <c r="D796" i="19"/>
  <c r="D789" i="19"/>
  <c r="D782" i="19"/>
  <c r="D775" i="19"/>
  <c r="D768" i="19"/>
  <c r="D761" i="19"/>
  <c r="D754" i="19"/>
  <c r="D747" i="19"/>
  <c r="D740" i="19"/>
  <c r="D733" i="19"/>
  <c r="D1018" i="19"/>
  <c r="D1015" i="19"/>
  <c r="D975" i="19"/>
  <c r="D958" i="19"/>
  <c r="D955" i="19"/>
  <c r="D918" i="19"/>
  <c r="D915" i="19"/>
  <c r="D912" i="19"/>
  <c r="D892" i="19"/>
  <c r="D887" i="19"/>
  <c r="D875" i="19"/>
  <c r="D864" i="19"/>
  <c r="D857" i="19"/>
  <c r="D850" i="19"/>
  <c r="D893" i="19"/>
  <c r="D867" i="19"/>
  <c r="D858" i="19"/>
  <c r="D847" i="19"/>
  <c r="D808" i="19"/>
  <c r="D806" i="19"/>
  <c r="D804" i="19"/>
  <c r="D1011" i="19"/>
  <c r="D971" i="19"/>
  <c r="D959" i="19"/>
  <c r="D951" i="19"/>
  <c r="D947" i="19"/>
  <c r="D943" i="19"/>
  <c r="D916" i="19"/>
  <c r="D899" i="19"/>
  <c r="D849" i="19"/>
  <c r="D1020" i="19"/>
  <c r="D1016" i="19"/>
  <c r="D1000" i="19"/>
  <c r="D988" i="19"/>
  <c r="D960" i="19"/>
  <c r="D913" i="19"/>
  <c r="D906" i="19"/>
  <c r="D872" i="19"/>
  <c r="D865" i="19"/>
  <c r="D854" i="19"/>
  <c r="D843" i="19"/>
  <c r="D841" i="19"/>
  <c r="D839" i="19"/>
  <c r="D945" i="19"/>
  <c r="D920" i="19"/>
  <c r="D886" i="19"/>
  <c r="D792" i="19"/>
  <c r="D773" i="19"/>
  <c r="D771" i="19"/>
  <c r="D769" i="19"/>
  <c r="D1009" i="19"/>
  <c r="D870" i="19"/>
  <c r="D990" i="19"/>
  <c r="D968" i="19"/>
  <c r="D1017" i="19"/>
  <c r="D966" i="19"/>
  <c r="D941" i="19"/>
  <c r="D962" i="19"/>
  <c r="D910" i="19"/>
  <c r="D837" i="19"/>
  <c r="D819" i="19"/>
  <c r="D791" i="19"/>
  <c r="D784" i="19"/>
  <c r="D762" i="19"/>
  <c r="D731" i="19"/>
  <c r="D729" i="19"/>
  <c r="D712" i="19"/>
  <c r="D695" i="19"/>
  <c r="D969" i="19"/>
  <c r="D882" i="19"/>
  <c r="D868" i="19"/>
  <c r="D851" i="19"/>
  <c r="D834" i="19"/>
  <c r="D829" i="19"/>
  <c r="D816" i="19"/>
  <c r="D764" i="19"/>
  <c r="D739" i="19"/>
  <c r="D737" i="19"/>
  <c r="D735" i="19"/>
  <c r="D727" i="19"/>
  <c r="D725" i="19"/>
  <c r="D710" i="19"/>
  <c r="D1014" i="19"/>
  <c r="D1006" i="19"/>
  <c r="D953" i="19"/>
  <c r="D926" i="19"/>
  <c r="D908" i="19"/>
  <c r="D836" i="19"/>
  <c r="D813" i="19"/>
  <c r="D795" i="19"/>
  <c r="D788" i="19"/>
  <c r="D781" i="19"/>
  <c r="D757" i="19"/>
  <c r="D755" i="19"/>
  <c r="D1013" i="19"/>
  <c r="D903" i="19"/>
  <c r="D853" i="19"/>
  <c r="D820" i="19"/>
  <c r="D815" i="19"/>
  <c r="D790" i="19"/>
  <c r="D965" i="19"/>
  <c r="D869" i="19"/>
  <c r="D856" i="19"/>
  <c r="D830" i="19"/>
  <c r="D825" i="19"/>
  <c r="D812" i="19"/>
  <c r="D807" i="19"/>
  <c r="D787" i="19"/>
  <c r="D776" i="19"/>
  <c r="D922" i="19"/>
  <c r="D783" i="19"/>
  <c r="D780" i="19"/>
  <c r="D765" i="19"/>
  <c r="D741" i="19"/>
  <c r="D726" i="19"/>
  <c r="D715" i="19"/>
  <c r="D889" i="19"/>
  <c r="D883" i="19"/>
  <c r="D861" i="19"/>
  <c r="D846" i="19"/>
  <c r="D786" i="19"/>
  <c r="D759" i="19"/>
  <c r="D746" i="19"/>
  <c r="D728" i="19"/>
  <c r="D717" i="19"/>
  <c r="D1010" i="19"/>
  <c r="D986" i="19"/>
  <c r="D911" i="19"/>
  <c r="D877" i="19"/>
  <c r="D871" i="19"/>
  <c r="D833" i="19"/>
  <c r="D821" i="19"/>
  <c r="D809" i="19"/>
  <c r="D805" i="19"/>
  <c r="D801" i="19"/>
  <c r="D797" i="19"/>
  <c r="D793" i="19"/>
  <c r="D751" i="19"/>
  <c r="D738" i="19"/>
  <c r="D719" i="19"/>
  <c r="D708" i="19"/>
  <c r="D682" i="19"/>
  <c r="D1022" i="19"/>
  <c r="D973" i="19"/>
  <c r="D919" i="19"/>
  <c r="D876" i="19"/>
  <c r="D860" i="19"/>
  <c r="D855" i="19"/>
  <c r="D770" i="19"/>
  <c r="D743" i="19"/>
  <c r="D730" i="19"/>
  <c r="D721" i="19"/>
  <c r="D901" i="19"/>
  <c r="D894" i="19"/>
  <c r="D957" i="19"/>
  <c r="D917" i="19"/>
  <c r="D1008" i="19"/>
  <c r="D848" i="19"/>
  <c r="D822" i="19"/>
  <c r="D811" i="19"/>
  <c r="D752" i="19"/>
  <c r="D748" i="19"/>
  <c r="D724" i="19"/>
  <c r="D697" i="19"/>
  <c r="D661" i="19"/>
  <c r="D909" i="19"/>
  <c r="D832" i="19"/>
  <c r="D827" i="19"/>
  <c r="D799" i="19"/>
  <c r="D714" i="19"/>
  <c r="D711" i="19"/>
  <c r="D699" i="19"/>
  <c r="D684" i="19"/>
  <c r="D674" i="19"/>
  <c r="D657" i="19"/>
  <c r="D766" i="19"/>
  <c r="D744" i="19"/>
  <c r="D701" i="19"/>
  <c r="D690" i="19"/>
  <c r="D688" i="19"/>
  <c r="D686" i="19"/>
  <c r="D672" i="19"/>
  <c r="D670" i="19"/>
  <c r="D655" i="19"/>
  <c r="D648" i="19"/>
  <c r="D641" i="19"/>
  <c r="D634" i="19"/>
  <c r="D627" i="19"/>
  <c r="D620" i="19"/>
  <c r="D613" i="19"/>
  <c r="D606" i="19"/>
  <c r="D599" i="19"/>
  <c r="D592" i="19"/>
  <c r="D585" i="19"/>
  <c r="D578" i="19"/>
  <c r="D571" i="19"/>
  <c r="D564" i="19"/>
  <c r="D557" i="19"/>
  <c r="D550" i="19"/>
  <c r="D543" i="19"/>
  <c r="D536" i="19"/>
  <c r="D873" i="19"/>
  <c r="D758" i="19"/>
  <c r="D778" i="19"/>
  <c r="D774" i="19"/>
  <c r="D736" i="19"/>
  <c r="D694" i="19"/>
  <c r="D664" i="19"/>
  <c r="D753" i="19"/>
  <c r="D713" i="19"/>
  <c r="D698" i="19"/>
  <c r="D677" i="19"/>
  <c r="D675" i="19"/>
  <c r="D660" i="19"/>
  <c r="D779" i="19"/>
  <c r="D732" i="19"/>
  <c r="D681" i="19"/>
  <c r="D678" i="19"/>
  <c r="D669" i="19"/>
  <c r="D666" i="19"/>
  <c r="D633" i="19"/>
  <c r="D628" i="19"/>
  <c r="D722" i="19"/>
  <c r="D704" i="19"/>
  <c r="D687" i="19"/>
  <c r="D663" i="19"/>
  <c r="D646" i="19"/>
  <c r="D638" i="19"/>
  <c r="D618" i="19"/>
  <c r="D588" i="19"/>
  <c r="D577" i="19"/>
  <c r="D878" i="19"/>
  <c r="D818" i="19"/>
  <c r="D785" i="19"/>
  <c r="D750" i="19"/>
  <c r="D654" i="19"/>
  <c r="D635" i="19"/>
  <c r="D630" i="19"/>
  <c r="D590" i="19"/>
  <c r="D579" i="19"/>
  <c r="D568" i="19"/>
  <c r="D559" i="19"/>
  <c r="D840" i="19"/>
  <c r="D794" i="19"/>
  <c r="D777" i="19"/>
  <c r="D763" i="19"/>
  <c r="D716" i="19"/>
  <c r="D693" i="19"/>
  <c r="D671" i="19"/>
  <c r="D668" i="19"/>
  <c r="D802" i="19"/>
  <c r="D720" i="19"/>
  <c r="D653" i="19"/>
  <c r="D645" i="19"/>
  <c r="D642" i="19"/>
  <c r="D622" i="19"/>
  <c r="D605" i="19"/>
  <c r="D767" i="19"/>
  <c r="D702" i="19"/>
  <c r="D1002" i="19"/>
  <c r="D826" i="19"/>
  <c r="D705" i="19"/>
  <c r="D665" i="19"/>
  <c r="D656" i="19"/>
  <c r="D637" i="19"/>
  <c r="D614" i="19"/>
  <c r="D611" i="19"/>
  <c r="D602" i="19"/>
  <c r="D567" i="19"/>
  <c r="D555" i="19"/>
  <c r="D548" i="19"/>
  <c r="D537" i="19"/>
  <c r="D497" i="19"/>
  <c r="D482" i="19"/>
  <c r="D683" i="19"/>
  <c r="D617" i="19"/>
  <c r="D574" i="19"/>
  <c r="D562" i="19"/>
  <c r="D539" i="19"/>
  <c r="D495" i="19"/>
  <c r="D480" i="19"/>
  <c r="D473" i="19"/>
  <c r="D466" i="19"/>
  <c r="D459" i="19"/>
  <c r="D452" i="19"/>
  <c r="D445" i="19"/>
  <c r="D438" i="19"/>
  <c r="D844" i="19"/>
  <c r="D772" i="19"/>
  <c r="D703" i="19"/>
  <c r="D651" i="19"/>
  <c r="D626" i="19"/>
  <c r="D604" i="19"/>
  <c r="D587" i="19"/>
  <c r="D552" i="19"/>
  <c r="D534" i="19"/>
  <c r="D532" i="19"/>
  <c r="D530" i="19"/>
  <c r="D528" i="19"/>
  <c r="D526" i="19"/>
  <c r="D504" i="19"/>
  <c r="D489" i="19"/>
  <c r="D487" i="19"/>
  <c r="D798" i="19"/>
  <c r="D756" i="19"/>
  <c r="D639" i="19"/>
  <c r="D595" i="19"/>
  <c r="D566" i="19"/>
  <c r="D554" i="19"/>
  <c r="D498" i="19"/>
  <c r="D481" i="19"/>
  <c r="D474" i="19"/>
  <c r="D467" i="19"/>
  <c r="D900" i="19"/>
  <c r="D863" i="19"/>
  <c r="D814" i="19"/>
  <c r="D707" i="19"/>
  <c r="D650" i="19"/>
  <c r="D612" i="19"/>
  <c r="D589" i="19"/>
  <c r="D583" i="19"/>
  <c r="D556" i="19"/>
  <c r="D549" i="19"/>
  <c r="D517" i="19"/>
  <c r="D509" i="19"/>
  <c r="D842" i="19"/>
  <c r="D745" i="19"/>
  <c r="D658" i="19"/>
  <c r="D640" i="19"/>
  <c r="D629" i="19"/>
  <c r="D624" i="19"/>
  <c r="D619" i="19"/>
  <c r="D609" i="19"/>
  <c r="D600" i="19"/>
  <c r="D563" i="19"/>
  <c r="D545" i="19"/>
  <c r="D538" i="19"/>
  <c r="D477" i="19"/>
  <c r="D472" i="19"/>
  <c r="D460" i="19"/>
  <c r="D443" i="19"/>
  <c r="D441" i="19"/>
  <c r="D439" i="19"/>
  <c r="D437" i="19"/>
  <c r="D679" i="19"/>
  <c r="D652" i="19"/>
  <c r="D541" i="19"/>
  <c r="D531" i="19"/>
  <c r="D515" i="19"/>
  <c r="D512" i="19"/>
  <c r="D506" i="19"/>
  <c r="D462" i="19"/>
  <c r="D435" i="19"/>
  <c r="D428" i="19"/>
  <c r="D421" i="19"/>
  <c r="D414" i="19"/>
  <c r="D407" i="19"/>
  <c r="D400" i="19"/>
  <c r="D393" i="19"/>
  <c r="D386" i="19"/>
  <c r="D379" i="19"/>
  <c r="D372" i="19"/>
  <c r="D365" i="19"/>
  <c r="D358" i="19"/>
  <c r="D351" i="19"/>
  <c r="D344" i="19"/>
  <c r="D337" i="19"/>
  <c r="D330" i="19"/>
  <c r="D323" i="19"/>
  <c r="D316" i="19"/>
  <c r="D309" i="19"/>
  <c r="D302" i="19"/>
  <c r="D295" i="19"/>
  <c r="D288" i="19"/>
  <c r="D800" i="19"/>
  <c r="D608" i="19"/>
  <c r="D581" i="19"/>
  <c r="D544" i="19"/>
  <c r="D527" i="19"/>
  <c r="D524" i="19"/>
  <c r="D484" i="19"/>
  <c r="D464" i="19"/>
  <c r="D709" i="19"/>
  <c r="D691" i="19"/>
  <c r="D643" i="19"/>
  <c r="D598" i="19"/>
  <c r="D576" i="19"/>
  <c r="D565" i="19"/>
  <c r="D533" i="19"/>
  <c r="D520" i="19"/>
  <c r="D486" i="19"/>
  <c r="D436" i="19"/>
  <c r="D429" i="19"/>
  <c r="D422" i="19"/>
  <c r="D415" i="19"/>
  <c r="D408" i="19"/>
  <c r="D401" i="19"/>
  <c r="D394" i="19"/>
  <c r="D387" i="19"/>
  <c r="D380" i="19"/>
  <c r="D373" i="19"/>
  <c r="D366" i="19"/>
  <c r="D359" i="19"/>
  <c r="D352" i="19"/>
  <c r="D345" i="19"/>
  <c r="D338" i="19"/>
  <c r="D331" i="19"/>
  <c r="D734" i="19"/>
  <c r="D593" i="19"/>
  <c r="D572" i="19"/>
  <c r="D529" i="19"/>
  <c r="D496" i="19"/>
  <c r="D461" i="19"/>
  <c r="D434" i="19"/>
  <c r="D427" i="19"/>
  <c r="D420" i="19"/>
  <c r="D413" i="19"/>
  <c r="D406" i="19"/>
  <c r="D399" i="19"/>
  <c r="D392" i="19"/>
  <c r="D385" i="19"/>
  <c r="D378" i="19"/>
  <c r="D371" i="19"/>
  <c r="D364" i="19"/>
  <c r="D357" i="19"/>
  <c r="D350" i="19"/>
  <c r="D343" i="19"/>
  <c r="D644" i="19"/>
  <c r="D597" i="19"/>
  <c r="D522" i="19"/>
  <c r="D503" i="19"/>
  <c r="D463" i="19"/>
  <c r="D440" i="19"/>
  <c r="D404" i="19"/>
  <c r="D355" i="19"/>
  <c r="D336" i="19"/>
  <c r="D315" i="19"/>
  <c r="D313" i="19"/>
  <c r="D311" i="19"/>
  <c r="D301" i="19"/>
  <c r="D284" i="19"/>
  <c r="D685" i="19"/>
  <c r="D673" i="19"/>
  <c r="D662" i="19"/>
  <c r="D553" i="19"/>
  <c r="D507" i="19"/>
  <c r="D494" i="19"/>
  <c r="D478" i="19"/>
  <c r="D456" i="19"/>
  <c r="D446" i="19"/>
  <c r="D431" i="19"/>
  <c r="D423" i="19"/>
  <c r="D412" i="19"/>
  <c r="D382" i="19"/>
  <c r="D374" i="19"/>
  <c r="D363" i="19"/>
  <c r="D326" i="19"/>
  <c r="D317" i="19"/>
  <c r="D299" i="19"/>
  <c r="D282" i="19"/>
  <c r="D275" i="19"/>
  <c r="D268" i="19"/>
  <c r="D261" i="19"/>
  <c r="D254" i="19"/>
  <c r="D247" i="19"/>
  <c r="D240" i="19"/>
  <c r="D233" i="19"/>
  <c r="D226" i="19"/>
  <c r="D219" i="19"/>
  <c r="D212" i="19"/>
  <c r="D205" i="19"/>
  <c r="D198" i="19"/>
  <c r="D191" i="19"/>
  <c r="D184" i="19"/>
  <c r="D177" i="19"/>
  <c r="D170" i="19"/>
  <c r="D163" i="19"/>
  <c r="D156" i="19"/>
  <c r="D149" i="19"/>
  <c r="D142" i="19"/>
  <c r="D135" i="19"/>
  <c r="D569" i="19"/>
  <c r="D485" i="19"/>
  <c r="D455" i="19"/>
  <c r="D425" i="19"/>
  <c r="D376" i="19"/>
  <c r="D328" i="19"/>
  <c r="D321" i="19"/>
  <c r="D291" i="19"/>
  <c r="D823" i="19"/>
  <c r="D706" i="19"/>
  <c r="D692" i="19"/>
  <c r="D680" i="19"/>
  <c r="D649" i="19"/>
  <c r="D631" i="19"/>
  <c r="D615" i="19"/>
  <c r="D594" i="19"/>
  <c r="D580" i="19"/>
  <c r="D540" i="19"/>
  <c r="D535" i="19"/>
  <c r="D465" i="19"/>
  <c r="D458" i="19"/>
  <c r="D451" i="19"/>
  <c r="D430" i="19"/>
  <c r="D419" i="19"/>
  <c r="D389" i="19"/>
  <c r="D381" i="19"/>
  <c r="D370" i="19"/>
  <c r="D340" i="19"/>
  <c r="D300" i="19"/>
  <c r="D285" i="19"/>
  <c r="D276" i="19"/>
  <c r="D269" i="19"/>
  <c r="D262" i="19"/>
  <c r="D255" i="19"/>
  <c r="D248" i="19"/>
  <c r="D241" i="19"/>
  <c r="D234" i="19"/>
  <c r="D227" i="19"/>
  <c r="D220" i="19"/>
  <c r="D213" i="19"/>
  <c r="D206" i="19"/>
  <c r="D199" i="19"/>
  <c r="D192" i="19"/>
  <c r="D667" i="19"/>
  <c r="D586" i="19"/>
  <c r="D573" i="19"/>
  <c r="D519" i="19"/>
  <c r="D514" i="19"/>
  <c r="D500" i="19"/>
  <c r="D454" i="19"/>
  <c r="D424" i="19"/>
  <c r="D416" i="19"/>
  <c r="D405" i="19"/>
  <c r="D375" i="19"/>
  <c r="D367" i="19"/>
  <c r="D356" i="19"/>
  <c r="D296" i="19"/>
  <c r="D281" i="19"/>
  <c r="D274" i="19"/>
  <c r="D267" i="19"/>
  <c r="D260" i="19"/>
  <c r="D253" i="19"/>
  <c r="D246" i="19"/>
  <c r="D239" i="19"/>
  <c r="D232" i="19"/>
  <c r="D225" i="19"/>
  <c r="D218" i="19"/>
  <c r="D211" i="19"/>
  <c r="D204" i="19"/>
  <c r="D523" i="19"/>
  <c r="D508" i="19"/>
  <c r="D501" i="19"/>
  <c r="D488" i="19"/>
  <c r="D470" i="19"/>
  <c r="D453" i="19"/>
  <c r="D448" i="19"/>
  <c r="D349" i="19"/>
  <c r="D325" i="19"/>
  <c r="D318" i="19"/>
  <c r="D305" i="19"/>
  <c r="D257" i="19"/>
  <c r="D249" i="19"/>
  <c r="D238" i="19"/>
  <c r="D208" i="19"/>
  <c r="D200" i="19"/>
  <c r="D159" i="19"/>
  <c r="D144" i="19"/>
  <c r="D129" i="19"/>
  <c r="D122" i="19"/>
  <c r="D115" i="19"/>
  <c r="D108" i="19"/>
  <c r="D101" i="19"/>
  <c r="D94" i="19"/>
  <c r="D87" i="19"/>
  <c r="D80" i="19"/>
  <c r="D73" i="19"/>
  <c r="D66" i="19"/>
  <c r="D59" i="19"/>
  <c r="D52" i="19"/>
  <c r="D49" i="19"/>
  <c r="D718" i="19"/>
  <c r="D616" i="19"/>
  <c r="D584" i="19"/>
  <c r="D547" i="19"/>
  <c r="D391" i="19"/>
  <c r="D353" i="19"/>
  <c r="D308" i="19"/>
  <c r="D293" i="19"/>
  <c r="D265" i="19"/>
  <c r="D216" i="19"/>
  <c r="D197" i="19"/>
  <c r="D175" i="19"/>
  <c r="D173" i="19"/>
  <c r="D171" i="19"/>
  <c r="D169" i="19"/>
  <c r="D167" i="19"/>
  <c r="D165" i="19"/>
  <c r="D157" i="19"/>
  <c r="D140" i="19"/>
  <c r="D742" i="19"/>
  <c r="D625" i="19"/>
  <c r="D521" i="19"/>
  <c r="D513" i="19"/>
  <c r="D468" i="19"/>
  <c r="D390" i="19"/>
  <c r="D369" i="19"/>
  <c r="D324" i="19"/>
  <c r="D278" i="19"/>
  <c r="D270" i="19"/>
  <c r="D259" i="19"/>
  <c r="D229" i="19"/>
  <c r="D221" i="19"/>
  <c r="D210" i="19"/>
  <c r="D194" i="19"/>
  <c r="D151" i="19"/>
  <c r="D134" i="19"/>
  <c r="D125" i="19"/>
  <c r="D118" i="19"/>
  <c r="D111" i="19"/>
  <c r="D104" i="19"/>
  <c r="D97" i="19"/>
  <c r="D90" i="19"/>
  <c r="D83" i="19"/>
  <c r="D636" i="19"/>
  <c r="D623" i="19"/>
  <c r="D402" i="19"/>
  <c r="D368" i="19"/>
  <c r="D347" i="19"/>
  <c r="D286" i="19"/>
  <c r="D283" i="19"/>
  <c r="D272" i="19"/>
  <c r="D223" i="19"/>
  <c r="D196" i="19"/>
  <c r="D168" i="19"/>
  <c r="D166" i="19"/>
  <c r="D164" i="19"/>
  <c r="D162" i="19"/>
  <c r="D160" i="19"/>
  <c r="D143" i="19"/>
  <c r="D835" i="19"/>
  <c r="D700" i="19"/>
  <c r="D621" i="19"/>
  <c r="D610" i="19"/>
  <c r="D560" i="19"/>
  <c r="D542" i="19"/>
  <c r="D518" i="19"/>
  <c r="D397" i="19"/>
  <c r="D342" i="19"/>
  <c r="D334" i="19"/>
  <c r="D319" i="19"/>
  <c r="D258" i="19"/>
  <c r="D209" i="19"/>
  <c r="D182" i="19"/>
  <c r="D180" i="19"/>
  <c r="D178" i="19"/>
  <c r="D176" i="19"/>
  <c r="D174" i="19"/>
  <c r="D172" i="19"/>
  <c r="D154" i="19"/>
  <c r="D139" i="19"/>
  <c r="D491" i="19"/>
  <c r="D346" i="19"/>
  <c r="D322" i="19"/>
  <c r="D297" i="19"/>
  <c r="D224" i="19"/>
  <c r="D203" i="19"/>
  <c r="D195" i="19"/>
  <c r="D181" i="19"/>
  <c r="D153" i="19"/>
  <c r="D150" i="19"/>
  <c r="D147" i="19"/>
  <c r="D116" i="19"/>
  <c r="D105" i="19"/>
  <c r="D86" i="19"/>
  <c r="D74" i="19"/>
  <c r="D72" i="19"/>
  <c r="D70" i="19"/>
  <c r="D68" i="19"/>
  <c r="D39" i="19"/>
  <c r="D36" i="19"/>
  <c r="D33" i="19"/>
  <c r="D760" i="19"/>
  <c r="D676" i="19"/>
  <c r="D511" i="19"/>
  <c r="D490" i="19"/>
  <c r="D418" i="19"/>
  <c r="D333" i="19"/>
  <c r="D327" i="19"/>
  <c r="D306" i="19"/>
  <c r="D279" i="19"/>
  <c r="D266" i="19"/>
  <c r="D245" i="19"/>
  <c r="D228" i="19"/>
  <c r="D207" i="19"/>
  <c r="D187" i="19"/>
  <c r="D141" i="19"/>
  <c r="D138" i="19"/>
  <c r="D124" i="19"/>
  <c r="D113" i="19"/>
  <c r="D76" i="19"/>
  <c r="D45" i="19"/>
  <c r="D42" i="19"/>
  <c r="D469" i="19"/>
  <c r="D444" i="19"/>
  <c r="D417" i="19"/>
  <c r="D410" i="19"/>
  <c r="D310" i="19"/>
  <c r="D244" i="19"/>
  <c r="D190" i="19"/>
  <c r="D161" i="19"/>
  <c r="D158" i="19"/>
  <c r="D155" i="19"/>
  <c r="D152" i="19"/>
  <c r="D126" i="19"/>
  <c r="D107" i="19"/>
  <c r="D88" i="19"/>
  <c r="D57" i="19"/>
  <c r="D55" i="19"/>
  <c r="D53" i="19"/>
  <c r="D51" i="19"/>
  <c r="D689" i="19"/>
  <c r="D570" i="19"/>
  <c r="D450" i="19"/>
  <c r="D409" i="19"/>
  <c r="D396" i="19"/>
  <c r="D304" i="19"/>
  <c r="D277" i="19"/>
  <c r="D256" i="19"/>
  <c r="D243" i="19"/>
  <c r="D222" i="19"/>
  <c r="D193" i="19"/>
  <c r="D189" i="19"/>
  <c r="D131" i="19"/>
  <c r="D120" i="19"/>
  <c r="D82" i="19"/>
  <c r="D723" i="19"/>
  <c r="D505" i="19"/>
  <c r="D457" i="19"/>
  <c r="D449" i="19"/>
  <c r="D362" i="19"/>
  <c r="D294" i="19"/>
  <c r="D251" i="19"/>
  <c r="D230" i="19"/>
  <c r="D217" i="19"/>
  <c r="D179" i="19"/>
  <c r="D117" i="19"/>
  <c r="D106" i="19"/>
  <c r="D77" i="19"/>
  <c r="D32" i="19"/>
  <c r="D632" i="19"/>
  <c r="D551" i="19"/>
  <c r="D492" i="19"/>
  <c r="D312" i="19"/>
  <c r="D307" i="19"/>
  <c r="D263" i="19"/>
  <c r="D250" i="19"/>
  <c r="D188" i="19"/>
  <c r="D130" i="19"/>
  <c r="D119" i="19"/>
  <c r="D596" i="19"/>
  <c r="D525" i="19"/>
  <c r="D502" i="19"/>
  <c r="D447" i="19"/>
  <c r="D432" i="19"/>
  <c r="D426" i="19"/>
  <c r="D360" i="19"/>
  <c r="D271" i="19"/>
  <c r="D237" i="19"/>
  <c r="D603" i="19"/>
  <c r="D314" i="19"/>
  <c r="D252" i="19"/>
  <c r="D235" i="19"/>
  <c r="D201" i="19"/>
  <c r="D186" i="19"/>
  <c r="D123" i="19"/>
  <c r="D91" i="19"/>
  <c r="D69" i="19"/>
  <c r="D601" i="19"/>
  <c r="D476" i="19"/>
  <c r="D442" i="19"/>
  <c r="D132" i="19"/>
  <c r="D95" i="19"/>
  <c r="D50" i="19"/>
  <c r="D38" i="19"/>
  <c r="D31" i="19"/>
  <c r="D516" i="19"/>
  <c r="D475" i="19"/>
  <c r="D388" i="19"/>
  <c r="D361" i="19"/>
  <c r="D348" i="19"/>
  <c r="D335" i="19"/>
  <c r="D303" i="19"/>
  <c r="D185" i="19"/>
  <c r="D148" i="19"/>
  <c r="D137" i="19"/>
  <c r="D127" i="19"/>
  <c r="D99" i="19"/>
  <c r="D75" i="19"/>
  <c r="D56" i="19"/>
  <c r="D561" i="19"/>
  <c r="D510" i="19"/>
  <c r="D471" i="19"/>
  <c r="D411" i="19"/>
  <c r="D398" i="19"/>
  <c r="D292" i="19"/>
  <c r="D215" i="19"/>
  <c r="D112" i="19"/>
  <c r="D65" i="19"/>
  <c r="D383" i="19"/>
  <c r="D273" i="19"/>
  <c r="D214" i="19"/>
  <c r="D146" i="19"/>
  <c r="D58" i="19"/>
  <c r="D44" i="19"/>
  <c r="D37" i="19"/>
  <c r="D607" i="19"/>
  <c r="D575" i="19"/>
  <c r="D546" i="19"/>
  <c r="D499" i="19"/>
  <c r="D479" i="19"/>
  <c r="D287" i="19"/>
  <c r="D202" i="19"/>
  <c r="D114" i="19"/>
  <c r="D96" i="19"/>
  <c r="D60" i="19"/>
  <c r="D48" i="19"/>
  <c r="D828" i="19"/>
  <c r="D696" i="19"/>
  <c r="D403" i="19"/>
  <c r="D377" i="19"/>
  <c r="D133" i="19"/>
  <c r="D128" i="19"/>
  <c r="D109" i="19"/>
  <c r="D100" i="19"/>
  <c r="D79" i="19"/>
  <c r="D63" i="19"/>
  <c r="D43" i="19"/>
  <c r="D136" i="19"/>
  <c r="D98" i="19"/>
  <c r="D35" i="19"/>
  <c r="D320" i="19"/>
  <c r="D231" i="19"/>
  <c r="D183" i="19"/>
  <c r="D81" i="19"/>
  <c r="D483" i="19"/>
  <c r="D341" i="19"/>
  <c r="D298" i="19"/>
  <c r="D280" i="19"/>
  <c r="D659" i="19"/>
  <c r="D384" i="19"/>
  <c r="D332" i="19"/>
  <c r="D121" i="19"/>
  <c r="D71" i="19"/>
  <c r="D992" i="19"/>
  <c r="D647" i="19"/>
  <c r="D558" i="19"/>
  <c r="D290" i="19"/>
  <c r="D93" i="19"/>
  <c r="D64" i="19"/>
  <c r="D749" i="19"/>
  <c r="D236" i="19"/>
  <c r="D92" i="19"/>
  <c r="D41" i="19"/>
  <c r="D289" i="19"/>
  <c r="D85" i="19"/>
  <c r="D61" i="19"/>
  <c r="D34" i="19"/>
  <c r="D40" i="19"/>
  <c r="D84" i="19"/>
  <c r="D395" i="19"/>
  <c r="D354" i="19"/>
  <c r="D145" i="19"/>
  <c r="D47" i="19"/>
  <c r="D493" i="19"/>
  <c r="D242" i="19"/>
  <c r="D78" i="19"/>
  <c r="D67" i="19"/>
  <c r="D46" i="19"/>
  <c r="D582" i="19"/>
  <c r="D433" i="19"/>
  <c r="D339" i="19"/>
  <c r="D862" i="19"/>
  <c r="D264" i="19"/>
  <c r="D89" i="19"/>
  <c r="D54" i="19"/>
  <c r="D329" i="19"/>
  <c r="D591" i="19"/>
  <c r="D110" i="19"/>
  <c r="D103" i="19"/>
  <c r="D62" i="19"/>
  <c r="D102" i="19"/>
  <c r="K38" i="8"/>
  <c r="J222" i="4"/>
  <c r="K220" i="4"/>
  <c r="L36" i="8"/>
  <c r="K39" i="8"/>
  <c r="K223" i="4" s="1"/>
  <c r="H19" i="6"/>
  <c r="T57" i="5"/>
  <c r="T60" i="5" s="1"/>
  <c r="T43" i="5"/>
  <c r="H218" i="4"/>
  <c r="X31" i="5"/>
  <c r="Y31" i="5"/>
  <c r="AC31" i="5"/>
  <c r="Y24" i="5"/>
  <c r="X24" i="5"/>
  <c r="AC24" i="5"/>
  <c r="K7" i="7"/>
  <c r="AM113" i="7" s="1"/>
  <c r="K54" i="5"/>
  <c r="K52" i="5"/>
  <c r="K72" i="5"/>
  <c r="AA38" i="5"/>
  <c r="AF38" i="5"/>
  <c r="AB38" i="5"/>
  <c r="Q50" i="5"/>
  <c r="J39" i="8"/>
  <c r="J223" i="4" s="1"/>
  <c r="C16" i="16"/>
  <c r="C57" i="13"/>
  <c r="C22" i="2" s="1"/>
  <c r="C13" i="17"/>
  <c r="H202" i="4"/>
  <c r="T45" i="5"/>
  <c r="D50" i="5"/>
  <c r="G54" i="5" s="1"/>
  <c r="L14" i="7" l="1"/>
  <c r="AN113" i="7"/>
  <c r="N72" i="5"/>
  <c r="J50" i="5"/>
  <c r="P52" i="5"/>
  <c r="L10" i="7"/>
  <c r="L11" i="7" s="1"/>
  <c r="L12" i="7"/>
  <c r="M12" i="7" s="1"/>
  <c r="V22" i="5"/>
  <c r="V26" i="5" s="1"/>
  <c r="L15" i="7"/>
  <c r="M14" i="7"/>
  <c r="J53" i="8"/>
  <c r="I12" i="7"/>
  <c r="I14" i="7"/>
  <c r="I10" i="7"/>
  <c r="I8" i="7"/>
  <c r="E59" i="7"/>
  <c r="C228" i="4" s="1"/>
  <c r="C208" i="4"/>
  <c r="C227" i="4" s="1"/>
  <c r="E22" i="7"/>
  <c r="E60" i="7"/>
  <c r="E19" i="7"/>
  <c r="AK115" i="7" s="1"/>
  <c r="E63" i="7"/>
  <c r="C254" i="4" s="1"/>
  <c r="Q72" i="5"/>
  <c r="Q54" i="5"/>
  <c r="Q52" i="5"/>
  <c r="Q7" i="7"/>
  <c r="AO113" i="7" s="1"/>
  <c r="D232" i="4"/>
  <c r="D69" i="6"/>
  <c r="H64" i="5"/>
  <c r="D231" i="4" s="1"/>
  <c r="AE38" i="5"/>
  <c r="AD38" i="5"/>
  <c r="T59" i="5"/>
  <c r="R57" i="5"/>
  <c r="F232" i="4"/>
  <c r="F69" i="6"/>
  <c r="N64" i="5"/>
  <c r="F231" i="4" s="1"/>
  <c r="AC40" i="5"/>
  <c r="K206" i="4" s="1"/>
  <c r="AF36" i="5"/>
  <c r="AA36" i="5"/>
  <c r="AA40" i="5" s="1"/>
  <c r="C40" i="8"/>
  <c r="C29" i="8"/>
  <c r="M52" i="5"/>
  <c r="M7" i="7"/>
  <c r="P8" i="7" s="1"/>
  <c r="AD10" i="5"/>
  <c r="AE10" i="5"/>
  <c r="S42" i="5"/>
  <c r="S12" i="5"/>
  <c r="S45" i="5" s="1"/>
  <c r="V15" i="5"/>
  <c r="V19" i="5" s="1"/>
  <c r="C13" i="18"/>
  <c r="C13" i="11"/>
  <c r="C19" i="2"/>
  <c r="C65" i="10"/>
  <c r="C7" i="7"/>
  <c r="F8" i="7" s="1"/>
  <c r="C52" i="5"/>
  <c r="K24" i="8"/>
  <c r="J22" i="8"/>
  <c r="J21" i="9" s="1"/>
  <c r="L220" i="4"/>
  <c r="I19" i="6"/>
  <c r="W57" i="5"/>
  <c r="W60" i="5" s="1"/>
  <c r="W43" i="5"/>
  <c r="I218" i="4"/>
  <c r="D52" i="5"/>
  <c r="D7" i="7"/>
  <c r="G8" i="7" s="1"/>
  <c r="F47" i="20"/>
  <c r="E24" i="20"/>
  <c r="E48" i="8"/>
  <c r="E215" i="4" s="1"/>
  <c r="K58" i="7"/>
  <c r="K11" i="7"/>
  <c r="K51" i="7" s="1"/>
  <c r="K18" i="7"/>
  <c r="AM114" i="7" s="1"/>
  <c r="E28" i="8"/>
  <c r="E207" i="4"/>
  <c r="K15" i="7"/>
  <c r="K13" i="7"/>
  <c r="E6" i="6"/>
  <c r="G232" i="4"/>
  <c r="G69" i="6"/>
  <c r="Q64" i="5"/>
  <c r="G231" i="4" s="1"/>
  <c r="V29" i="5"/>
  <c r="V33" i="5" s="1"/>
  <c r="Z68" i="5"/>
  <c r="J219" i="4" s="1"/>
  <c r="AC8" i="5"/>
  <c r="Z42" i="5"/>
  <c r="X8" i="5"/>
  <c r="Z12" i="5"/>
  <c r="I229" i="4"/>
  <c r="W71" i="5"/>
  <c r="I230" i="4" s="1"/>
  <c r="C70" i="6"/>
  <c r="C73" i="6"/>
  <c r="C74" i="6" s="1"/>
  <c r="Z19" i="5"/>
  <c r="J203" i="4" s="1"/>
  <c r="AC15" i="5"/>
  <c r="X15" i="5"/>
  <c r="X19" i="5" s="1"/>
  <c r="U12" i="5"/>
  <c r="U45" i="5" s="1"/>
  <c r="U42" i="5"/>
  <c r="AF24" i="5"/>
  <c r="AB24" i="5"/>
  <c r="AA24" i="5"/>
  <c r="I202" i="4"/>
  <c r="W45" i="5"/>
  <c r="T44" i="5"/>
  <c r="H242" i="4" s="1"/>
  <c r="T47" i="5"/>
  <c r="T48" i="5" s="1"/>
  <c r="C74" i="17"/>
  <c r="C270" i="4" s="1"/>
  <c r="D13" i="17"/>
  <c r="C16" i="18"/>
  <c r="C56" i="18" s="1"/>
  <c r="C57" i="18" s="1"/>
  <c r="L38" i="8"/>
  <c r="K222" i="4"/>
  <c r="V8" i="5"/>
  <c r="R47" i="5"/>
  <c r="R48" i="5" s="1"/>
  <c r="R44" i="5"/>
  <c r="AE17" i="5"/>
  <c r="AD17" i="5"/>
  <c r="C15" i="6"/>
  <c r="C8" i="6"/>
  <c r="C98" i="6"/>
  <c r="C241" i="4" s="1"/>
  <c r="C20" i="6"/>
  <c r="C12" i="6"/>
  <c r="C236" i="4" s="1"/>
  <c r="C10" i="6"/>
  <c r="C235" i="4" s="1"/>
  <c r="C14" i="6"/>
  <c r="L8" i="8"/>
  <c r="X29" i="5"/>
  <c r="X33" i="5" s="1"/>
  <c r="Z33" i="5"/>
  <c r="J205" i="4" s="1"/>
  <c r="AC29" i="5"/>
  <c r="I204" i="4"/>
  <c r="AB31" i="5"/>
  <c r="AF31" i="5"/>
  <c r="AA31" i="5"/>
  <c r="F49" i="20"/>
  <c r="F51" i="20"/>
  <c r="F40" i="20"/>
  <c r="G47" i="20"/>
  <c r="F39" i="20"/>
  <c r="F24" i="20"/>
  <c r="F28" i="8"/>
  <c r="N13" i="7"/>
  <c r="F6" i="6"/>
  <c r="F207" i="4"/>
  <c r="N18" i="7"/>
  <c r="AN114" i="7" s="1"/>
  <c r="N11" i="7"/>
  <c r="N51" i="7" s="1"/>
  <c r="N8" i="7"/>
  <c r="F48" i="8"/>
  <c r="F215" i="4" s="1"/>
  <c r="N58" i="7"/>
  <c r="N15" i="7"/>
  <c r="F62" i="20"/>
  <c r="H7" i="7"/>
  <c r="H52" i="5"/>
  <c r="H54" i="5"/>
  <c r="H72" i="5"/>
  <c r="X22" i="5"/>
  <c r="X26" i="5" s="1"/>
  <c r="Z70" i="5"/>
  <c r="Y22" i="5"/>
  <c r="Y26" i="5" s="1"/>
  <c r="Z26" i="5"/>
  <c r="AC22" i="5"/>
  <c r="F14" i="7" l="1"/>
  <c r="AL113" i="7"/>
  <c r="T50" i="5"/>
  <c r="T72" i="5" s="1"/>
  <c r="L16" i="7"/>
  <c r="L18" i="7" s="1"/>
  <c r="L19" i="7" s="1"/>
  <c r="T63" i="5"/>
  <c r="H69" i="6" s="1"/>
  <c r="M10" i="7"/>
  <c r="M16" i="7" s="1"/>
  <c r="M18" i="7" s="1"/>
  <c r="J52" i="5"/>
  <c r="J7" i="7"/>
  <c r="J8" i="7" s="1"/>
  <c r="J54" i="5"/>
  <c r="Y29" i="5"/>
  <c r="Y33" i="5" s="1"/>
  <c r="L13" i="7"/>
  <c r="M54" i="5"/>
  <c r="M13" i="7"/>
  <c r="E49" i="20"/>
  <c r="E51" i="20"/>
  <c r="E62" i="20"/>
  <c r="F12" i="7"/>
  <c r="F13" i="7" s="1"/>
  <c r="M15" i="7"/>
  <c r="E39" i="20"/>
  <c r="K8" i="7"/>
  <c r="F10" i="7"/>
  <c r="G10" i="7" s="1"/>
  <c r="G14" i="7"/>
  <c r="G15" i="7" s="1"/>
  <c r="F15" i="7"/>
  <c r="R58" i="5"/>
  <c r="R61" i="5" s="1"/>
  <c r="R63" i="5"/>
  <c r="R64" i="5" s="1"/>
  <c r="N19" i="7"/>
  <c r="AN115" i="7" s="1"/>
  <c r="N59" i="7"/>
  <c r="F228" i="4" s="1"/>
  <c r="N60" i="7"/>
  <c r="F208" i="4"/>
  <c r="F227" i="4" s="1"/>
  <c r="N22" i="7"/>
  <c r="N63" i="7"/>
  <c r="F254" i="4" s="1"/>
  <c r="C25" i="6"/>
  <c r="C239" i="4" s="1"/>
  <c r="C16" i="6"/>
  <c r="C237" i="4" s="1"/>
  <c r="X12" i="5"/>
  <c r="X45" i="5" s="1"/>
  <c r="X42" i="5"/>
  <c r="AC12" i="5"/>
  <c r="AC68" i="5"/>
  <c r="K219" i="4" s="1"/>
  <c r="AA8" i="5"/>
  <c r="AF8" i="5"/>
  <c r="AC42" i="5"/>
  <c r="AB36" i="5"/>
  <c r="AB40" i="5" s="1"/>
  <c r="J204" i="4"/>
  <c r="Y8" i="5"/>
  <c r="U60" i="5"/>
  <c r="E40" i="8"/>
  <c r="E29" i="8"/>
  <c r="E45" i="18"/>
  <c r="D45" i="18"/>
  <c r="C29" i="18"/>
  <c r="C31" i="18"/>
  <c r="C27" i="18"/>
  <c r="C30" i="18"/>
  <c r="D7" i="19"/>
  <c r="F45" i="18"/>
  <c r="C28" i="18"/>
  <c r="F59" i="20"/>
  <c r="F46" i="20"/>
  <c r="F40" i="8"/>
  <c r="F29" i="8"/>
  <c r="U44" i="5"/>
  <c r="U47" i="5"/>
  <c r="U48" i="5" s="1"/>
  <c r="K60" i="7"/>
  <c r="E208" i="4"/>
  <c r="E227" i="4" s="1"/>
  <c r="K22" i="7"/>
  <c r="K19" i="7"/>
  <c r="AM115" i="7" s="1"/>
  <c r="K59" i="7"/>
  <c r="E228" i="4" s="1"/>
  <c r="K63" i="7"/>
  <c r="E254" i="4" s="1"/>
  <c r="U57" i="5"/>
  <c r="W59" i="5"/>
  <c r="C22" i="20"/>
  <c r="C25" i="20" s="1"/>
  <c r="E56" i="7"/>
  <c r="E23" i="7"/>
  <c r="E53" i="7" s="1"/>
  <c r="E28" i="7"/>
  <c r="AC70" i="5"/>
  <c r="AC26" i="5"/>
  <c r="AF22" i="5"/>
  <c r="AB22" i="5"/>
  <c r="AB26" i="5" s="1"/>
  <c r="AA22" i="5"/>
  <c r="AA26" i="5" s="1"/>
  <c r="R50" i="5"/>
  <c r="T64" i="5"/>
  <c r="H231" i="4" s="1"/>
  <c r="AC19" i="5"/>
  <c r="K203" i="4" s="1"/>
  <c r="AF15" i="5"/>
  <c r="AA15" i="5"/>
  <c r="AA19" i="5" s="1"/>
  <c r="D49" i="20"/>
  <c r="D39" i="20"/>
  <c r="D24" i="20"/>
  <c r="D40" i="20"/>
  <c r="D51" i="20"/>
  <c r="E47" i="20"/>
  <c r="D28" i="8"/>
  <c r="E59" i="20" s="1"/>
  <c r="H13" i="7"/>
  <c r="D207" i="4"/>
  <c r="H58" i="7"/>
  <c r="H11" i="7"/>
  <c r="H51" i="7" s="1"/>
  <c r="H15" i="7"/>
  <c r="H8" i="7"/>
  <c r="D6" i="6"/>
  <c r="H18" i="7"/>
  <c r="AL114" i="7" s="1"/>
  <c r="D48" i="8"/>
  <c r="D215" i="4" s="1"/>
  <c r="D62" i="20"/>
  <c r="D47" i="20"/>
  <c r="V42" i="5"/>
  <c r="V12" i="5"/>
  <c r="V45" i="5" s="1"/>
  <c r="Y15" i="5"/>
  <c r="Y19" i="5" s="1"/>
  <c r="G49" i="20"/>
  <c r="G24" i="20"/>
  <c r="G39" i="20"/>
  <c r="G40" i="20"/>
  <c r="C6" i="18"/>
  <c r="G207" i="4"/>
  <c r="Q8" i="7"/>
  <c r="C22" i="11" s="1"/>
  <c r="Q58" i="7"/>
  <c r="G48" i="8"/>
  <c r="G215" i="4" s="1"/>
  <c r="Q18" i="7"/>
  <c r="AO114" i="7" s="1"/>
  <c r="Q13" i="7"/>
  <c r="Q11" i="7"/>
  <c r="Q51" i="7" s="1"/>
  <c r="Q15" i="7"/>
  <c r="G6" i="6"/>
  <c r="G70" i="6" s="1"/>
  <c r="C11" i="14"/>
  <c r="C21" i="11"/>
  <c r="G51" i="20"/>
  <c r="G28" i="8"/>
  <c r="G62" i="20"/>
  <c r="O14" i="7"/>
  <c r="O10" i="7"/>
  <c r="O12" i="7"/>
  <c r="C62" i="6"/>
  <c r="C234" i="4"/>
  <c r="C60" i="6"/>
  <c r="L222" i="4"/>
  <c r="J202" i="4"/>
  <c r="Z45" i="5"/>
  <c r="J13" i="8"/>
  <c r="K51" i="8"/>
  <c r="S44" i="5"/>
  <c r="S47" i="5"/>
  <c r="S48" i="5" s="1"/>
  <c r="S50" i="5"/>
  <c r="D73" i="6"/>
  <c r="R60" i="5"/>
  <c r="L39" i="8"/>
  <c r="L223" i="4" s="1"/>
  <c r="I16" i="7"/>
  <c r="I18" i="7" s="1"/>
  <c r="J10" i="7"/>
  <c r="I11" i="7"/>
  <c r="G73" i="6"/>
  <c r="E40" i="20"/>
  <c r="M8" i="7"/>
  <c r="I15" i="7"/>
  <c r="J14" i="7"/>
  <c r="F73" i="6"/>
  <c r="F74" i="6" s="1"/>
  <c r="F70" i="6"/>
  <c r="C63" i="6"/>
  <c r="C22" i="6"/>
  <c r="L24" i="8"/>
  <c r="L22" i="8" s="1"/>
  <c r="K22" i="8"/>
  <c r="K21" i="9" s="1"/>
  <c r="I13" i="7"/>
  <c r="J12" i="7"/>
  <c r="AE31" i="5"/>
  <c r="AD31" i="5"/>
  <c r="W44" i="5"/>
  <c r="I242" i="4" s="1"/>
  <c r="W47" i="5"/>
  <c r="W48" i="5" s="1"/>
  <c r="E20" i="6"/>
  <c r="E12" i="6"/>
  <c r="E236" i="4" s="1"/>
  <c r="E15" i="6"/>
  <c r="E10" i="6"/>
  <c r="E235" i="4" s="1"/>
  <c r="E8" i="6"/>
  <c r="E98" i="6"/>
  <c r="E241" i="4" s="1"/>
  <c r="E70" i="6"/>
  <c r="E14" i="6"/>
  <c r="E74" i="6"/>
  <c r="S57" i="5"/>
  <c r="S60" i="5" s="1"/>
  <c r="J54" i="8"/>
  <c r="J56" i="8" s="1"/>
  <c r="Z26" i="7" s="1"/>
  <c r="C14" i="7"/>
  <c r="C10" i="7"/>
  <c r="C12" i="7"/>
  <c r="AF40" i="5"/>
  <c r="L206" i="4" s="1"/>
  <c r="AD36" i="5"/>
  <c r="AD40" i="5" s="1"/>
  <c r="Z71" i="5"/>
  <c r="J230" i="4" s="1"/>
  <c r="J229" i="4"/>
  <c r="F15" i="6"/>
  <c r="F98" i="6"/>
  <c r="F241" i="4" s="1"/>
  <c r="F20" i="6"/>
  <c r="F10" i="6"/>
  <c r="F235" i="4" s="1"/>
  <c r="F12" i="6"/>
  <c r="F236" i="4" s="1"/>
  <c r="F8" i="6"/>
  <c r="F14" i="6"/>
  <c r="AF29" i="5"/>
  <c r="AA29" i="5"/>
  <c r="AA33" i="5" s="1"/>
  <c r="AB29" i="5"/>
  <c r="AB33" i="5" s="1"/>
  <c r="AC33" i="5"/>
  <c r="K205" i="4" s="1"/>
  <c r="AE24" i="5"/>
  <c r="AD24" i="5"/>
  <c r="Z57" i="5"/>
  <c r="Z60" i="5" s="1"/>
  <c r="Z43" i="5"/>
  <c r="J218" i="4"/>
  <c r="J19" i="6"/>
  <c r="G36" i="11"/>
  <c r="H36" i="11"/>
  <c r="C45" i="11" s="1"/>
  <c r="F36" i="11"/>
  <c r="D36" i="11"/>
  <c r="C43" i="11"/>
  <c r="E36" i="11"/>
  <c r="E52" i="7"/>
  <c r="C209" i="4"/>
  <c r="L22" i="7" l="1"/>
  <c r="J13" i="7"/>
  <c r="C212" i="4"/>
  <c r="AK118" i="7"/>
  <c r="T7" i="7"/>
  <c r="AP113" i="7" s="1"/>
  <c r="AB15" i="5"/>
  <c r="AB19" i="5" s="1"/>
  <c r="T54" i="5"/>
  <c r="M11" i="7"/>
  <c r="F11" i="7"/>
  <c r="J15" i="7"/>
  <c r="F16" i="7"/>
  <c r="F18" i="7" s="1"/>
  <c r="F22" i="7" s="1"/>
  <c r="W50" i="5"/>
  <c r="H232" i="4"/>
  <c r="F61" i="20"/>
  <c r="G12" i="7"/>
  <c r="G13" i="7" s="1"/>
  <c r="G74" i="6"/>
  <c r="M22" i="7"/>
  <c r="M19" i="7"/>
  <c r="Y12" i="5"/>
  <c r="Y45" i="5" s="1"/>
  <c r="Y42" i="5"/>
  <c r="E60" i="6"/>
  <c r="E234" i="4"/>
  <c r="E62" i="6"/>
  <c r="L21" i="9"/>
  <c r="L23" i="7"/>
  <c r="L28" i="7"/>
  <c r="S7" i="7"/>
  <c r="S54" i="5"/>
  <c r="AD22" i="5"/>
  <c r="AD26" i="5" s="1"/>
  <c r="AF70" i="5"/>
  <c r="AF26" i="5"/>
  <c r="E209" i="4"/>
  <c r="K52" i="7"/>
  <c r="C1026" i="19"/>
  <c r="C1019" i="19"/>
  <c r="C1012" i="19"/>
  <c r="C1005" i="19"/>
  <c r="C998" i="19"/>
  <c r="C991" i="19"/>
  <c r="C984" i="19"/>
  <c r="C977" i="19"/>
  <c r="C970" i="19"/>
  <c r="C963" i="19"/>
  <c r="C956" i="19"/>
  <c r="C949" i="19"/>
  <c r="C942" i="19"/>
  <c r="C935" i="19"/>
  <c r="C928" i="19"/>
  <c r="C921" i="19"/>
  <c r="C914" i="19"/>
  <c r="C996" i="19"/>
  <c r="C994" i="19"/>
  <c r="C992" i="19"/>
  <c r="C990" i="19"/>
  <c r="C988" i="19"/>
  <c r="C986" i="19"/>
  <c r="C947" i="19"/>
  <c r="C945" i="19"/>
  <c r="C943" i="19"/>
  <c r="C941" i="19"/>
  <c r="C939" i="19"/>
  <c r="C937" i="19"/>
  <c r="C903" i="19"/>
  <c r="C896" i="19"/>
  <c r="C889" i="19"/>
  <c r="C1020" i="19"/>
  <c r="C1017" i="19"/>
  <c r="C1000" i="19"/>
  <c r="C997" i="19"/>
  <c r="C960" i="19"/>
  <c r="C957" i="19"/>
  <c r="C954" i="19"/>
  <c r="C920" i="19"/>
  <c r="C917" i="19"/>
  <c r="C906" i="19"/>
  <c r="C901" i="19"/>
  <c r="C882" i="19"/>
  <c r="C867" i="19"/>
  <c r="C860" i="19"/>
  <c r="C853" i="19"/>
  <c r="C846" i="19"/>
  <c r="C839" i="19"/>
  <c r="C832" i="19"/>
  <c r="C825" i="19"/>
  <c r="C818" i="19"/>
  <c r="C811" i="19"/>
  <c r="C804" i="19"/>
  <c r="C797" i="19"/>
  <c r="C790" i="19"/>
  <c r="C783" i="19"/>
  <c r="C776" i="19"/>
  <c r="C769" i="19"/>
  <c r="C762" i="19"/>
  <c r="C755" i="19"/>
  <c r="C748" i="19"/>
  <c r="C741" i="19"/>
  <c r="C734" i="19"/>
  <c r="C727" i="19"/>
  <c r="C720" i="19"/>
  <c r="C713" i="19"/>
  <c r="C706" i="19"/>
  <c r="C699" i="19"/>
  <c r="C692" i="19"/>
  <c r="C1022" i="19"/>
  <c r="C1002" i="19"/>
  <c r="C999" i="19"/>
  <c r="C965" i="19"/>
  <c r="C962" i="19"/>
  <c r="C959" i="19"/>
  <c r="C1030" i="19"/>
  <c r="C1027" i="19"/>
  <c r="C987" i="19"/>
  <c r="C930" i="19"/>
  <c r="C927" i="19"/>
  <c r="C890" i="19"/>
  <c r="C883" i="19"/>
  <c r="C881" i="19"/>
  <c r="C1021" i="19"/>
  <c r="C981" i="19"/>
  <c r="C978" i="19"/>
  <c r="C938" i="19"/>
  <c r="C897" i="19"/>
  <c r="C877" i="19"/>
  <c r="C909" i="19"/>
  <c r="C879" i="19"/>
  <c r="C856" i="19"/>
  <c r="C802" i="19"/>
  <c r="C800" i="19"/>
  <c r="C798" i="19"/>
  <c r="C1015" i="19"/>
  <c r="C1003" i="19"/>
  <c r="C995" i="19"/>
  <c r="C975" i="19"/>
  <c r="C955" i="19"/>
  <c r="C931" i="19"/>
  <c r="C912" i="19"/>
  <c r="C893" i="19"/>
  <c r="C874" i="19"/>
  <c r="C858" i="19"/>
  <c r="C847" i="19"/>
  <c r="C1023" i="19"/>
  <c r="C1011" i="19"/>
  <c r="C1007" i="19"/>
  <c r="C983" i="19"/>
  <c r="C979" i="19"/>
  <c r="C971" i="19"/>
  <c r="C967" i="19"/>
  <c r="C1024" i="19"/>
  <c r="C1008" i="19"/>
  <c r="C1004" i="19"/>
  <c r="C980" i="19"/>
  <c r="C976" i="19"/>
  <c r="C972" i="19"/>
  <c r="C968" i="19"/>
  <c r="C964" i="19"/>
  <c r="C948" i="19"/>
  <c r="C944" i="19"/>
  <c r="C940" i="19"/>
  <c r="C936" i="19"/>
  <c r="C932" i="19"/>
  <c r="C924" i="19"/>
  <c r="C900" i="19"/>
  <c r="C863" i="19"/>
  <c r="C837" i="19"/>
  <c r="C835" i="19"/>
  <c r="C833" i="19"/>
  <c r="C1010" i="19"/>
  <c r="C982" i="19"/>
  <c r="C950" i="19"/>
  <c r="C925" i="19"/>
  <c r="C915" i="19"/>
  <c r="C902" i="19"/>
  <c r="C845" i="19"/>
  <c r="C806" i="19"/>
  <c r="C799" i="19"/>
  <c r="C767" i="19"/>
  <c r="C765" i="19"/>
  <c r="C763" i="19"/>
  <c r="C910" i="19"/>
  <c r="C876" i="19"/>
  <c r="C873" i="19"/>
  <c r="C864" i="19"/>
  <c r="C1025" i="19"/>
  <c r="C1018" i="19"/>
  <c r="C1013" i="19"/>
  <c r="C985" i="19"/>
  <c r="C989" i="19"/>
  <c r="C951" i="19"/>
  <c r="C946" i="19"/>
  <c r="C1009" i="19"/>
  <c r="C1001" i="19"/>
  <c r="C922" i="19"/>
  <c r="C916" i="19"/>
  <c r="C865" i="19"/>
  <c r="C840" i="19"/>
  <c r="C824" i="19"/>
  <c r="C801" i="19"/>
  <c r="C773" i="19"/>
  <c r="C714" i="19"/>
  <c r="C697" i="19"/>
  <c r="C686" i="19"/>
  <c r="C679" i="19"/>
  <c r="C672" i="19"/>
  <c r="C665" i="19"/>
  <c r="C658" i="19"/>
  <c r="C993" i="19"/>
  <c r="C934" i="19"/>
  <c r="C891" i="19"/>
  <c r="C886" i="19"/>
  <c r="C875" i="19"/>
  <c r="C819" i="19"/>
  <c r="C791" i="19"/>
  <c r="C784" i="19"/>
  <c r="C775" i="19"/>
  <c r="C733" i="19"/>
  <c r="C731" i="19"/>
  <c r="C729" i="19"/>
  <c r="C712" i="19"/>
  <c r="C899" i="19"/>
  <c r="C826" i="19"/>
  <c r="C821" i="19"/>
  <c r="C779" i="19"/>
  <c r="C768" i="19"/>
  <c r="C753" i="19"/>
  <c r="C751" i="19"/>
  <c r="C749" i="19"/>
  <c r="C898" i="19"/>
  <c r="C870" i="19"/>
  <c r="C850" i="19"/>
  <c r="C844" i="19"/>
  <c r="C828" i="19"/>
  <c r="C823" i="19"/>
  <c r="C805" i="19"/>
  <c r="C973" i="19"/>
  <c r="C918" i="19"/>
  <c r="C907" i="19"/>
  <c r="C866" i="19"/>
  <c r="C841" i="19"/>
  <c r="C838" i="19"/>
  <c r="C792" i="19"/>
  <c r="C953" i="19"/>
  <c r="C913" i="19"/>
  <c r="C851" i="19"/>
  <c r="C842" i="19"/>
  <c r="C777" i="19"/>
  <c r="C774" i="19"/>
  <c r="C771" i="19"/>
  <c r="C736" i="19"/>
  <c r="C724" i="19"/>
  <c r="C952" i="19"/>
  <c r="C904" i="19"/>
  <c r="C872" i="19"/>
  <c r="C780" i="19"/>
  <c r="C754" i="19"/>
  <c r="C726" i="19"/>
  <c r="C715" i="19"/>
  <c r="C974" i="19"/>
  <c r="C861" i="19"/>
  <c r="C829" i="19"/>
  <c r="C817" i="19"/>
  <c r="C813" i="19"/>
  <c r="C786" i="19"/>
  <c r="C759" i="19"/>
  <c r="C746" i="19"/>
  <c r="C728" i="19"/>
  <c r="C717" i="19"/>
  <c r="C684" i="19"/>
  <c r="C961" i="19"/>
  <c r="C911" i="19"/>
  <c r="C871" i="19"/>
  <c r="C809" i="19"/>
  <c r="C793" i="19"/>
  <c r="C738" i="19"/>
  <c r="C719" i="19"/>
  <c r="C849" i="19"/>
  <c r="C969" i="19"/>
  <c r="C926" i="19"/>
  <c r="C880" i="19"/>
  <c r="C929" i="19"/>
  <c r="C887" i="19"/>
  <c r="C834" i="19"/>
  <c r="C966" i="19"/>
  <c r="C816" i="19"/>
  <c r="C663" i="19"/>
  <c r="C652" i="19"/>
  <c r="C645" i="19"/>
  <c r="C638" i="19"/>
  <c r="C631" i="19"/>
  <c r="C624" i="19"/>
  <c r="C617" i="19"/>
  <c r="C610" i="19"/>
  <c r="C603" i="19"/>
  <c r="C596" i="19"/>
  <c r="C589" i="19"/>
  <c r="C582" i="19"/>
  <c r="C575" i="19"/>
  <c r="C568" i="19"/>
  <c r="C561" i="19"/>
  <c r="C554" i="19"/>
  <c r="C547" i="19"/>
  <c r="C540" i="19"/>
  <c r="C533" i="19"/>
  <c r="C526" i="19"/>
  <c r="C519" i="19"/>
  <c r="C512" i="19"/>
  <c r="C794" i="19"/>
  <c r="C723" i="19"/>
  <c r="C682" i="19"/>
  <c r="C680" i="19"/>
  <c r="C678" i="19"/>
  <c r="C676" i="19"/>
  <c r="C659" i="19"/>
  <c r="C650" i="19"/>
  <c r="C643" i="19"/>
  <c r="C636" i="19"/>
  <c r="C629" i="19"/>
  <c r="C622" i="19"/>
  <c r="C615" i="19"/>
  <c r="C608" i="19"/>
  <c r="C601" i="19"/>
  <c r="C594" i="19"/>
  <c r="C587" i="19"/>
  <c r="C580" i="19"/>
  <c r="C573" i="19"/>
  <c r="C566" i="19"/>
  <c r="C559" i="19"/>
  <c r="C552" i="19"/>
  <c r="C545" i="19"/>
  <c r="C538" i="19"/>
  <c r="C531" i="19"/>
  <c r="C524" i="19"/>
  <c r="C517" i="19"/>
  <c r="C510" i="19"/>
  <c r="C503" i="19"/>
  <c r="C496" i="19"/>
  <c r="C489" i="19"/>
  <c r="C482" i="19"/>
  <c r="C1028" i="19"/>
  <c r="C908" i="19"/>
  <c r="C884" i="19"/>
  <c r="C855" i="19"/>
  <c r="C827" i="19"/>
  <c r="C810" i="19"/>
  <c r="C788" i="19"/>
  <c r="C770" i="19"/>
  <c r="C740" i="19"/>
  <c r="C711" i="19"/>
  <c r="C674" i="19"/>
  <c r="C657" i="19"/>
  <c r="C923" i="19"/>
  <c r="C895" i="19"/>
  <c r="C820" i="19"/>
  <c r="C815" i="19"/>
  <c r="C766" i="19"/>
  <c r="C744" i="19"/>
  <c r="C831" i="19"/>
  <c r="C808" i="19"/>
  <c r="C803" i="19"/>
  <c r="C787" i="19"/>
  <c r="C732" i="19"/>
  <c r="C705" i="19"/>
  <c r="C666" i="19"/>
  <c r="C653" i="19"/>
  <c r="C646" i="19"/>
  <c r="C639" i="19"/>
  <c r="C632" i="19"/>
  <c r="C625" i="19"/>
  <c r="C618" i="19"/>
  <c r="C611" i="19"/>
  <c r="C905" i="19"/>
  <c r="C862" i="19"/>
  <c r="C836" i="19"/>
  <c r="C814" i="19"/>
  <c r="C750" i="19"/>
  <c r="C739" i="19"/>
  <c r="C735" i="19"/>
  <c r="C716" i="19"/>
  <c r="C707" i="19"/>
  <c r="C696" i="19"/>
  <c r="C662" i="19"/>
  <c r="C651" i="19"/>
  <c r="C644" i="19"/>
  <c r="C637" i="19"/>
  <c r="C1016" i="19"/>
  <c r="C830" i="19"/>
  <c r="C796" i="19"/>
  <c r="C772" i="19"/>
  <c r="C764" i="19"/>
  <c r="C752" i="19"/>
  <c r="C745" i="19"/>
  <c r="C718" i="19"/>
  <c r="C708" i="19"/>
  <c r="C701" i="19"/>
  <c r="C649" i="19"/>
  <c r="C807" i="19"/>
  <c r="C757" i="19"/>
  <c r="C694" i="19"/>
  <c r="C681" i="19"/>
  <c r="C669" i="19"/>
  <c r="C660" i="19"/>
  <c r="C633" i="19"/>
  <c r="C628" i="19"/>
  <c r="C623" i="19"/>
  <c r="C597" i="19"/>
  <c r="C586" i="19"/>
  <c r="C1014" i="19"/>
  <c r="C933" i="19"/>
  <c r="C859" i="19"/>
  <c r="C843" i="19"/>
  <c r="C778" i="19"/>
  <c r="C722" i="19"/>
  <c r="C704" i="19"/>
  <c r="C687" i="19"/>
  <c r="C613" i="19"/>
  <c r="C599" i="19"/>
  <c r="C588" i="19"/>
  <c r="C577" i="19"/>
  <c r="C1006" i="19"/>
  <c r="C857" i="19"/>
  <c r="C756" i="19"/>
  <c r="C737" i="19"/>
  <c r="C700" i="19"/>
  <c r="C677" i="19"/>
  <c r="C869" i="19"/>
  <c r="C742" i="19"/>
  <c r="C710" i="19"/>
  <c r="C689" i="19"/>
  <c r="C888" i="19"/>
  <c r="C747" i="19"/>
  <c r="C885" i="19"/>
  <c r="C852" i="19"/>
  <c r="C789" i="19"/>
  <c r="C630" i="19"/>
  <c r="C605" i="19"/>
  <c r="C591" i="19"/>
  <c r="C585" i="19"/>
  <c r="C572" i="19"/>
  <c r="C560" i="19"/>
  <c r="C546" i="19"/>
  <c r="C535" i="19"/>
  <c r="C499" i="19"/>
  <c r="C484" i="19"/>
  <c r="C475" i="19"/>
  <c r="C468" i="19"/>
  <c r="C461" i="19"/>
  <c r="C454" i="19"/>
  <c r="C447" i="19"/>
  <c r="C440" i="19"/>
  <c r="C761" i="19"/>
  <c r="C656" i="19"/>
  <c r="C641" i="19"/>
  <c r="C620" i="19"/>
  <c r="C614" i="19"/>
  <c r="C602" i="19"/>
  <c r="C567" i="19"/>
  <c r="C555" i="19"/>
  <c r="C548" i="19"/>
  <c r="C537" i="19"/>
  <c r="C497" i="19"/>
  <c r="C822" i="19"/>
  <c r="C760" i="19"/>
  <c r="C698" i="19"/>
  <c r="C668" i="19"/>
  <c r="C640" i="19"/>
  <c r="C607" i="19"/>
  <c r="C593" i="19"/>
  <c r="C576" i="19"/>
  <c r="C564" i="19"/>
  <c r="C543" i="19"/>
  <c r="C506" i="19"/>
  <c r="C491" i="19"/>
  <c r="C478" i="19"/>
  <c r="C471" i="19"/>
  <c r="C464" i="19"/>
  <c r="C457" i="19"/>
  <c r="C868" i="19"/>
  <c r="C781" i="19"/>
  <c r="C709" i="19"/>
  <c r="C702" i="19"/>
  <c r="C647" i="19"/>
  <c r="C619" i="19"/>
  <c r="C598" i="19"/>
  <c r="C592" i="19"/>
  <c r="C584" i="19"/>
  <c r="C578" i="19"/>
  <c r="C500" i="19"/>
  <c r="C483" i="19"/>
  <c r="C795" i="19"/>
  <c r="C743" i="19"/>
  <c r="C691" i="19"/>
  <c r="C671" i="19"/>
  <c r="C667" i="19"/>
  <c r="C609" i="19"/>
  <c r="C606" i="19"/>
  <c r="C515" i="19"/>
  <c r="C513" i="19"/>
  <c r="C511" i="19"/>
  <c r="C892" i="19"/>
  <c r="C782" i="19"/>
  <c r="C525" i="19"/>
  <c r="C490" i="19"/>
  <c r="C458" i="19"/>
  <c r="C430" i="19"/>
  <c r="C423" i="19"/>
  <c r="C416" i="19"/>
  <c r="C409" i="19"/>
  <c r="C402" i="19"/>
  <c r="C395" i="19"/>
  <c r="C388" i="19"/>
  <c r="C381" i="19"/>
  <c r="C374" i="19"/>
  <c r="C367" i="19"/>
  <c r="C360" i="19"/>
  <c r="C353" i="19"/>
  <c r="C346" i="19"/>
  <c r="C339" i="19"/>
  <c r="C332" i="19"/>
  <c r="C325" i="19"/>
  <c r="C318" i="19"/>
  <c r="C311" i="19"/>
  <c r="C703" i="19"/>
  <c r="C695" i="19"/>
  <c r="C634" i="19"/>
  <c r="C600" i="19"/>
  <c r="C574" i="19"/>
  <c r="C563" i="19"/>
  <c r="C528" i="19"/>
  <c r="C509" i="19"/>
  <c r="C495" i="19"/>
  <c r="C487" i="19"/>
  <c r="C477" i="19"/>
  <c r="C472" i="19"/>
  <c r="C467" i="19"/>
  <c r="C460" i="19"/>
  <c r="C445" i="19"/>
  <c r="C443" i="19"/>
  <c r="C441" i="19"/>
  <c r="C439" i="19"/>
  <c r="C437" i="19"/>
  <c r="C878" i="19"/>
  <c r="C758" i="19"/>
  <c r="C685" i="19"/>
  <c r="C670" i="19"/>
  <c r="C590" i="19"/>
  <c r="C562" i="19"/>
  <c r="C551" i="19"/>
  <c r="C521" i="19"/>
  <c r="C469" i="19"/>
  <c r="C455" i="19"/>
  <c r="C433" i="19"/>
  <c r="C426" i="19"/>
  <c r="C419" i="19"/>
  <c r="C412" i="19"/>
  <c r="C405" i="19"/>
  <c r="C398" i="19"/>
  <c r="C391" i="19"/>
  <c r="C384" i="19"/>
  <c r="C377" i="19"/>
  <c r="C370" i="19"/>
  <c r="C363" i="19"/>
  <c r="C356" i="19"/>
  <c r="C349" i="19"/>
  <c r="C342" i="19"/>
  <c r="C335" i="19"/>
  <c r="C328" i="19"/>
  <c r="C321" i="19"/>
  <c r="C683" i="19"/>
  <c r="C655" i="19"/>
  <c r="C550" i="19"/>
  <c r="C514" i="19"/>
  <c r="C505" i="19"/>
  <c r="C502" i="19"/>
  <c r="C466" i="19"/>
  <c r="C459" i="19"/>
  <c r="C438" i="19"/>
  <c r="C1029" i="19"/>
  <c r="C919" i="19"/>
  <c r="C675" i="19"/>
  <c r="C661" i="19"/>
  <c r="C654" i="19"/>
  <c r="C648" i="19"/>
  <c r="C642" i="19"/>
  <c r="C626" i="19"/>
  <c r="C621" i="19"/>
  <c r="C616" i="19"/>
  <c r="C557" i="19"/>
  <c r="C523" i="19"/>
  <c r="C473" i="19"/>
  <c r="C452" i="19"/>
  <c r="C450" i="19"/>
  <c r="C448" i="19"/>
  <c r="C446" i="19"/>
  <c r="C444" i="19"/>
  <c r="C442" i="19"/>
  <c r="C958" i="19"/>
  <c r="C635" i="19"/>
  <c r="C627" i="19"/>
  <c r="C604" i="19"/>
  <c r="C571" i="19"/>
  <c r="C532" i="19"/>
  <c r="C527" i="19"/>
  <c r="C434" i="19"/>
  <c r="C415" i="19"/>
  <c r="C396" i="19"/>
  <c r="C385" i="19"/>
  <c r="C366" i="19"/>
  <c r="C347" i="19"/>
  <c r="C324" i="19"/>
  <c r="C303" i="19"/>
  <c r="C286" i="19"/>
  <c r="C277" i="19"/>
  <c r="C270" i="19"/>
  <c r="C263" i="19"/>
  <c r="C256" i="19"/>
  <c r="C249" i="19"/>
  <c r="C242" i="19"/>
  <c r="C235" i="19"/>
  <c r="C228" i="19"/>
  <c r="C221" i="19"/>
  <c r="C214" i="19"/>
  <c r="C207" i="19"/>
  <c r="C200" i="19"/>
  <c r="C193" i="19"/>
  <c r="C186" i="19"/>
  <c r="C179" i="19"/>
  <c r="C172" i="19"/>
  <c r="C165" i="19"/>
  <c r="C848" i="19"/>
  <c r="C583" i="19"/>
  <c r="C565" i="19"/>
  <c r="C522" i="19"/>
  <c r="C463" i="19"/>
  <c r="C404" i="19"/>
  <c r="C393" i="19"/>
  <c r="C355" i="19"/>
  <c r="C344" i="19"/>
  <c r="C336" i="19"/>
  <c r="C331" i="19"/>
  <c r="C315" i="19"/>
  <c r="C313" i="19"/>
  <c r="C301" i="19"/>
  <c r="C284" i="19"/>
  <c r="C558" i="19"/>
  <c r="C541" i="19"/>
  <c r="C516" i="19"/>
  <c r="C481" i="19"/>
  <c r="C470" i="19"/>
  <c r="C462" i="19"/>
  <c r="C436" i="19"/>
  <c r="C417" i="19"/>
  <c r="C406" i="19"/>
  <c r="C387" i="19"/>
  <c r="C368" i="19"/>
  <c r="C357" i="19"/>
  <c r="C338" i="19"/>
  <c r="C333" i="19"/>
  <c r="C293" i="19"/>
  <c r="C280" i="19"/>
  <c r="C273" i="19"/>
  <c r="C266" i="19"/>
  <c r="C259" i="19"/>
  <c r="C252" i="19"/>
  <c r="C245" i="19"/>
  <c r="C238" i="19"/>
  <c r="C231" i="19"/>
  <c r="C224" i="19"/>
  <c r="C217" i="19"/>
  <c r="C210" i="19"/>
  <c r="C203" i="19"/>
  <c r="C196" i="19"/>
  <c r="C189" i="19"/>
  <c r="C894" i="19"/>
  <c r="C725" i="19"/>
  <c r="C501" i="19"/>
  <c r="C411" i="19"/>
  <c r="C400" i="19"/>
  <c r="C362" i="19"/>
  <c r="C351" i="19"/>
  <c r="C330" i="19"/>
  <c r="C314" i="19"/>
  <c r="C312" i="19"/>
  <c r="C310" i="19"/>
  <c r="C308" i="19"/>
  <c r="C306" i="19"/>
  <c r="C304" i="19"/>
  <c r="C302" i="19"/>
  <c r="C287" i="19"/>
  <c r="C690" i="19"/>
  <c r="C579" i="19"/>
  <c r="C556" i="19"/>
  <c r="C539" i="19"/>
  <c r="C492" i="19"/>
  <c r="C488" i="19"/>
  <c r="C476" i="19"/>
  <c r="C435" i="19"/>
  <c r="C397" i="19"/>
  <c r="C386" i="19"/>
  <c r="C348" i="19"/>
  <c r="C337" i="19"/>
  <c r="C298" i="19"/>
  <c r="C283" i="19"/>
  <c r="C693" i="19"/>
  <c r="C595" i="19"/>
  <c r="C421" i="19"/>
  <c r="C383" i="19"/>
  <c r="C329" i="19"/>
  <c r="C279" i="19"/>
  <c r="C268" i="19"/>
  <c r="C230" i="19"/>
  <c r="C219" i="19"/>
  <c r="C195" i="19"/>
  <c r="C190" i="19"/>
  <c r="C163" i="19"/>
  <c r="C161" i="19"/>
  <c r="C146" i="19"/>
  <c r="C673" i="19"/>
  <c r="C508" i="19"/>
  <c r="C494" i="19"/>
  <c r="C453" i="19"/>
  <c r="C425" i="19"/>
  <c r="C408" i="19"/>
  <c r="C305" i="19"/>
  <c r="C299" i="19"/>
  <c r="C296" i="19"/>
  <c r="C276" i="19"/>
  <c r="C257" i="19"/>
  <c r="C246" i="19"/>
  <c r="C227" i="19"/>
  <c r="C208" i="19"/>
  <c r="C159" i="19"/>
  <c r="C144" i="19"/>
  <c r="C142" i="19"/>
  <c r="C129" i="19"/>
  <c r="C122" i="19"/>
  <c r="C115" i="19"/>
  <c r="C108" i="19"/>
  <c r="C101" i="19"/>
  <c r="C94" i="19"/>
  <c r="C87" i="19"/>
  <c r="C80" i="19"/>
  <c r="C73" i="19"/>
  <c r="C66" i="19"/>
  <c r="C59" i="19"/>
  <c r="C52" i="19"/>
  <c r="C49" i="19"/>
  <c r="C42" i="19"/>
  <c r="C35" i="19"/>
  <c r="C581" i="19"/>
  <c r="C493" i="19"/>
  <c r="C480" i="19"/>
  <c r="C474" i="19"/>
  <c r="C424" i="19"/>
  <c r="C403" i="19"/>
  <c r="C352" i="19"/>
  <c r="C317" i="19"/>
  <c r="C251" i="19"/>
  <c r="C240" i="19"/>
  <c r="C202" i="19"/>
  <c r="C187" i="19"/>
  <c r="C185" i="19"/>
  <c r="C183" i="19"/>
  <c r="C181" i="19"/>
  <c r="C153" i="19"/>
  <c r="C136" i="19"/>
  <c r="C854" i="19"/>
  <c r="C612" i="19"/>
  <c r="C570" i="19"/>
  <c r="C498" i="19"/>
  <c r="C485" i="19"/>
  <c r="C479" i="19"/>
  <c r="C456" i="19"/>
  <c r="C327" i="19"/>
  <c r="C320" i="19"/>
  <c r="C292" i="19"/>
  <c r="C289" i="19"/>
  <c r="C264" i="19"/>
  <c r="C253" i="19"/>
  <c r="C234" i="19"/>
  <c r="C215" i="19"/>
  <c r="C204" i="19"/>
  <c r="C145" i="19"/>
  <c r="C130" i="19"/>
  <c r="C123" i="19"/>
  <c r="C116" i="19"/>
  <c r="C109" i="19"/>
  <c r="C102" i="19"/>
  <c r="C95" i="19"/>
  <c r="C88" i="19"/>
  <c r="C81" i="19"/>
  <c r="C730" i="19"/>
  <c r="C664" i="19"/>
  <c r="C431" i="19"/>
  <c r="C414" i="19"/>
  <c r="C410" i="19"/>
  <c r="C376" i="19"/>
  <c r="C359" i="19"/>
  <c r="C269" i="19"/>
  <c r="C250" i="19"/>
  <c r="C239" i="19"/>
  <c r="C220" i="19"/>
  <c r="C201" i="19"/>
  <c r="C158" i="19"/>
  <c r="C156" i="19"/>
  <c r="C141" i="19"/>
  <c r="C128" i="19"/>
  <c r="C121" i="19"/>
  <c r="C114" i="19"/>
  <c r="C107" i="19"/>
  <c r="C100" i="19"/>
  <c r="C93" i="19"/>
  <c r="C86" i="19"/>
  <c r="C536" i="19"/>
  <c r="C432" i="19"/>
  <c r="C399" i="19"/>
  <c r="C275" i="19"/>
  <c r="C271" i="19"/>
  <c r="C258" i="19"/>
  <c r="C237" i="19"/>
  <c r="C191" i="19"/>
  <c r="C184" i="19"/>
  <c r="C162" i="19"/>
  <c r="C127" i="19"/>
  <c r="C97" i="19"/>
  <c r="C89" i="19"/>
  <c r="C549" i="19"/>
  <c r="C392" i="19"/>
  <c r="C379" i="19"/>
  <c r="C372" i="19"/>
  <c r="C322" i="19"/>
  <c r="C316" i="19"/>
  <c r="C297" i="19"/>
  <c r="C288" i="19"/>
  <c r="C262" i="19"/>
  <c r="C241" i="19"/>
  <c r="C168" i="19"/>
  <c r="C150" i="19"/>
  <c r="C147" i="19"/>
  <c r="C105" i="19"/>
  <c r="C74" i="19"/>
  <c r="C72" i="19"/>
  <c r="C70" i="19"/>
  <c r="C68" i="19"/>
  <c r="C39" i="19"/>
  <c r="C36" i="19"/>
  <c r="C33" i="19"/>
  <c r="C364" i="19"/>
  <c r="C358" i="19"/>
  <c r="C278" i="19"/>
  <c r="C261" i="19"/>
  <c r="C223" i="19"/>
  <c r="C206" i="19"/>
  <c r="C180" i="19"/>
  <c r="C118" i="19"/>
  <c r="C110" i="19"/>
  <c r="C99" i="19"/>
  <c r="C812" i="19"/>
  <c r="C530" i="19"/>
  <c r="C518" i="19"/>
  <c r="C486" i="19"/>
  <c r="C422" i="19"/>
  <c r="C389" i="19"/>
  <c r="C343" i="19"/>
  <c r="C319" i="19"/>
  <c r="C309" i="19"/>
  <c r="C295" i="19"/>
  <c r="C205" i="19"/>
  <c r="C173" i="19"/>
  <c r="C137" i="19"/>
  <c r="C134" i="19"/>
  <c r="C112" i="19"/>
  <c r="C71" i="19"/>
  <c r="C69" i="19"/>
  <c r="C67" i="19"/>
  <c r="C65" i="19"/>
  <c r="C63" i="19"/>
  <c r="C61" i="19"/>
  <c r="C688" i="19"/>
  <c r="C401" i="19"/>
  <c r="C375" i="19"/>
  <c r="C290" i="19"/>
  <c r="C213" i="19"/>
  <c r="C182" i="19"/>
  <c r="C160" i="19"/>
  <c r="C157" i="19"/>
  <c r="C154" i="19"/>
  <c r="C98" i="19"/>
  <c r="C75" i="19"/>
  <c r="C413" i="19"/>
  <c r="C380" i="19"/>
  <c r="C354" i="19"/>
  <c r="C341" i="19"/>
  <c r="C267" i="19"/>
  <c r="C229" i="19"/>
  <c r="C212" i="19"/>
  <c r="C175" i="19"/>
  <c r="C133" i="19"/>
  <c r="C111" i="19"/>
  <c r="C373" i="19"/>
  <c r="C340" i="19"/>
  <c r="C334" i="19"/>
  <c r="C307" i="19"/>
  <c r="C254" i="19"/>
  <c r="C233" i="19"/>
  <c r="C216" i="19"/>
  <c r="C199" i="19"/>
  <c r="C188" i="19"/>
  <c r="C178" i="19"/>
  <c r="C544" i="19"/>
  <c r="C429" i="19"/>
  <c r="C350" i="19"/>
  <c r="C218" i="19"/>
  <c r="C167" i="19"/>
  <c r="C143" i="19"/>
  <c r="C104" i="19"/>
  <c r="C79" i="19"/>
  <c r="C43" i="19"/>
  <c r="C569" i="19"/>
  <c r="C542" i="19"/>
  <c r="C428" i="19"/>
  <c r="C260" i="19"/>
  <c r="C243" i="19"/>
  <c r="C226" i="19"/>
  <c r="C209" i="19"/>
  <c r="C113" i="19"/>
  <c r="C91" i="19"/>
  <c r="C53" i="19"/>
  <c r="C785" i="19"/>
  <c r="C427" i="19"/>
  <c r="C294" i="19"/>
  <c r="C285" i="19"/>
  <c r="C192" i="19"/>
  <c r="C166" i="19"/>
  <c r="C132" i="19"/>
  <c r="C50" i="19"/>
  <c r="C45" i="19"/>
  <c r="C38" i="19"/>
  <c r="C31" i="19"/>
  <c r="C534" i="19"/>
  <c r="C232" i="19"/>
  <c r="C198" i="19"/>
  <c r="C171" i="19"/>
  <c r="C117" i="19"/>
  <c r="C103" i="19"/>
  <c r="C90" i="19"/>
  <c r="C78" i="19"/>
  <c r="C62" i="19"/>
  <c r="C47" i="19"/>
  <c r="C40" i="19"/>
  <c r="C507" i="19"/>
  <c r="C451" i="19"/>
  <c r="C197" i="19"/>
  <c r="C170" i="19"/>
  <c r="C135" i="19"/>
  <c r="C85" i="19"/>
  <c r="C326" i="19"/>
  <c r="C236" i="19"/>
  <c r="C194" i="19"/>
  <c r="C174" i="19"/>
  <c r="C119" i="19"/>
  <c r="C92" i="19"/>
  <c r="C76" i="19"/>
  <c r="C54" i="19"/>
  <c r="C41" i="19"/>
  <c r="C34" i="19"/>
  <c r="C520" i="19"/>
  <c r="C390" i="19"/>
  <c r="C244" i="19"/>
  <c r="C155" i="19"/>
  <c r="C149" i="19"/>
  <c r="C138" i="19"/>
  <c r="C96" i="19"/>
  <c r="C83" i="19"/>
  <c r="C60" i="19"/>
  <c r="C48" i="19"/>
  <c r="C371" i="19"/>
  <c r="C345" i="19"/>
  <c r="C126" i="19"/>
  <c r="C721" i="19"/>
  <c r="C300" i="19"/>
  <c r="C282" i="19"/>
  <c r="C265" i="19"/>
  <c r="C248" i="19"/>
  <c r="C55" i="19"/>
  <c r="C420" i="19"/>
  <c r="C169" i="19"/>
  <c r="C274" i="19"/>
  <c r="C177" i="19"/>
  <c r="C131" i="19"/>
  <c r="C382" i="19"/>
  <c r="C222" i="19"/>
  <c r="C176" i="19"/>
  <c r="C140" i="19"/>
  <c r="C77" i="19"/>
  <c r="C58" i="19"/>
  <c r="C37" i="19"/>
  <c r="C378" i="19"/>
  <c r="C139" i="19"/>
  <c r="C57" i="19"/>
  <c r="C529" i="19"/>
  <c r="C465" i="19"/>
  <c r="C365" i="19"/>
  <c r="C152" i="19"/>
  <c r="C51" i="19"/>
  <c r="C449" i="19"/>
  <c r="C148" i="19"/>
  <c r="C32" i="19"/>
  <c r="C361" i="19"/>
  <c r="C255" i="19"/>
  <c r="C225" i="19"/>
  <c r="C151" i="19"/>
  <c r="C407" i="19"/>
  <c r="C281" i="19"/>
  <c r="C84" i="19"/>
  <c r="C82" i="19"/>
  <c r="C247" i="19"/>
  <c r="C504" i="19"/>
  <c r="C394" i="19"/>
  <c r="C272" i="19"/>
  <c r="C56" i="19"/>
  <c r="C211" i="19"/>
  <c r="C124" i="19"/>
  <c r="C106" i="19"/>
  <c r="C46" i="19"/>
  <c r="C44" i="19"/>
  <c r="C64" i="19"/>
  <c r="C369" i="19"/>
  <c r="C323" i="19"/>
  <c r="C125" i="19"/>
  <c r="C120" i="19"/>
  <c r="C291" i="19"/>
  <c r="C418" i="19"/>
  <c r="C164" i="19"/>
  <c r="C553" i="19"/>
  <c r="AE36" i="5"/>
  <c r="AE40" i="5" s="1"/>
  <c r="C23" i="6"/>
  <c r="C65" i="6"/>
  <c r="C238" i="4"/>
  <c r="C23" i="11"/>
  <c r="Q63" i="7"/>
  <c r="G254" i="4" s="1"/>
  <c r="Q60" i="7"/>
  <c r="Q19" i="7"/>
  <c r="AO115" i="7" s="1"/>
  <c r="Q22" i="7"/>
  <c r="Q59" i="7"/>
  <c r="G228" i="4" s="1"/>
  <c r="G208" i="4"/>
  <c r="G227" i="4" s="1"/>
  <c r="D11" i="14"/>
  <c r="K204" i="4"/>
  <c r="E22" i="20"/>
  <c r="E25" i="20" s="1"/>
  <c r="K56" i="7"/>
  <c r="K23" i="7"/>
  <c r="K53" i="7" s="1"/>
  <c r="K28" i="7"/>
  <c r="X47" i="5"/>
  <c r="X44" i="5"/>
  <c r="I22" i="7"/>
  <c r="I19" i="7"/>
  <c r="O15" i="7"/>
  <c r="P14" i="7"/>
  <c r="P15" i="7" s="1"/>
  <c r="D20" i="6"/>
  <c r="D15" i="6"/>
  <c r="D98" i="6"/>
  <c r="D241" i="4" s="1"/>
  <c r="D12" i="6"/>
  <c r="D236" i="4" s="1"/>
  <c r="D8" i="6"/>
  <c r="D10" i="6"/>
  <c r="D235" i="4" s="1"/>
  <c r="D14" i="6"/>
  <c r="AF33" i="5"/>
  <c r="L205" i="4" s="1"/>
  <c r="AD29" i="5"/>
  <c r="AD33" i="5" s="1"/>
  <c r="D12" i="7"/>
  <c r="D13" i="7" s="1"/>
  <c r="C13" i="7"/>
  <c r="H28" i="8"/>
  <c r="T14" i="7"/>
  <c r="H207" i="4"/>
  <c r="H6" i="6"/>
  <c r="F22" i="20"/>
  <c r="F25" i="20" s="1"/>
  <c r="N56" i="7"/>
  <c r="N28" i="7"/>
  <c r="N23" i="7"/>
  <c r="N53" i="7" s="1"/>
  <c r="D10" i="7"/>
  <c r="C11" i="7"/>
  <c r="C16" i="7"/>
  <c r="C18" i="7" s="1"/>
  <c r="AD15" i="5"/>
  <c r="AD19" i="5" s="1"/>
  <c r="AF19" i="5"/>
  <c r="L203" i="4" s="1"/>
  <c r="U50" i="5"/>
  <c r="AC57" i="5"/>
  <c r="AC60" i="5" s="1"/>
  <c r="K19" i="6"/>
  <c r="AC43" i="5"/>
  <c r="K218" i="4"/>
  <c r="AF68" i="5"/>
  <c r="L219" i="4" s="1"/>
  <c r="AD8" i="5"/>
  <c r="AF12" i="5"/>
  <c r="AF42" i="5"/>
  <c r="AE8" i="5"/>
  <c r="J28" i="9"/>
  <c r="X26" i="7"/>
  <c r="Y26" i="7" s="1"/>
  <c r="J9" i="9"/>
  <c r="AA42" i="5"/>
  <c r="AA12" i="5"/>
  <c r="AA45" i="5" s="1"/>
  <c r="S58" i="5"/>
  <c r="S61" i="5" s="1"/>
  <c r="S63" i="5"/>
  <c r="S64" i="5" s="1"/>
  <c r="D70" i="6"/>
  <c r="Z50" i="5"/>
  <c r="Z47" i="5"/>
  <c r="Z48" i="5" s="1"/>
  <c r="Z44" i="5"/>
  <c r="W63" i="5"/>
  <c r="F41" i="8"/>
  <c r="F12" i="9" s="1"/>
  <c r="AB8" i="5"/>
  <c r="N52" i="7"/>
  <c r="F209" i="4"/>
  <c r="E16" i="6"/>
  <c r="E237" i="4" s="1"/>
  <c r="E25" i="6"/>
  <c r="E239" i="4" s="1"/>
  <c r="O13" i="7"/>
  <c r="P12" i="7"/>
  <c r="P13" i="7" s="1"/>
  <c r="J11" i="7"/>
  <c r="J16" i="7"/>
  <c r="J18" i="7" s="1"/>
  <c r="P10" i="7"/>
  <c r="O16" i="7"/>
  <c r="O18" i="7" s="1"/>
  <c r="O11" i="7"/>
  <c r="H59" i="7"/>
  <c r="D228" i="4" s="1"/>
  <c r="H60" i="7"/>
  <c r="H19" i="7"/>
  <c r="AL115" i="7" s="1"/>
  <c r="H22" i="7"/>
  <c r="D208" i="4"/>
  <c r="D227" i="4" s="1"/>
  <c r="H63" i="7"/>
  <c r="D254" i="4" s="1"/>
  <c r="E63" i="6"/>
  <c r="E22" i="6"/>
  <c r="F60" i="6"/>
  <c r="F62" i="6"/>
  <c r="F234" i="4"/>
  <c r="D14" i="7"/>
  <c r="D15" i="7" s="1"/>
  <c r="C15" i="7"/>
  <c r="W7" i="7"/>
  <c r="AQ113" i="7" s="1"/>
  <c r="W54" i="5"/>
  <c r="W72" i="5"/>
  <c r="K53" i="8"/>
  <c r="G59" i="20"/>
  <c r="G46" i="20"/>
  <c r="C20" i="16"/>
  <c r="C22" i="16" s="1"/>
  <c r="C23" i="16" s="1"/>
  <c r="G40" i="8"/>
  <c r="G29" i="8"/>
  <c r="C26" i="20"/>
  <c r="C305" i="4"/>
  <c r="F22" i="6"/>
  <c r="F63" i="6"/>
  <c r="D74" i="6"/>
  <c r="R7" i="7"/>
  <c r="R54" i="5"/>
  <c r="U58" i="5"/>
  <c r="U61" i="5" s="1"/>
  <c r="U63" i="5"/>
  <c r="U64" i="5" s="1"/>
  <c r="E34" i="7"/>
  <c r="C37" i="9" s="1"/>
  <c r="C7" i="9"/>
  <c r="C11" i="9" s="1"/>
  <c r="C13" i="9" s="1"/>
  <c r="C15" i="9" s="1"/>
  <c r="E36" i="7"/>
  <c r="AK116" i="7" s="1"/>
  <c r="E29" i="7"/>
  <c r="E31" i="7"/>
  <c r="G15" i="6"/>
  <c r="G20" i="6"/>
  <c r="G10" i="6"/>
  <c r="G235" i="4" s="1"/>
  <c r="G8" i="6"/>
  <c r="G98" i="6"/>
  <c r="G241" i="4" s="1"/>
  <c r="G12" i="6"/>
  <c r="G236" i="4" s="1"/>
  <c r="G14" i="6"/>
  <c r="D46" i="20"/>
  <c r="D59" i="20"/>
  <c r="D40" i="8"/>
  <c r="D29" i="8"/>
  <c r="D61" i="20" s="1"/>
  <c r="V57" i="5"/>
  <c r="E46" i="20"/>
  <c r="K202" i="4"/>
  <c r="AC45" i="5"/>
  <c r="AC71" i="5"/>
  <c r="K230" i="4" s="1"/>
  <c r="K229" i="4"/>
  <c r="Z59" i="5"/>
  <c r="X57" i="5"/>
  <c r="X60" i="5" s="1"/>
  <c r="F25" i="6"/>
  <c r="F239" i="4" s="1"/>
  <c r="F16" i="6"/>
  <c r="F237" i="4" s="1"/>
  <c r="G11" i="7"/>
  <c r="V44" i="5"/>
  <c r="V47" i="5"/>
  <c r="D21" i="11" l="1"/>
  <c r="D22" i="11" s="1"/>
  <c r="T12" i="7"/>
  <c r="H45" i="8"/>
  <c r="F212" i="4"/>
  <c r="AN118" i="7"/>
  <c r="E212" i="4"/>
  <c r="AM118" i="7"/>
  <c r="H15" i="8"/>
  <c r="T10" i="7"/>
  <c r="T8" i="7"/>
  <c r="G16" i="7"/>
  <c r="G18" i="7" s="1"/>
  <c r="G19" i="7" s="1"/>
  <c r="AE29" i="5"/>
  <c r="AE33" i="5" s="1"/>
  <c r="F19" i="7"/>
  <c r="E61" i="20"/>
  <c r="E21" i="11"/>
  <c r="I45" i="8"/>
  <c r="W10" i="7"/>
  <c r="I6" i="6"/>
  <c r="W14" i="7"/>
  <c r="W12" i="7"/>
  <c r="W8" i="7"/>
  <c r="I28" i="8"/>
  <c r="I207" i="4"/>
  <c r="L218" i="4"/>
  <c r="AF57" i="5"/>
  <c r="AF60" i="5"/>
  <c r="AF43" i="5"/>
  <c r="L19" i="6"/>
  <c r="G63" i="6"/>
  <c r="G22" i="6"/>
  <c r="F65" i="6"/>
  <c r="F23" i="6"/>
  <c r="F238" i="4"/>
  <c r="O22" i="7"/>
  <c r="O19" i="7"/>
  <c r="J242" i="4"/>
  <c r="Z63" i="5"/>
  <c r="AF45" i="5"/>
  <c r="L202" i="4"/>
  <c r="G25" i="6"/>
  <c r="G239" i="4" s="1"/>
  <c r="G16" i="6"/>
  <c r="G237" i="4" s="1"/>
  <c r="Z54" i="5"/>
  <c r="Z7" i="7"/>
  <c r="Z72" i="5"/>
  <c r="D62" i="6"/>
  <c r="D60" i="6"/>
  <c r="D61" i="6" s="1"/>
  <c r="D234" i="4"/>
  <c r="S12" i="7"/>
  <c r="S13" i="7" s="1"/>
  <c r="S14" i="7"/>
  <c r="S15" i="7" s="1"/>
  <c r="S8" i="7"/>
  <c r="S10" i="7"/>
  <c r="V48" i="5"/>
  <c r="V50" i="5"/>
  <c r="T13" i="7"/>
  <c r="H9" i="6"/>
  <c r="AC47" i="5"/>
  <c r="AC48" i="5" s="1"/>
  <c r="AC44" i="5"/>
  <c r="K242" i="4" s="1"/>
  <c r="P16" i="7"/>
  <c r="P18" i="7" s="1"/>
  <c r="P11" i="7"/>
  <c r="V63" i="5"/>
  <c r="V64" i="5" s="1"/>
  <c r="V58" i="5"/>
  <c r="V61" i="5" s="1"/>
  <c r="V60" i="5"/>
  <c r="C68" i="20"/>
  <c r="C72" i="20" s="1"/>
  <c r="E57" i="7"/>
  <c r="E37" i="7"/>
  <c r="E54" i="7" s="1"/>
  <c r="E55" i="7"/>
  <c r="E42" i="7"/>
  <c r="AK117" i="7" s="1"/>
  <c r="C210" i="4"/>
  <c r="E39" i="7"/>
  <c r="E65" i="6"/>
  <c r="E238" i="4"/>
  <c r="E23" i="6"/>
  <c r="C39" i="9"/>
  <c r="C38" i="9"/>
  <c r="C225" i="4"/>
  <c r="D34" i="17"/>
  <c r="C46" i="17" s="1"/>
  <c r="E46" i="17" s="1"/>
  <c r="C34" i="17"/>
  <c r="C69" i="17" s="1"/>
  <c r="C264" i="4" s="1"/>
  <c r="E34" i="17"/>
  <c r="AC59" i="5"/>
  <c r="AA57" i="5"/>
  <c r="AA60" i="5" s="1"/>
  <c r="U54" i="5"/>
  <c r="U7" i="7"/>
  <c r="D30" i="11"/>
  <c r="D9" i="12"/>
  <c r="H20" i="9"/>
  <c r="H22" i="9" s="1"/>
  <c r="H48" i="8"/>
  <c r="H215" i="4" s="1"/>
  <c r="H214" i="4"/>
  <c r="H47" i="8"/>
  <c r="G22" i="20"/>
  <c r="G25" i="20" s="1"/>
  <c r="Q28" i="7"/>
  <c r="Q23" i="7"/>
  <c r="Q53" i="7" s="1"/>
  <c r="Q56" i="7"/>
  <c r="D22" i="20"/>
  <c r="D25" i="20" s="1"/>
  <c r="H23" i="7"/>
  <c r="H53" i="7" s="1"/>
  <c r="H56" i="7"/>
  <c r="H28" i="7"/>
  <c r="X63" i="5"/>
  <c r="X64" i="5" s="1"/>
  <c r="X58" i="5"/>
  <c r="X61" i="5" s="1"/>
  <c r="Y57" i="5"/>
  <c r="Y60" i="5" s="1"/>
  <c r="L51" i="8"/>
  <c r="K13" i="8"/>
  <c r="K54" i="8"/>
  <c r="K56" i="8" s="1"/>
  <c r="AC26" i="7" s="1"/>
  <c r="N34" i="7"/>
  <c r="F37" i="9" s="1"/>
  <c r="N31" i="7"/>
  <c r="N29" i="7"/>
  <c r="F7" i="9"/>
  <c r="F11" i="9" s="1"/>
  <c r="F13" i="9" s="1"/>
  <c r="F15" i="9" s="1"/>
  <c r="N36" i="7"/>
  <c r="AN116" i="7" s="1"/>
  <c r="Y47" i="5"/>
  <c r="Y48" i="5" s="1"/>
  <c r="Y44" i="5"/>
  <c r="E41" i="8"/>
  <c r="E12" i="9" s="1"/>
  <c r="D41" i="8"/>
  <c r="D12" i="9" s="1"/>
  <c r="C30" i="16"/>
  <c r="C32" i="16" s="1"/>
  <c r="C33" i="16" s="1"/>
  <c r="G41" i="8"/>
  <c r="I69" i="6"/>
  <c r="I232" i="4"/>
  <c r="W64" i="5"/>
  <c r="I231" i="4" s="1"/>
  <c r="AE12" i="5"/>
  <c r="X48" i="5"/>
  <c r="X50" i="5"/>
  <c r="I15" i="8"/>
  <c r="C26" i="11"/>
  <c r="C24" i="11"/>
  <c r="L204" i="4"/>
  <c r="F28" i="7"/>
  <c r="F23" i="7"/>
  <c r="AE15" i="5"/>
  <c r="AE19" i="5" s="1"/>
  <c r="D16" i="7"/>
  <c r="D18" i="7" s="1"/>
  <c r="D11" i="7"/>
  <c r="H26" i="8"/>
  <c r="T11" i="7"/>
  <c r="T51" i="7" s="1"/>
  <c r="H7" i="6"/>
  <c r="T16" i="7"/>
  <c r="T18" i="7" s="1"/>
  <c r="AP114" i="7" s="1"/>
  <c r="H14" i="8"/>
  <c r="H16" i="8" s="1"/>
  <c r="D22" i="6"/>
  <c r="D63" i="6"/>
  <c r="AE22" i="5"/>
  <c r="AE26" i="5" s="1"/>
  <c r="E26" i="20"/>
  <c r="E305" i="4"/>
  <c r="L36" i="7"/>
  <c r="L29" i="7"/>
  <c r="L34" i="7"/>
  <c r="J22" i="7"/>
  <c r="J19" i="7"/>
  <c r="AD42" i="5"/>
  <c r="AD12" i="5"/>
  <c r="AD45" i="5" s="1"/>
  <c r="I28" i="7"/>
  <c r="I23" i="7"/>
  <c r="E11" i="14"/>
  <c r="F20" i="14" s="1"/>
  <c r="E249" i="4" s="1"/>
  <c r="C30" i="14"/>
  <c r="C34" i="14" s="1"/>
  <c r="F26" i="20"/>
  <c r="F305" i="4"/>
  <c r="C17" i="9"/>
  <c r="C40" i="9"/>
  <c r="C224" i="4"/>
  <c r="H29" i="8"/>
  <c r="I29" i="8" s="1"/>
  <c r="G61" i="20"/>
  <c r="F61" i="6"/>
  <c r="H95" i="6"/>
  <c r="H96" i="6"/>
  <c r="H20" i="6"/>
  <c r="G209" i="4"/>
  <c r="Q52" i="7"/>
  <c r="AA47" i="5"/>
  <c r="AA48" i="5" s="1"/>
  <c r="AA44" i="5"/>
  <c r="H70" i="6"/>
  <c r="T15" i="7"/>
  <c r="H11" i="6"/>
  <c r="H12" i="6" s="1"/>
  <c r="H236" i="4" s="1"/>
  <c r="K34" i="7"/>
  <c r="E37" i="9" s="1"/>
  <c r="K31" i="7"/>
  <c r="K36" i="7"/>
  <c r="AM116" i="7" s="1"/>
  <c r="E7" i="9"/>
  <c r="E11" i="9" s="1"/>
  <c r="K29" i="7"/>
  <c r="R8" i="7"/>
  <c r="R12" i="7"/>
  <c r="R13" i="7" s="1"/>
  <c r="R14" i="7"/>
  <c r="R15" i="7" s="1"/>
  <c r="R10" i="7"/>
  <c r="H52" i="7"/>
  <c r="D209" i="4"/>
  <c r="AB42" i="5"/>
  <c r="AB12" i="5"/>
  <c r="AB45" i="5" s="1"/>
  <c r="C19" i="7"/>
  <c r="C22" i="7"/>
  <c r="AF71" i="5"/>
  <c r="L230" i="4" s="1"/>
  <c r="L229" i="4"/>
  <c r="G60" i="6"/>
  <c r="G61" i="6" s="1"/>
  <c r="G234" i="4"/>
  <c r="G62" i="6"/>
  <c r="D25" i="6"/>
  <c r="D239" i="4" s="1"/>
  <c r="D16" i="6"/>
  <c r="D237" i="4" s="1"/>
  <c r="M23" i="7"/>
  <c r="M28" i="7"/>
  <c r="E22" i="11" l="1"/>
  <c r="D212" i="4"/>
  <c r="AL118" i="7"/>
  <c r="C213" i="4"/>
  <c r="AK119" i="7"/>
  <c r="G212" i="4"/>
  <c r="AO118" i="7"/>
  <c r="G22" i="7"/>
  <c r="AC63" i="5"/>
  <c r="AC64" i="5" s="1"/>
  <c r="K231" i="4" s="1"/>
  <c r="J15" i="8"/>
  <c r="Y50" i="5"/>
  <c r="Y7" i="7" s="1"/>
  <c r="J29" i="8"/>
  <c r="AA50" i="5"/>
  <c r="AC50" i="5"/>
  <c r="AC72" i="5" s="1"/>
  <c r="V54" i="5"/>
  <c r="V7" i="7"/>
  <c r="J69" i="6"/>
  <c r="J232" i="4"/>
  <c r="Z64" i="5"/>
  <c r="J231" i="4" s="1"/>
  <c r="H97" i="6"/>
  <c r="K9" i="9"/>
  <c r="AA26" i="7"/>
  <c r="K28" i="9"/>
  <c r="AB26" i="7"/>
  <c r="D65" i="6"/>
  <c r="D23" i="6"/>
  <c r="D238" i="4"/>
  <c r="C27" i="11"/>
  <c r="C28" i="11" s="1"/>
  <c r="M36" i="7"/>
  <c r="M29" i="7"/>
  <c r="M34" i="7"/>
  <c r="I36" i="7"/>
  <c r="I29" i="7"/>
  <c r="I34" i="7"/>
  <c r="D7" i="9"/>
  <c r="D11" i="9" s="1"/>
  <c r="D13" i="9" s="1"/>
  <c r="D15" i="9" s="1"/>
  <c r="H34" i="7"/>
  <c r="D37" i="9" s="1"/>
  <c r="H31" i="7"/>
  <c r="H36" i="7"/>
  <c r="H29" i="7"/>
  <c r="O28" i="7"/>
  <c r="O23" i="7"/>
  <c r="C28" i="7"/>
  <c r="C23" i="7"/>
  <c r="G26" i="20"/>
  <c r="F10" i="20" s="1"/>
  <c r="E10" i="20"/>
  <c r="G305" i="4"/>
  <c r="H20" i="8"/>
  <c r="I44" i="8"/>
  <c r="AF47" i="5"/>
  <c r="AF48" i="5" s="1"/>
  <c r="AF44" i="5"/>
  <c r="L242" i="4" s="1"/>
  <c r="AF50" i="5"/>
  <c r="AB44" i="5"/>
  <c r="AB47" i="5"/>
  <c r="AB48" i="5" s="1"/>
  <c r="AB50" i="5"/>
  <c r="Y58" i="5"/>
  <c r="Y61" i="5" s="1"/>
  <c r="Y63" i="5"/>
  <c r="Y64" i="5" s="1"/>
  <c r="AD47" i="5"/>
  <c r="AD48" i="5" s="1"/>
  <c r="AD44" i="5"/>
  <c r="AD60" i="5"/>
  <c r="U12" i="7"/>
  <c r="U13" i="7" s="1"/>
  <c r="U10" i="7"/>
  <c r="U14" i="7"/>
  <c r="U15" i="7" s="1"/>
  <c r="U8" i="7"/>
  <c r="AC54" i="5"/>
  <c r="W13" i="7"/>
  <c r="I9" i="6"/>
  <c r="AE45" i="5"/>
  <c r="F33" i="20"/>
  <c r="F32" i="20"/>
  <c r="F53" i="20"/>
  <c r="F54" i="20" s="1"/>
  <c r="F55" i="20" s="1"/>
  <c r="F68" i="20"/>
  <c r="F72" i="20" s="1"/>
  <c r="F30" i="20"/>
  <c r="F41" i="20" s="1"/>
  <c r="F58" i="20"/>
  <c r="F64" i="20" s="1"/>
  <c r="F65" i="20" s="1"/>
  <c r="N57" i="7"/>
  <c r="N42" i="7"/>
  <c r="AN117" i="7" s="1"/>
  <c r="F210" i="4"/>
  <c r="N37" i="7"/>
  <c r="N54" i="7" s="1"/>
  <c r="N55" i="7"/>
  <c r="N39" i="7"/>
  <c r="W15" i="7"/>
  <c r="I11" i="6"/>
  <c r="I12" i="6" s="1"/>
  <c r="I236" i="4" s="1"/>
  <c r="G7" i="9"/>
  <c r="G11" i="9" s="1"/>
  <c r="Q34" i="7"/>
  <c r="G37" i="9" s="1"/>
  <c r="Q36" i="7"/>
  <c r="AO116" i="7" s="1"/>
  <c r="Q29" i="7"/>
  <c r="Q31" i="7"/>
  <c r="E38" i="9"/>
  <c r="E39" i="9"/>
  <c r="E225" i="4"/>
  <c r="L53" i="8"/>
  <c r="L13" i="8" s="1"/>
  <c r="L54" i="8"/>
  <c r="L56" i="8" s="1"/>
  <c r="AF26" i="7" s="1"/>
  <c r="X7" i="7"/>
  <c r="X54" i="5"/>
  <c r="AA63" i="5"/>
  <c r="AA64" i="5" s="1"/>
  <c r="AA58" i="5"/>
  <c r="AA61" i="5" s="1"/>
  <c r="AR70" i="7"/>
  <c r="J207" i="4" s="1"/>
  <c r="Z10" i="7"/>
  <c r="F21" i="11"/>
  <c r="F22" i="11" s="1"/>
  <c r="Z14" i="7"/>
  <c r="J45" i="8"/>
  <c r="Z8" i="7"/>
  <c r="Z12" i="7"/>
  <c r="J28" i="8"/>
  <c r="J6" i="6"/>
  <c r="W11" i="7"/>
  <c r="W51" i="7" s="1"/>
  <c r="I7" i="6"/>
  <c r="W16" i="7"/>
  <c r="W18" i="7" s="1"/>
  <c r="AQ114" i="7" s="1"/>
  <c r="I26" i="8"/>
  <c r="I14" i="8"/>
  <c r="I16" i="8" s="1"/>
  <c r="S16" i="7"/>
  <c r="S18" i="7" s="1"/>
  <c r="S11" i="7"/>
  <c r="D26" i="20"/>
  <c r="D305" i="4"/>
  <c r="D22" i="7"/>
  <c r="D19" i="7"/>
  <c r="K232" i="4"/>
  <c r="E43" i="7"/>
  <c r="E45" i="7" s="1"/>
  <c r="C27" i="9" s="1"/>
  <c r="C29" i="9" s="1"/>
  <c r="C32" i="9" s="1"/>
  <c r="E62" i="7"/>
  <c r="C253" i="4" s="1"/>
  <c r="C211" i="4"/>
  <c r="H10" i="6"/>
  <c r="H235" i="4" s="1"/>
  <c r="H24" i="6"/>
  <c r="E30" i="11"/>
  <c r="E9" i="12"/>
  <c r="I20" i="9"/>
  <c r="I22" i="9" s="1"/>
  <c r="I214" i="4"/>
  <c r="I48" i="8"/>
  <c r="I215" i="4" s="1"/>
  <c r="E33" i="20"/>
  <c r="E58" i="20"/>
  <c r="E64" i="20" s="1"/>
  <c r="E65" i="20" s="1"/>
  <c r="E53" i="20"/>
  <c r="E54" i="20" s="1"/>
  <c r="E55" i="20" s="1"/>
  <c r="E30" i="20"/>
  <c r="E68" i="20"/>
  <c r="E72" i="20" s="1"/>
  <c r="E210" i="4"/>
  <c r="K39" i="7"/>
  <c r="K42" i="7"/>
  <c r="AM117" i="7" s="1"/>
  <c r="K37" i="7"/>
  <c r="K54" i="7" s="1"/>
  <c r="K57" i="7"/>
  <c r="K55" i="7"/>
  <c r="L42" i="7"/>
  <c r="L37" i="7"/>
  <c r="C31" i="11"/>
  <c r="C10" i="12"/>
  <c r="G12" i="9"/>
  <c r="F36" i="7"/>
  <c r="F34" i="7"/>
  <c r="F29" i="7"/>
  <c r="F34" i="17"/>
  <c r="D69" i="17"/>
  <c r="D264" i="4" s="1"/>
  <c r="AE57" i="5"/>
  <c r="AD57" i="5"/>
  <c r="AF59" i="5"/>
  <c r="H63" i="6"/>
  <c r="C73" i="20"/>
  <c r="C307" i="4"/>
  <c r="H208" i="4"/>
  <c r="D23" i="11"/>
  <c r="T19" i="7"/>
  <c r="AP115" i="7" s="1"/>
  <c r="E76" i="10"/>
  <c r="D76" i="10"/>
  <c r="C76" i="10"/>
  <c r="T22" i="7"/>
  <c r="T59" i="7"/>
  <c r="H228" i="4" s="1"/>
  <c r="F76" i="10"/>
  <c r="P19" i="7"/>
  <c r="P22" i="7"/>
  <c r="R16" i="7"/>
  <c r="R18" i="7" s="1"/>
  <c r="R11" i="7"/>
  <c r="AA7" i="7"/>
  <c r="AA54" i="5"/>
  <c r="D51" i="6"/>
  <c r="D44" i="6"/>
  <c r="H21" i="6"/>
  <c r="H64" i="6" s="1"/>
  <c r="D50" i="6"/>
  <c r="D45" i="6"/>
  <c r="D49" i="6"/>
  <c r="H8" i="6"/>
  <c r="H13" i="6"/>
  <c r="D48" i="6"/>
  <c r="H72" i="6"/>
  <c r="H73" i="6" s="1"/>
  <c r="D47" i="6"/>
  <c r="D46" i="6"/>
  <c r="J23" i="7"/>
  <c r="J28" i="7"/>
  <c r="H40" i="8"/>
  <c r="AE42" i="5"/>
  <c r="F17" i="9"/>
  <c r="F40" i="9"/>
  <c r="F224" i="4"/>
  <c r="G238" i="4"/>
  <c r="G65" i="6"/>
  <c r="G23" i="6"/>
  <c r="I96" i="6"/>
  <c r="I20" i="6"/>
  <c r="I95" i="6"/>
  <c r="E13" i="9"/>
  <c r="E15" i="9" s="1"/>
  <c r="E61" i="6"/>
  <c r="G28" i="7"/>
  <c r="G23" i="7"/>
  <c r="I70" i="6"/>
  <c r="F39" i="9"/>
  <c r="F38" i="9"/>
  <c r="F225" i="4"/>
  <c r="AB57" i="5"/>
  <c r="AB60" i="5" s="1"/>
  <c r="E213" i="4" l="1"/>
  <c r="AM119" i="7"/>
  <c r="E32" i="20"/>
  <c r="AL116" i="7"/>
  <c r="F213" i="4"/>
  <c r="AN119" i="7"/>
  <c r="I97" i="6"/>
  <c r="I98" i="6" s="1"/>
  <c r="I241" i="4" s="1"/>
  <c r="AC7" i="7"/>
  <c r="K15" i="8" s="1"/>
  <c r="AF63" i="5"/>
  <c r="Y54" i="5"/>
  <c r="K69" i="6"/>
  <c r="C32" i="11"/>
  <c r="G13" i="9"/>
  <c r="G15" i="9" s="1"/>
  <c r="G224" i="4" s="1"/>
  <c r="AF7" i="7"/>
  <c r="AF54" i="5"/>
  <c r="AF72" i="5"/>
  <c r="L232" i="4"/>
  <c r="L69" i="6"/>
  <c r="F73" i="20"/>
  <c r="F307" i="4"/>
  <c r="AE60" i="5"/>
  <c r="K62" i="7"/>
  <c r="E253" i="4" s="1"/>
  <c r="K43" i="7"/>
  <c r="K45" i="7" s="1"/>
  <c r="E27" i="9" s="1"/>
  <c r="E29" i="9" s="1"/>
  <c r="E32" i="9" s="1"/>
  <c r="E211" i="4"/>
  <c r="I40" i="8"/>
  <c r="I41" i="8" s="1"/>
  <c r="G53" i="20"/>
  <c r="G54" i="20" s="1"/>
  <c r="G58" i="20"/>
  <c r="G64" i="20" s="1"/>
  <c r="G30" i="20"/>
  <c r="G33" i="20"/>
  <c r="G68" i="20"/>
  <c r="G72" i="20" s="1"/>
  <c r="G32" i="20"/>
  <c r="C35" i="12"/>
  <c r="Q42" i="7"/>
  <c r="AO117" i="7" s="1"/>
  <c r="C7" i="12"/>
  <c r="C12" i="12" s="1"/>
  <c r="Q55" i="7"/>
  <c r="F11" i="14"/>
  <c r="Q39" i="7"/>
  <c r="Q37" i="7"/>
  <c r="Q54" i="7" s="1"/>
  <c r="G210" i="4"/>
  <c r="Q57" i="7"/>
  <c r="D17" i="9"/>
  <c r="D40" i="9"/>
  <c r="D224" i="4"/>
  <c r="F44" i="6"/>
  <c r="D52" i="6"/>
  <c r="D55" i="6" s="1"/>
  <c r="E44" i="6"/>
  <c r="E23" i="11"/>
  <c r="W19" i="7"/>
  <c r="AQ115" i="7" s="1"/>
  <c r="I208" i="4"/>
  <c r="W59" i="7"/>
  <c r="I228" i="4" s="1"/>
  <c r="G39" i="9"/>
  <c r="G38" i="9"/>
  <c r="G225" i="4"/>
  <c r="I46" i="8"/>
  <c r="I47" i="8" s="1"/>
  <c r="AE58" i="5"/>
  <c r="AE61" i="5" s="1"/>
  <c r="F50" i="6"/>
  <c r="E50" i="6"/>
  <c r="G29" i="7"/>
  <c r="G34" i="7"/>
  <c r="G36" i="7"/>
  <c r="E40" i="9"/>
  <c r="E17" i="9"/>
  <c r="E224" i="4"/>
  <c r="H41" i="8"/>
  <c r="E51" i="6"/>
  <c r="F51" i="6"/>
  <c r="T52" i="7"/>
  <c r="H209" i="4"/>
  <c r="I21" i="6"/>
  <c r="I64" i="6" s="1"/>
  <c r="I13" i="6"/>
  <c r="I72" i="6"/>
  <c r="I73" i="6" s="1"/>
  <c r="I74" i="6" s="1"/>
  <c r="I8" i="6"/>
  <c r="G40" i="9"/>
  <c r="AD50" i="5"/>
  <c r="J29" i="7"/>
  <c r="J36" i="7"/>
  <c r="J34" i="7"/>
  <c r="D24" i="11"/>
  <c r="C105" i="11" s="1"/>
  <c r="D26" i="11"/>
  <c r="E73" i="20"/>
  <c r="E307" i="4"/>
  <c r="AE47" i="5"/>
  <c r="AE48" i="5" s="1"/>
  <c r="AE44" i="5"/>
  <c r="AE63" i="5" s="1"/>
  <c r="AE64" i="5" s="1"/>
  <c r="F42" i="7"/>
  <c r="F37" i="7"/>
  <c r="F47" i="6"/>
  <c r="E47" i="6"/>
  <c r="X12" i="7"/>
  <c r="X13" i="7" s="1"/>
  <c r="X8" i="7"/>
  <c r="X14" i="7"/>
  <c r="X15" i="7" s="1"/>
  <c r="X10" i="7"/>
  <c r="U16" i="7"/>
  <c r="U18" i="7" s="1"/>
  <c r="U11" i="7"/>
  <c r="T28" i="7"/>
  <c r="T23" i="7"/>
  <c r="T53" i="7" s="1"/>
  <c r="S22" i="7"/>
  <c r="S19" i="7"/>
  <c r="J7" i="6"/>
  <c r="Z11" i="7"/>
  <c r="Z51" i="7" s="1"/>
  <c r="Z16" i="7"/>
  <c r="Z18" i="7" s="1"/>
  <c r="J26" i="8"/>
  <c r="J14" i="8"/>
  <c r="J16" i="8" s="1"/>
  <c r="I99" i="6"/>
  <c r="E49" i="6"/>
  <c r="F49" i="6"/>
  <c r="F42" i="20"/>
  <c r="F306" i="4"/>
  <c r="E41" i="20"/>
  <c r="J20" i="6"/>
  <c r="J96" i="6"/>
  <c r="J95" i="6"/>
  <c r="Y14" i="7"/>
  <c r="Y15" i="7" s="1"/>
  <c r="Y10" i="7"/>
  <c r="Y12" i="7"/>
  <c r="Y13" i="7" s="1"/>
  <c r="Y8" i="7"/>
  <c r="I10" i="6"/>
  <c r="I235" i="4" s="1"/>
  <c r="I24" i="6"/>
  <c r="I37" i="7"/>
  <c r="I42" i="7"/>
  <c r="H99" i="6"/>
  <c r="H240" i="4"/>
  <c r="H98" i="6"/>
  <c r="H241" i="4" s="1"/>
  <c r="I63" i="6"/>
  <c r="F46" i="6"/>
  <c r="E46" i="6"/>
  <c r="AA14" i="7"/>
  <c r="AA15" i="7" s="1"/>
  <c r="AA12" i="7"/>
  <c r="AA13" i="7" s="1"/>
  <c r="AA8" i="7"/>
  <c r="AA10" i="7"/>
  <c r="AB63" i="5"/>
  <c r="AB64" i="5" s="1"/>
  <c r="AB58" i="5"/>
  <c r="AB61" i="5" s="1"/>
  <c r="C77" i="6"/>
  <c r="C78" i="6" s="1"/>
  <c r="H74" i="6"/>
  <c r="R22" i="7"/>
  <c r="R19" i="7"/>
  <c r="H22" i="6"/>
  <c r="J9" i="6"/>
  <c r="Z13" i="7"/>
  <c r="L9" i="9"/>
  <c r="AD26" i="7"/>
  <c r="AE26" i="7" s="1"/>
  <c r="L28" i="9"/>
  <c r="AB7" i="7"/>
  <c r="AB54" i="5"/>
  <c r="C29" i="7"/>
  <c r="C36" i="7"/>
  <c r="C34" i="7"/>
  <c r="M37" i="7"/>
  <c r="M42" i="7"/>
  <c r="E48" i="6"/>
  <c r="F48" i="6"/>
  <c r="P23" i="7"/>
  <c r="P28" i="7"/>
  <c r="D23" i="7"/>
  <c r="D28" i="7"/>
  <c r="J70" i="6"/>
  <c r="D58" i="20"/>
  <c r="D64" i="20" s="1"/>
  <c r="D65" i="20" s="1"/>
  <c r="D30" i="20"/>
  <c r="D33" i="20"/>
  <c r="D68" i="20"/>
  <c r="D72" i="20" s="1"/>
  <c r="D53" i="20"/>
  <c r="D54" i="20" s="1"/>
  <c r="D55" i="20" s="1"/>
  <c r="D32" i="20"/>
  <c r="H55" i="7"/>
  <c r="H57" i="7"/>
  <c r="H42" i="7"/>
  <c r="AL117" i="7" s="1"/>
  <c r="H37" i="7"/>
  <c r="H54" i="7" s="1"/>
  <c r="H39" i="7"/>
  <c r="D210" i="4"/>
  <c r="E45" i="6"/>
  <c r="F45" i="6"/>
  <c r="AF64" i="5"/>
  <c r="L231" i="4" s="1"/>
  <c r="D39" i="9"/>
  <c r="D38" i="9"/>
  <c r="D225" i="4"/>
  <c r="H14" i="6"/>
  <c r="H15" i="6"/>
  <c r="F30" i="11"/>
  <c r="F9" i="12"/>
  <c r="J20" i="9"/>
  <c r="J22" i="9" s="1"/>
  <c r="J214" i="4"/>
  <c r="J48" i="8"/>
  <c r="J215" i="4" s="1"/>
  <c r="F211" i="4"/>
  <c r="N62" i="7"/>
  <c r="F253" i="4" s="1"/>
  <c r="N43" i="7"/>
  <c r="N45" i="7" s="1"/>
  <c r="F27" i="9" s="1"/>
  <c r="F29" i="9" s="1"/>
  <c r="F32" i="9" s="1"/>
  <c r="O29" i="7"/>
  <c r="O36" i="7"/>
  <c r="O34" i="7"/>
  <c r="V14" i="7"/>
  <c r="V15" i="7" s="1"/>
  <c r="V12" i="7"/>
  <c r="V13" i="7" s="1"/>
  <c r="V8" i="7"/>
  <c r="V10" i="7"/>
  <c r="H62" i="6"/>
  <c r="H60" i="6"/>
  <c r="H61" i="6" s="1"/>
  <c r="H234" i="4"/>
  <c r="AD63" i="5"/>
  <c r="AD64" i="5" s="1"/>
  <c r="AD58" i="5"/>
  <c r="AD61" i="5" s="1"/>
  <c r="J11" i="6"/>
  <c r="J12" i="6" s="1"/>
  <c r="J236" i="4" s="1"/>
  <c r="Z15" i="7"/>
  <c r="K6" i="6" l="1"/>
  <c r="K70" i="6" s="1"/>
  <c r="AC10" i="7"/>
  <c r="G213" i="4"/>
  <c r="AO119" i="7"/>
  <c r="AC14" i="7"/>
  <c r="G17" i="9"/>
  <c r="K28" i="8"/>
  <c r="AC12" i="7"/>
  <c r="I240" i="4"/>
  <c r="AC8" i="7"/>
  <c r="D213" i="4"/>
  <c r="AL119" i="7"/>
  <c r="I22" i="6"/>
  <c r="I238" i="4" s="1"/>
  <c r="L15" i="8"/>
  <c r="G21" i="11"/>
  <c r="G22" i="11" s="1"/>
  <c r="K45" i="8"/>
  <c r="K214" i="4" s="1"/>
  <c r="K29" i="8"/>
  <c r="AS70" i="7"/>
  <c r="K207" i="4" s="1"/>
  <c r="AE50" i="5"/>
  <c r="L29" i="8"/>
  <c r="G41" i="20"/>
  <c r="E11" i="20" s="1"/>
  <c r="J44" i="8"/>
  <c r="I20" i="8"/>
  <c r="J40" i="8"/>
  <c r="J41" i="8" s="1"/>
  <c r="R28" i="7"/>
  <c r="R23" i="7"/>
  <c r="J72" i="6"/>
  <c r="J73" i="6" s="1"/>
  <c r="J74" i="6" s="1"/>
  <c r="J21" i="6"/>
  <c r="J64" i="6" s="1"/>
  <c r="J13" i="6"/>
  <c r="J8" i="6"/>
  <c r="G211" i="4"/>
  <c r="Q62" i="7"/>
  <c r="G253" i="4" s="1"/>
  <c r="Q43" i="7"/>
  <c r="D29" i="7"/>
  <c r="D36" i="7"/>
  <c r="D34" i="7"/>
  <c r="G55" i="20"/>
  <c r="F12" i="20" s="1"/>
  <c r="E12" i="20"/>
  <c r="U19" i="7"/>
  <c r="X11" i="7"/>
  <c r="X16" i="7"/>
  <c r="X18" i="7" s="1"/>
  <c r="C40" i="14"/>
  <c r="C41" i="14" s="1"/>
  <c r="C42" i="14" s="1"/>
  <c r="G11" i="14"/>
  <c r="G20" i="14"/>
  <c r="F249" i="4" s="1"/>
  <c r="D20" i="14"/>
  <c r="D249" i="4" s="1"/>
  <c r="V16" i="7"/>
  <c r="V18" i="7" s="1"/>
  <c r="V11" i="7"/>
  <c r="AC16" i="7"/>
  <c r="AC18" i="7" s="1"/>
  <c r="K7" i="6"/>
  <c r="AC11" i="7"/>
  <c r="AC51" i="7" s="1"/>
  <c r="K26" i="8"/>
  <c r="K14" i="8"/>
  <c r="K16" i="8" s="1"/>
  <c r="H23" i="6"/>
  <c r="H238" i="4"/>
  <c r="H65" i="6"/>
  <c r="Z59" i="7"/>
  <c r="J228" i="4" s="1"/>
  <c r="Z19" i="7"/>
  <c r="AR71" i="7"/>
  <c r="J208" i="4" s="1"/>
  <c r="F23" i="11"/>
  <c r="D27" i="11"/>
  <c r="D28" i="11" s="1"/>
  <c r="I14" i="6"/>
  <c r="I15" i="6"/>
  <c r="I209" i="4"/>
  <c r="W52" i="7"/>
  <c r="J97" i="6"/>
  <c r="E24" i="11"/>
  <c r="D105" i="11" s="1"/>
  <c r="G37" i="7"/>
  <c r="G42" i="7"/>
  <c r="E52" i="6"/>
  <c r="K11" i="6"/>
  <c r="K12" i="6" s="1"/>
  <c r="K236" i="4" s="1"/>
  <c r="AC15" i="7"/>
  <c r="J63" i="6"/>
  <c r="D73" i="20"/>
  <c r="D307" i="4"/>
  <c r="C42" i="7"/>
  <c r="C37" i="7"/>
  <c r="E42" i="20"/>
  <c r="E306" i="4"/>
  <c r="S28" i="7"/>
  <c r="S23" i="7"/>
  <c r="J37" i="7"/>
  <c r="J42" i="7"/>
  <c r="F52" i="6"/>
  <c r="F56" i="6" s="1"/>
  <c r="P29" i="7"/>
  <c r="P36" i="7"/>
  <c r="P34" i="7"/>
  <c r="G30" i="11"/>
  <c r="G9" i="12"/>
  <c r="K20" i="9"/>
  <c r="K22" i="9" s="1"/>
  <c r="G73" i="20"/>
  <c r="F14" i="20" s="1"/>
  <c r="E14" i="20"/>
  <c r="G307" i="4"/>
  <c r="O42" i="7"/>
  <c r="O37" i="7"/>
  <c r="D41" i="20"/>
  <c r="H12" i="9"/>
  <c r="D10" i="12"/>
  <c r="D31" i="11"/>
  <c r="AE54" i="5"/>
  <c r="AE7" i="7"/>
  <c r="K9" i="6"/>
  <c r="AC13" i="7"/>
  <c r="Y16" i="7"/>
  <c r="Y18" i="7" s="1"/>
  <c r="Y11" i="7"/>
  <c r="I234" i="4"/>
  <c r="I62" i="6"/>
  <c r="I60" i="6"/>
  <c r="I61" i="6" s="1"/>
  <c r="H43" i="7"/>
  <c r="H45" i="7" s="1"/>
  <c r="D27" i="9" s="1"/>
  <c r="D29" i="9" s="1"/>
  <c r="D32" i="9" s="1"/>
  <c r="H62" i="7"/>
  <c r="D253" i="4" s="1"/>
  <c r="D211" i="4"/>
  <c r="K96" i="6"/>
  <c r="K95" i="6"/>
  <c r="K20" i="6"/>
  <c r="J10" i="6"/>
  <c r="J235" i="4" s="1"/>
  <c r="J24" i="6"/>
  <c r="H25" i="6"/>
  <c r="H239" i="4" s="1"/>
  <c r="H16" i="6"/>
  <c r="H237" i="4" s="1"/>
  <c r="AB12" i="7"/>
  <c r="AB13" i="7" s="1"/>
  <c r="AB8" i="7"/>
  <c r="AB10" i="7"/>
  <c r="AB14" i="7"/>
  <c r="AB15" i="7" s="1"/>
  <c r="AA11" i="7"/>
  <c r="AA16" i="7"/>
  <c r="AA18" i="7" s="1"/>
  <c r="AD7" i="7"/>
  <c r="AD54" i="5"/>
  <c r="E10" i="12"/>
  <c r="I12" i="9"/>
  <c r="E31" i="11"/>
  <c r="W21" i="7"/>
  <c r="I216" i="4"/>
  <c r="H7" i="9"/>
  <c r="H11" i="9" s="1"/>
  <c r="T29" i="7"/>
  <c r="T33" i="7"/>
  <c r="T36" i="7" s="1"/>
  <c r="AP116" i="7" s="1"/>
  <c r="G65" i="20"/>
  <c r="F13" i="20" s="1"/>
  <c r="E13" i="20"/>
  <c r="H21" i="11"/>
  <c r="H22" i="11" s="1"/>
  <c r="C7" i="18"/>
  <c r="L6" i="6"/>
  <c r="L70" i="6" s="1"/>
  <c r="AT70" i="7"/>
  <c r="L207" i="4" s="1"/>
  <c r="AF14" i="7"/>
  <c r="L45" i="8"/>
  <c r="AF10" i="7"/>
  <c r="AF8" i="7"/>
  <c r="AF12" i="7"/>
  <c r="L28" i="8"/>
  <c r="I23" i="6" l="1"/>
  <c r="I65" i="6"/>
  <c r="K48" i="8"/>
  <c r="K215" i="4" s="1"/>
  <c r="G306" i="4"/>
  <c r="G42" i="20"/>
  <c r="F11" i="20" s="1"/>
  <c r="H13" i="9"/>
  <c r="J22" i="6"/>
  <c r="J65" i="6" s="1"/>
  <c r="H9" i="12"/>
  <c r="L20" i="9"/>
  <c r="L22" i="9" s="1"/>
  <c r="L48" i="8"/>
  <c r="L215" i="4" s="1"/>
  <c r="H30" i="11"/>
  <c r="L214" i="4"/>
  <c r="C10" i="18"/>
  <c r="Z52" i="7"/>
  <c r="AR72" i="7"/>
  <c r="J209" i="4" s="1"/>
  <c r="AF15" i="7"/>
  <c r="L11" i="6"/>
  <c r="L12" i="6" s="1"/>
  <c r="L236" i="4" s="1"/>
  <c r="E25" i="11"/>
  <c r="V21" i="7"/>
  <c r="V22" i="7" s="1"/>
  <c r="I8" i="9"/>
  <c r="E8" i="12"/>
  <c r="U21" i="7"/>
  <c r="U22" i="7" s="1"/>
  <c r="W22" i="7"/>
  <c r="Y19" i="7"/>
  <c r="L96" i="6"/>
  <c r="L20" i="6"/>
  <c r="L95" i="6"/>
  <c r="D43" i="18"/>
  <c r="C35" i="18"/>
  <c r="F43" i="18"/>
  <c r="E43" i="18"/>
  <c r="C37" i="18"/>
  <c r="D9" i="19"/>
  <c r="C38" i="18"/>
  <c r="C36" i="18"/>
  <c r="C39" i="18"/>
  <c r="K10" i="6"/>
  <c r="K235" i="4" s="1"/>
  <c r="K24" i="6"/>
  <c r="J98" i="6"/>
  <c r="J241" i="4" s="1"/>
  <c r="J240" i="4"/>
  <c r="J99" i="6"/>
  <c r="E32" i="17"/>
  <c r="D32" i="17"/>
  <c r="C44" i="17" s="1"/>
  <c r="E44" i="17" s="1"/>
  <c r="C32" i="17"/>
  <c r="C67" i="17" s="1"/>
  <c r="C262" i="4" s="1"/>
  <c r="J62" i="6"/>
  <c r="J60" i="6"/>
  <c r="J61" i="6" s="1"/>
  <c r="J234" i="4"/>
  <c r="D37" i="7"/>
  <c r="D42" i="7"/>
  <c r="V19" i="7"/>
  <c r="C30" i="12"/>
  <c r="D38" i="12" s="1"/>
  <c r="Q45" i="7"/>
  <c r="S33" i="7"/>
  <c r="S34" i="7" s="1"/>
  <c r="S36" i="7"/>
  <c r="S29" i="7"/>
  <c r="K63" i="6"/>
  <c r="AE8" i="7"/>
  <c r="AE12" i="7"/>
  <c r="AE13" i="7" s="1"/>
  <c r="AE10" i="7"/>
  <c r="AE14" i="7"/>
  <c r="AE15" i="7" s="1"/>
  <c r="X19" i="7"/>
  <c r="J14" i="6"/>
  <c r="J15" i="6"/>
  <c r="K97" i="6"/>
  <c r="J46" i="8"/>
  <c r="J47" i="8" s="1"/>
  <c r="AD14" i="7"/>
  <c r="AD15" i="7" s="1"/>
  <c r="AD10" i="7"/>
  <c r="AD8" i="7"/>
  <c r="AD12" i="7"/>
  <c r="AD13" i="7" s="1"/>
  <c r="I16" i="6"/>
  <c r="I237" i="4" s="1"/>
  <c r="I25" i="6"/>
  <c r="I239" i="4" s="1"/>
  <c r="F31" i="11"/>
  <c r="F10" i="12"/>
  <c r="J12" i="9"/>
  <c r="H14" i="9"/>
  <c r="T34" i="7"/>
  <c r="H37" i="9" s="1"/>
  <c r="AA19" i="7"/>
  <c r="P42" i="7"/>
  <c r="P37" i="7"/>
  <c r="AF13" i="7"/>
  <c r="L9" i="6"/>
  <c r="K40" i="8"/>
  <c r="K41" i="8" s="1"/>
  <c r="R29" i="7"/>
  <c r="R33" i="7"/>
  <c r="R34" i="7" s="1"/>
  <c r="R36" i="7"/>
  <c r="D7" i="12"/>
  <c r="D12" i="12" s="1"/>
  <c r="D14" i="12" s="1"/>
  <c r="D18" i="12" s="1"/>
  <c r="H210" i="4"/>
  <c r="T42" i="7"/>
  <c r="AP117" i="7" s="1"/>
  <c r="T37" i="7"/>
  <c r="T54" i="7" s="1"/>
  <c r="D42" i="20"/>
  <c r="D306" i="4"/>
  <c r="J23" i="6"/>
  <c r="J238" i="4"/>
  <c r="D32" i="11"/>
  <c r="F24" i="11"/>
  <c r="E105" i="11" s="1"/>
  <c r="K21" i="6"/>
  <c r="K64" i="6" s="1"/>
  <c r="K8" i="6"/>
  <c r="K72" i="6"/>
  <c r="K73" i="6" s="1"/>
  <c r="K74" i="6" s="1"/>
  <c r="K13" i="6"/>
  <c r="AF16" i="7"/>
  <c r="AF18" i="7" s="1"/>
  <c r="AF11" i="7"/>
  <c r="AF51" i="7" s="1"/>
  <c r="L7" i="6"/>
  <c r="L26" i="8"/>
  <c r="L14" i="8"/>
  <c r="L16" i="8" s="1"/>
  <c r="AB11" i="7"/>
  <c r="AB16" i="7"/>
  <c r="AB18" i="7" s="1"/>
  <c r="G23" i="11"/>
  <c r="AS71" i="7"/>
  <c r="K208" i="4" s="1"/>
  <c r="AC59" i="7"/>
  <c r="K228" i="4" s="1"/>
  <c r="AC19" i="7"/>
  <c r="L97" i="6" l="1"/>
  <c r="H15" i="9"/>
  <c r="K22" i="6"/>
  <c r="V28" i="7"/>
  <c r="V23" i="7"/>
  <c r="U23" i="7"/>
  <c r="U28" i="7"/>
  <c r="L40" i="8"/>
  <c r="L41" i="8" s="1"/>
  <c r="E1024" i="19"/>
  <c r="E1017" i="19"/>
  <c r="E1010" i="19"/>
  <c r="E1003" i="19"/>
  <c r="E996" i="19"/>
  <c r="E989" i="19"/>
  <c r="E982" i="19"/>
  <c r="E975" i="19"/>
  <c r="E968" i="19"/>
  <c r="E961" i="19"/>
  <c r="E954" i="19"/>
  <c r="E947" i="19"/>
  <c r="E940" i="19"/>
  <c r="E933" i="19"/>
  <c r="E926" i="19"/>
  <c r="E919" i="19"/>
  <c r="E912" i="19"/>
  <c r="E1008" i="19"/>
  <c r="E1006" i="19"/>
  <c r="E1004" i="19"/>
  <c r="E1002" i="19"/>
  <c r="E1000" i="19"/>
  <c r="E998" i="19"/>
  <c r="E959" i="19"/>
  <c r="E957" i="19"/>
  <c r="E955" i="19"/>
  <c r="E953" i="19"/>
  <c r="E951" i="19"/>
  <c r="E949" i="19"/>
  <c r="E910" i="19"/>
  <c r="E901" i="19"/>
  <c r="E894" i="19"/>
  <c r="E887" i="19"/>
  <c r="E1014" i="19"/>
  <c r="E1011" i="19"/>
  <c r="E977" i="19"/>
  <c r="E974" i="19"/>
  <c r="E971" i="19"/>
  <c r="E934" i="19"/>
  <c r="E931" i="19"/>
  <c r="E914" i="19"/>
  <c r="E911" i="19"/>
  <c r="E891" i="19"/>
  <c r="E886" i="19"/>
  <c r="E878" i="19"/>
  <c r="E865" i="19"/>
  <c r="E858" i="19"/>
  <c r="E851" i="19"/>
  <c r="E844" i="19"/>
  <c r="E837" i="19"/>
  <c r="E830" i="19"/>
  <c r="E823" i="19"/>
  <c r="E816" i="19"/>
  <c r="E809" i="19"/>
  <c r="E802" i="19"/>
  <c r="E795" i="19"/>
  <c r="E788" i="19"/>
  <c r="E781" i="19"/>
  <c r="E774" i="19"/>
  <c r="E767" i="19"/>
  <c r="E760" i="19"/>
  <c r="E753" i="19"/>
  <c r="E746" i="19"/>
  <c r="E739" i="19"/>
  <c r="E732" i="19"/>
  <c r="E725" i="19"/>
  <c r="E718" i="19"/>
  <c r="E711" i="19"/>
  <c r="E704" i="19"/>
  <c r="E697" i="19"/>
  <c r="E690" i="19"/>
  <c r="E1019" i="19"/>
  <c r="E1016" i="19"/>
  <c r="E1013" i="19"/>
  <c r="E979" i="19"/>
  <c r="E976" i="19"/>
  <c r="E973" i="19"/>
  <c r="E956" i="19"/>
  <c r="E936" i="19"/>
  <c r="E1001" i="19"/>
  <c r="E984" i="19"/>
  <c r="E944" i="19"/>
  <c r="E941" i="19"/>
  <c r="E907" i="19"/>
  <c r="E902" i="19"/>
  <c r="E877" i="19"/>
  <c r="E995" i="19"/>
  <c r="E992" i="19"/>
  <c r="E952" i="19"/>
  <c r="E935" i="19"/>
  <c r="E873" i="19"/>
  <c r="E1015" i="19"/>
  <c r="E943" i="19"/>
  <c r="E916" i="19"/>
  <c r="E899" i="19"/>
  <c r="E896" i="19"/>
  <c r="E890" i="19"/>
  <c r="E874" i="19"/>
  <c r="E849" i="19"/>
  <c r="E814" i="19"/>
  <c r="E812" i="19"/>
  <c r="E810" i="19"/>
  <c r="E1027" i="19"/>
  <c r="E1023" i="19"/>
  <c r="E1007" i="19"/>
  <c r="E999" i="19"/>
  <c r="E991" i="19"/>
  <c r="E987" i="19"/>
  <c r="E983" i="19"/>
  <c r="E967" i="19"/>
  <c r="E963" i="19"/>
  <c r="E939" i="19"/>
  <c r="E927" i="19"/>
  <c r="E923" i="19"/>
  <c r="E869" i="19"/>
  <c r="E860" i="19"/>
  <c r="E1028" i="19"/>
  <c r="E928" i="19"/>
  <c r="E920" i="19"/>
  <c r="E909" i="19"/>
  <c r="E884" i="19"/>
  <c r="E856" i="19"/>
  <c r="E845" i="19"/>
  <c r="E800" i="19"/>
  <c r="E798" i="19"/>
  <c r="E796" i="19"/>
  <c r="E988" i="19"/>
  <c r="E898" i="19"/>
  <c r="E859" i="19"/>
  <c r="E853" i="19"/>
  <c r="E842" i="19"/>
  <c r="E832" i="19"/>
  <c r="E825" i="19"/>
  <c r="E820" i="19"/>
  <c r="E813" i="19"/>
  <c r="E801" i="19"/>
  <c r="E794" i="19"/>
  <c r="E779" i="19"/>
  <c r="E777" i="19"/>
  <c r="E775" i="19"/>
  <c r="E986" i="19"/>
  <c r="E981" i="19"/>
  <c r="E905" i="19"/>
  <c r="E889" i="19"/>
  <c r="E882" i="19"/>
  <c r="E879" i="19"/>
  <c r="E1030" i="19"/>
  <c r="E1029" i="19"/>
  <c r="E962" i="19"/>
  <c r="E1022" i="19"/>
  <c r="E994" i="19"/>
  <c r="E921" i="19"/>
  <c r="E993" i="19"/>
  <c r="E969" i="19"/>
  <c r="E948" i="19"/>
  <c r="E875" i="19"/>
  <c r="E868" i="19"/>
  <c r="E834" i="19"/>
  <c r="E829" i="19"/>
  <c r="E806" i="19"/>
  <c r="E764" i="19"/>
  <c r="E737" i="19"/>
  <c r="E735" i="19"/>
  <c r="E733" i="19"/>
  <c r="E727" i="19"/>
  <c r="E710" i="19"/>
  <c r="E693" i="19"/>
  <c r="E684" i="19"/>
  <c r="E677" i="19"/>
  <c r="E670" i="19"/>
  <c r="E663" i="19"/>
  <c r="E656" i="19"/>
  <c r="E1025" i="19"/>
  <c r="E985" i="19"/>
  <c r="E915" i="19"/>
  <c r="E900" i="19"/>
  <c r="E871" i="19"/>
  <c r="E861" i="19"/>
  <c r="E848" i="19"/>
  <c r="E811" i="19"/>
  <c r="E793" i="19"/>
  <c r="E786" i="19"/>
  <c r="E766" i="19"/>
  <c r="E745" i="19"/>
  <c r="E743" i="19"/>
  <c r="E741" i="19"/>
  <c r="E723" i="19"/>
  <c r="E708" i="19"/>
  <c r="E960" i="19"/>
  <c r="E885" i="19"/>
  <c r="E881" i="19"/>
  <c r="E867" i="19"/>
  <c r="E857" i="19"/>
  <c r="E854" i="19"/>
  <c r="E839" i="19"/>
  <c r="E831" i="19"/>
  <c r="E818" i="19"/>
  <c r="E770" i="19"/>
  <c r="E759" i="19"/>
  <c r="E1021" i="19"/>
  <c r="E1005" i="19"/>
  <c r="E997" i="19"/>
  <c r="E958" i="19"/>
  <c r="E925" i="19"/>
  <c r="E913" i="19"/>
  <c r="E893" i="19"/>
  <c r="E863" i="19"/>
  <c r="E833" i="19"/>
  <c r="E797" i="19"/>
  <c r="E1020" i="19"/>
  <c r="E1012" i="19"/>
  <c r="E950" i="19"/>
  <c r="E937" i="19"/>
  <c r="E924" i="19"/>
  <c r="E888" i="19"/>
  <c r="E880" i="19"/>
  <c r="E876" i="19"/>
  <c r="E822" i="19"/>
  <c r="E778" i="19"/>
  <c r="E1026" i="19"/>
  <c r="E942" i="19"/>
  <c r="E932" i="19"/>
  <c r="E904" i="19"/>
  <c r="E897" i="19"/>
  <c r="E883" i="19"/>
  <c r="E872" i="19"/>
  <c r="E846" i="19"/>
  <c r="E790" i="19"/>
  <c r="E754" i="19"/>
  <c r="E728" i="19"/>
  <c r="E717" i="19"/>
  <c r="E866" i="19"/>
  <c r="E821" i="19"/>
  <c r="E817" i="19"/>
  <c r="E805" i="19"/>
  <c r="E762" i="19"/>
  <c r="E751" i="19"/>
  <c r="E738" i="19"/>
  <c r="E719" i="19"/>
  <c r="E930" i="19"/>
  <c r="E855" i="19"/>
  <c r="E730" i="19"/>
  <c r="E721" i="19"/>
  <c r="E680" i="19"/>
  <c r="E929" i="19"/>
  <c r="E903" i="19"/>
  <c r="E850" i="19"/>
  <c r="E841" i="19"/>
  <c r="E789" i="19"/>
  <c r="E756" i="19"/>
  <c r="E908" i="19"/>
  <c r="E864" i="19"/>
  <c r="E840" i="19"/>
  <c r="E946" i="19"/>
  <c r="E835" i="19"/>
  <c r="E1009" i="19"/>
  <c r="E966" i="19"/>
  <c r="E945" i="19"/>
  <c r="E780" i="19"/>
  <c r="E763" i="19"/>
  <c r="E678" i="19"/>
  <c r="E676" i="19"/>
  <c r="E659" i="19"/>
  <c r="E650" i="19"/>
  <c r="E643" i="19"/>
  <c r="E636" i="19"/>
  <c r="E629" i="19"/>
  <c r="E622" i="19"/>
  <c r="E615" i="19"/>
  <c r="E608" i="19"/>
  <c r="E601" i="19"/>
  <c r="E594" i="19"/>
  <c r="E587" i="19"/>
  <c r="E580" i="19"/>
  <c r="E573" i="19"/>
  <c r="E566" i="19"/>
  <c r="E559" i="19"/>
  <c r="E552" i="19"/>
  <c r="E545" i="19"/>
  <c r="E538" i="19"/>
  <c r="E531" i="19"/>
  <c r="E524" i="19"/>
  <c r="E517" i="19"/>
  <c r="E964" i="19"/>
  <c r="E804" i="19"/>
  <c r="E771" i="19"/>
  <c r="E744" i="19"/>
  <c r="E740" i="19"/>
  <c r="E701" i="19"/>
  <c r="E688" i="19"/>
  <c r="E686" i="19"/>
  <c r="E672" i="19"/>
  <c r="E655" i="19"/>
  <c r="E648" i="19"/>
  <c r="E641" i="19"/>
  <c r="E634" i="19"/>
  <c r="E627" i="19"/>
  <c r="E620" i="19"/>
  <c r="E613" i="19"/>
  <c r="E606" i="19"/>
  <c r="E599" i="19"/>
  <c r="E592" i="19"/>
  <c r="E585" i="19"/>
  <c r="E578" i="19"/>
  <c r="E571" i="19"/>
  <c r="E564" i="19"/>
  <c r="E557" i="19"/>
  <c r="E550" i="19"/>
  <c r="E543" i="19"/>
  <c r="E536" i="19"/>
  <c r="E529" i="19"/>
  <c r="E522" i="19"/>
  <c r="E515" i="19"/>
  <c r="E508" i="19"/>
  <c r="E501" i="19"/>
  <c r="E494" i="19"/>
  <c r="E487" i="19"/>
  <c r="E895" i="19"/>
  <c r="E847" i="19"/>
  <c r="E815" i="19"/>
  <c r="E758" i="19"/>
  <c r="E720" i="19"/>
  <c r="E703" i="19"/>
  <c r="E668" i="19"/>
  <c r="E980" i="19"/>
  <c r="E826" i="19"/>
  <c r="E783" i="19"/>
  <c r="E747" i="19"/>
  <c r="E978" i="19"/>
  <c r="E922" i="19"/>
  <c r="E906" i="19"/>
  <c r="E892" i="19"/>
  <c r="E862" i="19"/>
  <c r="E782" i="19"/>
  <c r="E761" i="19"/>
  <c r="E750" i="19"/>
  <c r="E716" i="19"/>
  <c r="E707" i="19"/>
  <c r="E696" i="19"/>
  <c r="E662" i="19"/>
  <c r="E651" i="19"/>
  <c r="E644" i="19"/>
  <c r="E637" i="19"/>
  <c r="E630" i="19"/>
  <c r="E623" i="19"/>
  <c r="E616" i="19"/>
  <c r="E609" i="19"/>
  <c r="E918" i="19"/>
  <c r="E870" i="19"/>
  <c r="E824" i="19"/>
  <c r="E819" i="19"/>
  <c r="E765" i="19"/>
  <c r="E757" i="19"/>
  <c r="E722" i="19"/>
  <c r="E700" i="19"/>
  <c r="E689" i="19"/>
  <c r="E687" i="19"/>
  <c r="E685" i="19"/>
  <c r="E683" i="19"/>
  <c r="E681" i="19"/>
  <c r="E679" i="19"/>
  <c r="E673" i="19"/>
  <c r="E658" i="19"/>
  <c r="E649" i="19"/>
  <c r="E642" i="19"/>
  <c r="E972" i="19"/>
  <c r="E807" i="19"/>
  <c r="E694" i="19"/>
  <c r="E660" i="19"/>
  <c r="E646" i="19"/>
  <c r="E638" i="19"/>
  <c r="E843" i="19"/>
  <c r="E785" i="19"/>
  <c r="E712" i="19"/>
  <c r="E657" i="19"/>
  <c r="E654" i="19"/>
  <c r="E635" i="19"/>
  <c r="E590" i="19"/>
  <c r="E579" i="19"/>
  <c r="E970" i="19"/>
  <c r="E828" i="19"/>
  <c r="E625" i="19"/>
  <c r="E581" i="19"/>
  <c r="E570" i="19"/>
  <c r="E965" i="19"/>
  <c r="E827" i="19"/>
  <c r="E769" i="19"/>
  <c r="E731" i="19"/>
  <c r="E674" i="19"/>
  <c r="E917" i="19"/>
  <c r="E852" i="19"/>
  <c r="E791" i="19"/>
  <c r="E768" i="19"/>
  <c r="E748" i="19"/>
  <c r="E706" i="19"/>
  <c r="E617" i="19"/>
  <c r="E612" i="19"/>
  <c r="E607" i="19"/>
  <c r="E596" i="19"/>
  <c r="E752" i="19"/>
  <c r="E729" i="19"/>
  <c r="E713" i="19"/>
  <c r="E699" i="19"/>
  <c r="E574" i="19"/>
  <c r="E562" i="19"/>
  <c r="E539" i="19"/>
  <c r="E495" i="19"/>
  <c r="E480" i="19"/>
  <c r="E473" i="19"/>
  <c r="E466" i="19"/>
  <c r="E459" i="19"/>
  <c r="E452" i="19"/>
  <c r="E445" i="19"/>
  <c r="E438" i="19"/>
  <c r="E773" i="19"/>
  <c r="E582" i="19"/>
  <c r="E569" i="19"/>
  <c r="E541" i="19"/>
  <c r="E520" i="19"/>
  <c r="E518" i="19"/>
  <c r="E516" i="19"/>
  <c r="E514" i="19"/>
  <c r="E512" i="19"/>
  <c r="E510" i="19"/>
  <c r="E493" i="19"/>
  <c r="E736" i="19"/>
  <c r="E692" i="19"/>
  <c r="E610" i="19"/>
  <c r="E502" i="19"/>
  <c r="E485" i="19"/>
  <c r="E476" i="19"/>
  <c r="E469" i="19"/>
  <c r="E462" i="19"/>
  <c r="E455" i="19"/>
  <c r="E836" i="19"/>
  <c r="E734" i="19"/>
  <c r="E691" i="19"/>
  <c r="E667" i="19"/>
  <c r="E561" i="19"/>
  <c r="E547" i="19"/>
  <c r="E513" i="19"/>
  <c r="E511" i="19"/>
  <c r="E496" i="19"/>
  <c r="E755" i="19"/>
  <c r="E724" i="19"/>
  <c r="E628" i="19"/>
  <c r="E603" i="19"/>
  <c r="E600" i="19"/>
  <c r="E586" i="19"/>
  <c r="E568" i="19"/>
  <c r="E563" i="19"/>
  <c r="E551" i="19"/>
  <c r="E540" i="19"/>
  <c r="E527" i="19"/>
  <c r="E525" i="19"/>
  <c r="E523" i="19"/>
  <c r="E521" i="19"/>
  <c r="E519" i="19"/>
  <c r="E507" i="19"/>
  <c r="E990" i="19"/>
  <c r="E715" i="19"/>
  <c r="E695" i="19"/>
  <c r="E665" i="19"/>
  <c r="E652" i="19"/>
  <c r="E614" i="19"/>
  <c r="E528" i="19"/>
  <c r="E509" i="19"/>
  <c r="E506" i="19"/>
  <c r="E482" i="19"/>
  <c r="E467" i="19"/>
  <c r="E435" i="19"/>
  <c r="E428" i="19"/>
  <c r="E421" i="19"/>
  <c r="E414" i="19"/>
  <c r="E407" i="19"/>
  <c r="E400" i="19"/>
  <c r="E393" i="19"/>
  <c r="E386" i="19"/>
  <c r="E379" i="19"/>
  <c r="E372" i="19"/>
  <c r="E365" i="19"/>
  <c r="E358" i="19"/>
  <c r="E351" i="19"/>
  <c r="E344" i="19"/>
  <c r="E337" i="19"/>
  <c r="E330" i="19"/>
  <c r="E323" i="19"/>
  <c r="E316" i="19"/>
  <c r="E309" i="19"/>
  <c r="E838" i="19"/>
  <c r="E808" i="19"/>
  <c r="E742" i="19"/>
  <c r="E714" i="19"/>
  <c r="E671" i="19"/>
  <c r="E664" i="19"/>
  <c r="E604" i="19"/>
  <c r="E591" i="19"/>
  <c r="E548" i="19"/>
  <c r="E534" i="19"/>
  <c r="E503" i="19"/>
  <c r="E500" i="19"/>
  <c r="E492" i="19"/>
  <c r="E479" i="19"/>
  <c r="E453" i="19"/>
  <c r="E451" i="19"/>
  <c r="E449" i="19"/>
  <c r="E447" i="19"/>
  <c r="E776" i="19"/>
  <c r="E633" i="19"/>
  <c r="E558" i="19"/>
  <c r="E537" i="19"/>
  <c r="E497" i="19"/>
  <c r="E489" i="19"/>
  <c r="E481" i="19"/>
  <c r="E457" i="19"/>
  <c r="E431" i="19"/>
  <c r="E424" i="19"/>
  <c r="E417" i="19"/>
  <c r="E410" i="19"/>
  <c r="E403" i="19"/>
  <c r="E396" i="19"/>
  <c r="E389" i="19"/>
  <c r="E382" i="19"/>
  <c r="E375" i="19"/>
  <c r="E368" i="19"/>
  <c r="E361" i="19"/>
  <c r="E354" i="19"/>
  <c r="E347" i="19"/>
  <c r="E340" i="19"/>
  <c r="E333" i="19"/>
  <c r="E326" i="19"/>
  <c r="E319" i="19"/>
  <c r="E938" i="19"/>
  <c r="E792" i="19"/>
  <c r="E772" i="19"/>
  <c r="E621" i="19"/>
  <c r="E589" i="19"/>
  <c r="E499" i="19"/>
  <c r="E491" i="19"/>
  <c r="E483" i="19"/>
  <c r="E478" i="19"/>
  <c r="E450" i="19"/>
  <c r="E448" i="19"/>
  <c r="E446" i="19"/>
  <c r="E444" i="19"/>
  <c r="E442" i="19"/>
  <c r="E440" i="19"/>
  <c r="E698" i="19"/>
  <c r="E682" i="19"/>
  <c r="E631" i="19"/>
  <c r="E611" i="19"/>
  <c r="E597" i="19"/>
  <c r="E584" i="19"/>
  <c r="E553" i="19"/>
  <c r="E546" i="19"/>
  <c r="E526" i="19"/>
  <c r="E488" i="19"/>
  <c r="E468" i="19"/>
  <c r="E463" i="19"/>
  <c r="E799" i="19"/>
  <c r="E653" i="19"/>
  <c r="E619" i="19"/>
  <c r="E583" i="19"/>
  <c r="E577" i="19"/>
  <c r="E565" i="19"/>
  <c r="E456" i="19"/>
  <c r="E443" i="19"/>
  <c r="E423" i="19"/>
  <c r="E412" i="19"/>
  <c r="E374" i="19"/>
  <c r="E363" i="19"/>
  <c r="E331" i="19"/>
  <c r="E317" i="19"/>
  <c r="E299" i="19"/>
  <c r="E282" i="19"/>
  <c r="E275" i="19"/>
  <c r="E268" i="19"/>
  <c r="E261" i="19"/>
  <c r="E254" i="19"/>
  <c r="E247" i="19"/>
  <c r="E240" i="19"/>
  <c r="E233" i="19"/>
  <c r="E226" i="19"/>
  <c r="E219" i="19"/>
  <c r="E212" i="19"/>
  <c r="E205" i="19"/>
  <c r="E198" i="19"/>
  <c r="E191" i="19"/>
  <c r="E184" i="19"/>
  <c r="E177" i="19"/>
  <c r="E170" i="19"/>
  <c r="E163" i="19"/>
  <c r="E626" i="19"/>
  <c r="E618" i="19"/>
  <c r="E576" i="19"/>
  <c r="E542" i="19"/>
  <c r="E490" i="19"/>
  <c r="E486" i="19"/>
  <c r="E474" i="19"/>
  <c r="E420" i="19"/>
  <c r="E401" i="19"/>
  <c r="E390" i="19"/>
  <c r="E371" i="19"/>
  <c r="E352" i="19"/>
  <c r="E341" i="19"/>
  <c r="E297" i="19"/>
  <c r="E787" i="19"/>
  <c r="E709" i="19"/>
  <c r="E632" i="19"/>
  <c r="E602" i="19"/>
  <c r="E595" i="19"/>
  <c r="E575" i="19"/>
  <c r="E439" i="19"/>
  <c r="E433" i="19"/>
  <c r="E395" i="19"/>
  <c r="E384" i="19"/>
  <c r="E346" i="19"/>
  <c r="E289" i="19"/>
  <c r="E278" i="19"/>
  <c r="E271" i="19"/>
  <c r="E264" i="19"/>
  <c r="E257" i="19"/>
  <c r="E250" i="19"/>
  <c r="E243" i="19"/>
  <c r="E236" i="19"/>
  <c r="E229" i="19"/>
  <c r="E222" i="19"/>
  <c r="E215" i="19"/>
  <c r="E208" i="19"/>
  <c r="E201" i="19"/>
  <c r="E194" i="19"/>
  <c r="E187" i="19"/>
  <c r="E749" i="19"/>
  <c r="E669" i="19"/>
  <c r="E639" i="19"/>
  <c r="E505" i="19"/>
  <c r="E427" i="19"/>
  <c r="E408" i="19"/>
  <c r="E397" i="19"/>
  <c r="E378" i="19"/>
  <c r="E359" i="19"/>
  <c r="E348" i="19"/>
  <c r="E325" i="19"/>
  <c r="E298" i="19"/>
  <c r="E283" i="19"/>
  <c r="E647" i="19"/>
  <c r="E472" i="19"/>
  <c r="E441" i="19"/>
  <c r="E432" i="19"/>
  <c r="E413" i="19"/>
  <c r="E394" i="19"/>
  <c r="E383" i="19"/>
  <c r="E364" i="19"/>
  <c r="E345" i="19"/>
  <c r="E332" i="19"/>
  <c r="E327" i="19"/>
  <c r="E318" i="19"/>
  <c r="E294" i="19"/>
  <c r="E675" i="19"/>
  <c r="E556" i="19"/>
  <c r="E425" i="19"/>
  <c r="E404" i="19"/>
  <c r="E391" i="19"/>
  <c r="E387" i="19"/>
  <c r="E370" i="19"/>
  <c r="E366" i="19"/>
  <c r="E353" i="19"/>
  <c r="E308" i="19"/>
  <c r="E302" i="19"/>
  <c r="E296" i="19"/>
  <c r="E293" i="19"/>
  <c r="E276" i="19"/>
  <c r="E265" i="19"/>
  <c r="E246" i="19"/>
  <c r="E227" i="19"/>
  <c r="E216" i="19"/>
  <c r="E197" i="19"/>
  <c r="E175" i="19"/>
  <c r="E173" i="19"/>
  <c r="E171" i="19"/>
  <c r="E169" i="19"/>
  <c r="E167" i="19"/>
  <c r="E165" i="19"/>
  <c r="E157" i="19"/>
  <c r="E142" i="19"/>
  <c r="E140" i="19"/>
  <c r="E803" i="19"/>
  <c r="E555" i="19"/>
  <c r="E530" i="19"/>
  <c r="E458" i="19"/>
  <c r="E429" i="19"/>
  <c r="E357" i="19"/>
  <c r="E336" i="19"/>
  <c r="E321" i="19"/>
  <c r="E314" i="19"/>
  <c r="E290" i="19"/>
  <c r="E287" i="19"/>
  <c r="E273" i="19"/>
  <c r="E235" i="19"/>
  <c r="E224" i="19"/>
  <c r="E192" i="19"/>
  <c r="E155" i="19"/>
  <c r="E138" i="19"/>
  <c r="E127" i="19"/>
  <c r="E120" i="19"/>
  <c r="E113" i="19"/>
  <c r="E106" i="19"/>
  <c r="E99" i="19"/>
  <c r="E92" i="19"/>
  <c r="E85" i="19"/>
  <c r="E78" i="19"/>
  <c r="E71" i="19"/>
  <c r="E64" i="19"/>
  <c r="E57" i="19"/>
  <c r="E46" i="19"/>
  <c r="E39" i="19"/>
  <c r="E32" i="19"/>
  <c r="E554" i="19"/>
  <c r="E437" i="19"/>
  <c r="E411" i="19"/>
  <c r="E373" i="19"/>
  <c r="E356" i="19"/>
  <c r="E335" i="19"/>
  <c r="E307" i="19"/>
  <c r="E304" i="19"/>
  <c r="E267" i="19"/>
  <c r="E248" i="19"/>
  <c r="E237" i="19"/>
  <c r="E218" i="19"/>
  <c r="E199" i="19"/>
  <c r="E189" i="19"/>
  <c r="E149" i="19"/>
  <c r="E147" i="19"/>
  <c r="E132" i="19"/>
  <c r="E702" i="19"/>
  <c r="E666" i="19"/>
  <c r="E535" i="19"/>
  <c r="E504" i="19"/>
  <c r="E461" i="19"/>
  <c r="E406" i="19"/>
  <c r="E385" i="19"/>
  <c r="E313" i="19"/>
  <c r="E280" i="19"/>
  <c r="E242" i="19"/>
  <c r="E231" i="19"/>
  <c r="E158" i="19"/>
  <c r="E141" i="19"/>
  <c r="E128" i="19"/>
  <c r="E121" i="19"/>
  <c r="E114" i="19"/>
  <c r="E107" i="19"/>
  <c r="E100" i="19"/>
  <c r="E93" i="19"/>
  <c r="E86" i="19"/>
  <c r="E79" i="19"/>
  <c r="E1018" i="19"/>
  <c r="E588" i="19"/>
  <c r="E484" i="19"/>
  <c r="E418" i="19"/>
  <c r="E380" i="19"/>
  <c r="E306" i="19"/>
  <c r="E303" i="19"/>
  <c r="E300" i="19"/>
  <c r="E277" i="19"/>
  <c r="E266" i="19"/>
  <c r="E228" i="19"/>
  <c r="E217" i="19"/>
  <c r="E152" i="19"/>
  <c r="E137" i="19"/>
  <c r="E126" i="19"/>
  <c r="E119" i="19"/>
  <c r="E112" i="19"/>
  <c r="E105" i="19"/>
  <c r="E98" i="19"/>
  <c r="E91" i="19"/>
  <c r="E84" i="19"/>
  <c r="E593" i="19"/>
  <c r="E549" i="19"/>
  <c r="E454" i="19"/>
  <c r="E405" i="19"/>
  <c r="E392" i="19"/>
  <c r="E288" i="19"/>
  <c r="E279" i="19"/>
  <c r="E262" i="19"/>
  <c r="E245" i="19"/>
  <c r="E241" i="19"/>
  <c r="E207" i="19"/>
  <c r="E168" i="19"/>
  <c r="E124" i="19"/>
  <c r="E76" i="19"/>
  <c r="E45" i="19"/>
  <c r="E42" i="19"/>
  <c r="E705" i="19"/>
  <c r="E471" i="19"/>
  <c r="E398" i="19"/>
  <c r="E339" i="19"/>
  <c r="E311" i="19"/>
  <c r="E292" i="19"/>
  <c r="E232" i="19"/>
  <c r="E211" i="19"/>
  <c r="E144" i="19"/>
  <c r="E135" i="19"/>
  <c r="E102" i="19"/>
  <c r="E94" i="19"/>
  <c r="E83" i="19"/>
  <c r="E48" i="19"/>
  <c r="E624" i="19"/>
  <c r="E498" i="19"/>
  <c r="E460" i="19"/>
  <c r="E430" i="19"/>
  <c r="E377" i="19"/>
  <c r="E320" i="19"/>
  <c r="E315" i="19"/>
  <c r="E305" i="19"/>
  <c r="E291" i="19"/>
  <c r="E210" i="19"/>
  <c r="E183" i="19"/>
  <c r="E164" i="19"/>
  <c r="E96" i="19"/>
  <c r="E80" i="19"/>
  <c r="E43" i="19"/>
  <c r="E40" i="19"/>
  <c r="E37" i="19"/>
  <c r="E34" i="19"/>
  <c r="E31" i="19"/>
  <c r="E640" i="19"/>
  <c r="E402" i="19"/>
  <c r="E369" i="19"/>
  <c r="E281" i="19"/>
  <c r="E260" i="19"/>
  <c r="E209" i="19"/>
  <c r="E176" i="19"/>
  <c r="E109" i="19"/>
  <c r="E101" i="19"/>
  <c r="E90" i="19"/>
  <c r="E75" i="19"/>
  <c r="E73" i="19"/>
  <c r="E49" i="19"/>
  <c r="E475" i="19"/>
  <c r="E388" i="19"/>
  <c r="E355" i="19"/>
  <c r="E285" i="19"/>
  <c r="E272" i="19"/>
  <c r="E255" i="19"/>
  <c r="E234" i="19"/>
  <c r="E196" i="19"/>
  <c r="E185" i="19"/>
  <c r="E166" i="19"/>
  <c r="E151" i="19"/>
  <c r="E148" i="19"/>
  <c r="E145" i="19"/>
  <c r="E125" i="19"/>
  <c r="E95" i="19"/>
  <c r="E87" i="19"/>
  <c r="E47" i="19"/>
  <c r="E44" i="19"/>
  <c r="E41" i="19"/>
  <c r="E38" i="19"/>
  <c r="E35" i="19"/>
  <c r="E464" i="19"/>
  <c r="E426" i="19"/>
  <c r="E360" i="19"/>
  <c r="E334" i="19"/>
  <c r="E328" i="19"/>
  <c r="E284" i="19"/>
  <c r="E178" i="19"/>
  <c r="E419" i="19"/>
  <c r="E399" i="19"/>
  <c r="E322" i="19"/>
  <c r="E258" i="19"/>
  <c r="E220" i="19"/>
  <c r="E203" i="19"/>
  <c r="E195" i="19"/>
  <c r="E181" i="19"/>
  <c r="E162" i="19"/>
  <c r="E159" i="19"/>
  <c r="E156" i="19"/>
  <c r="E153" i="19"/>
  <c r="E150" i="19"/>
  <c r="E477" i="19"/>
  <c r="E376" i="19"/>
  <c r="E295" i="19"/>
  <c r="E286" i="19"/>
  <c r="E193" i="19"/>
  <c r="E118" i="19"/>
  <c r="E66" i="19"/>
  <c r="E53" i="19"/>
  <c r="E50" i="19"/>
  <c r="E415" i="19"/>
  <c r="E362" i="19"/>
  <c r="E349" i="19"/>
  <c r="E324" i="19"/>
  <c r="E251" i="19"/>
  <c r="E179" i="19"/>
  <c r="E160" i="19"/>
  <c r="E154" i="19"/>
  <c r="E72" i="19"/>
  <c r="E56" i="19"/>
  <c r="E598" i="19"/>
  <c r="E567" i="19"/>
  <c r="E259" i="19"/>
  <c r="E225" i="19"/>
  <c r="E200" i="19"/>
  <c r="E108" i="19"/>
  <c r="E103" i="19"/>
  <c r="E82" i="19"/>
  <c r="E62" i="19"/>
  <c r="E59" i="19"/>
  <c r="E784" i="19"/>
  <c r="E301" i="19"/>
  <c r="E274" i="19"/>
  <c r="E249" i="19"/>
  <c r="E136" i="19"/>
  <c r="E131" i="19"/>
  <c r="E422" i="19"/>
  <c r="E409" i="19"/>
  <c r="E343" i="19"/>
  <c r="E256" i="19"/>
  <c r="E239" i="19"/>
  <c r="E130" i="19"/>
  <c r="E111" i="19"/>
  <c r="E89" i="19"/>
  <c r="E77" i="19"/>
  <c r="E61" i="19"/>
  <c r="E338" i="19"/>
  <c r="E244" i="19"/>
  <c r="E180" i="19"/>
  <c r="E161" i="19"/>
  <c r="E133" i="19"/>
  <c r="E63" i="19"/>
  <c r="E645" i="19"/>
  <c r="E605" i="19"/>
  <c r="E572" i="19"/>
  <c r="E544" i="19"/>
  <c r="E416" i="19"/>
  <c r="E350" i="19"/>
  <c r="E269" i="19"/>
  <c r="E252" i="19"/>
  <c r="E186" i="19"/>
  <c r="E143" i="19"/>
  <c r="E123" i="19"/>
  <c r="E104" i="19"/>
  <c r="E69" i="19"/>
  <c r="E36" i="19"/>
  <c r="E726" i="19"/>
  <c r="E533" i="19"/>
  <c r="E81" i="19"/>
  <c r="E68" i="19"/>
  <c r="E55" i="19"/>
  <c r="E532" i="19"/>
  <c r="E214" i="19"/>
  <c r="E146" i="19"/>
  <c r="E116" i="19"/>
  <c r="E74" i="19"/>
  <c r="E367" i="19"/>
  <c r="E263" i="19"/>
  <c r="E134" i="19"/>
  <c r="E88" i="19"/>
  <c r="E54" i="19"/>
  <c r="E470" i="19"/>
  <c r="E310" i="19"/>
  <c r="E223" i="19"/>
  <c r="E206" i="19"/>
  <c r="E190" i="19"/>
  <c r="E52" i="19"/>
  <c r="E270" i="19"/>
  <c r="E253" i="19"/>
  <c r="E202" i="19"/>
  <c r="E174" i="19"/>
  <c r="E312" i="19"/>
  <c r="E221" i="19"/>
  <c r="E97" i="19"/>
  <c r="E661" i="19"/>
  <c r="E172" i="19"/>
  <c r="E115" i="19"/>
  <c r="E33" i="19"/>
  <c r="E60" i="19"/>
  <c r="E129" i="19"/>
  <c r="E70" i="19"/>
  <c r="E58" i="19"/>
  <c r="E110" i="19"/>
  <c r="E434" i="19"/>
  <c r="E182" i="19"/>
  <c r="E381" i="19"/>
  <c r="E238" i="19"/>
  <c r="E122" i="19"/>
  <c r="E65" i="19"/>
  <c r="E560" i="19"/>
  <c r="E139" i="19"/>
  <c r="E329" i="19"/>
  <c r="E213" i="19"/>
  <c r="E204" i="19"/>
  <c r="E436" i="19"/>
  <c r="E117" i="19"/>
  <c r="E465" i="19"/>
  <c r="E188" i="19"/>
  <c r="E67" i="19"/>
  <c r="E51" i="19"/>
  <c r="E342" i="19"/>
  <c r="E230" i="19"/>
  <c r="L13" i="6"/>
  <c r="L72" i="6"/>
  <c r="L73" i="6" s="1"/>
  <c r="L74" i="6" s="1"/>
  <c r="L8" i="6"/>
  <c r="L21" i="6"/>
  <c r="L64" i="6" s="1"/>
  <c r="AE11" i="7"/>
  <c r="AE16" i="7"/>
  <c r="AE18" i="7" s="1"/>
  <c r="H23" i="11"/>
  <c r="AT71" i="7"/>
  <c r="L208" i="4" s="1"/>
  <c r="AF59" i="7"/>
  <c r="L228" i="4" s="1"/>
  <c r="AF19" i="7"/>
  <c r="AD16" i="7"/>
  <c r="AD18" i="7" s="1"/>
  <c r="AD11" i="7"/>
  <c r="E29" i="11"/>
  <c r="E26" i="11"/>
  <c r="K14" i="6"/>
  <c r="K15" i="6"/>
  <c r="K238" i="4"/>
  <c r="K65" i="6"/>
  <c r="K23" i="6"/>
  <c r="AC52" i="7"/>
  <c r="AS72" i="7"/>
  <c r="K209" i="4" s="1"/>
  <c r="K60" i="6"/>
  <c r="K61" i="6" s="1"/>
  <c r="K62" i="6"/>
  <c r="K234" i="4"/>
  <c r="Z21" i="7"/>
  <c r="J216" i="4"/>
  <c r="F32" i="17"/>
  <c r="D67" i="17"/>
  <c r="D262" i="4" s="1"/>
  <c r="L24" i="6"/>
  <c r="L10" i="6"/>
  <c r="L235" i="4" s="1"/>
  <c r="K44" i="8"/>
  <c r="J20" i="8"/>
  <c r="S37" i="7"/>
  <c r="S42" i="7"/>
  <c r="L99" i="6"/>
  <c r="L240" i="4"/>
  <c r="L98" i="6"/>
  <c r="L241" i="4" s="1"/>
  <c r="T43" i="7"/>
  <c r="T45" i="7" s="1"/>
  <c r="H211" i="4"/>
  <c r="H39" i="9"/>
  <c r="H38" i="9"/>
  <c r="C60" i="11" s="1"/>
  <c r="H225" i="4"/>
  <c r="K99" i="6"/>
  <c r="K98" i="6"/>
  <c r="K241" i="4" s="1"/>
  <c r="K240" i="4"/>
  <c r="L63" i="6"/>
  <c r="J25" i="6"/>
  <c r="J239" i="4" s="1"/>
  <c r="J16" i="6"/>
  <c r="J237" i="4" s="1"/>
  <c r="G27" i="9"/>
  <c r="G29" i="9" s="1"/>
  <c r="G32" i="9" s="1"/>
  <c r="C61" i="11"/>
  <c r="G24" i="11"/>
  <c r="F105" i="11" s="1"/>
  <c r="H40" i="9"/>
  <c r="H224" i="4"/>
  <c r="E38" i="12"/>
  <c r="D40" i="12"/>
  <c r="AB19" i="7"/>
  <c r="K12" i="9"/>
  <c r="G31" i="11"/>
  <c r="G10" i="12"/>
  <c r="R37" i="7"/>
  <c r="R42" i="7"/>
  <c r="C80" i="11"/>
  <c r="D34" i="11"/>
  <c r="W28" i="7"/>
  <c r="W23" i="7"/>
  <c r="W53" i="7" s="1"/>
  <c r="L22" i="6" l="1"/>
  <c r="H27" i="9"/>
  <c r="H29" i="9" s="1"/>
  <c r="H32" i="9" s="1"/>
  <c r="H9" i="8"/>
  <c r="K25" i="6"/>
  <c r="K239" i="4" s="1"/>
  <c r="K16" i="6"/>
  <c r="K237" i="4" s="1"/>
  <c r="AE19" i="7"/>
  <c r="L65" i="6"/>
  <c r="L23" i="6"/>
  <c r="L238" i="4"/>
  <c r="U29" i="7"/>
  <c r="U33" i="7"/>
  <c r="U34" i="7" s="1"/>
  <c r="D37" i="11"/>
  <c r="C103" i="11"/>
  <c r="AD19" i="7"/>
  <c r="H31" i="11"/>
  <c r="L12" i="9"/>
  <c r="H10" i="12"/>
  <c r="L62" i="6"/>
  <c r="L60" i="6"/>
  <c r="L61" i="6" s="1"/>
  <c r="L234" i="4"/>
  <c r="E40" i="12"/>
  <c r="F38" i="12"/>
  <c r="K46" i="8"/>
  <c r="K47" i="8"/>
  <c r="H24" i="11"/>
  <c r="G105" i="11" s="1"/>
  <c r="C49" i="11"/>
  <c r="C50" i="11" s="1"/>
  <c r="C51" i="11" s="1"/>
  <c r="L14" i="6"/>
  <c r="L15" i="6"/>
  <c r="E27" i="11"/>
  <c r="E28" i="11" s="1"/>
  <c r="E32" i="11" s="1"/>
  <c r="E34" i="11" s="1"/>
  <c r="AT72" i="7"/>
  <c r="L209" i="4" s="1"/>
  <c r="C8" i="18"/>
  <c r="AF52" i="7"/>
  <c r="C63" i="11"/>
  <c r="I7" i="9"/>
  <c r="I11" i="9" s="1"/>
  <c r="I13" i="9" s="1"/>
  <c r="W29" i="7"/>
  <c r="W33" i="7"/>
  <c r="W36" i="7" s="1"/>
  <c r="AQ116" i="7" s="1"/>
  <c r="F25" i="11"/>
  <c r="F8" i="12"/>
  <c r="X21" i="7"/>
  <c r="X22" i="7" s="1"/>
  <c r="J8" i="9"/>
  <c r="Y21" i="7"/>
  <c r="Y22" i="7" s="1"/>
  <c r="Z22" i="7"/>
  <c r="V33" i="7"/>
  <c r="V34" i="7" s="1"/>
  <c r="V29" i="7"/>
  <c r="E7" i="12" l="1"/>
  <c r="E12" i="12" s="1"/>
  <c r="E14" i="12" s="1"/>
  <c r="E18" i="12" s="1"/>
  <c r="I210" i="4"/>
  <c r="W42" i="7"/>
  <c r="AQ117" i="7" s="1"/>
  <c r="W37" i="7"/>
  <c r="W54" i="7" s="1"/>
  <c r="D103" i="11"/>
  <c r="E37" i="11"/>
  <c r="D104" i="11" s="1"/>
  <c r="V36" i="7"/>
  <c r="X23" i="7"/>
  <c r="X28" i="7"/>
  <c r="I15" i="9"/>
  <c r="Y28" i="7"/>
  <c r="Y23" i="7"/>
  <c r="L25" i="6"/>
  <c r="L239" i="4" s="1"/>
  <c r="L16" i="6"/>
  <c r="L237" i="4" s="1"/>
  <c r="F29" i="11"/>
  <c r="F26" i="11"/>
  <c r="I14" i="9"/>
  <c r="W34" i="7"/>
  <c r="I37" i="9" s="1"/>
  <c r="F40" i="12"/>
  <c r="G38" i="12"/>
  <c r="C104" i="11"/>
  <c r="K20" i="8"/>
  <c r="L44" i="8"/>
  <c r="C72" i="11"/>
  <c r="I11" i="14"/>
  <c r="J11" i="14" s="1"/>
  <c r="C8" i="17"/>
  <c r="C15" i="18"/>
  <c r="C58" i="18" s="1"/>
  <c r="C59" i="18" s="1"/>
  <c r="C35" i="14"/>
  <c r="C36" i="14" s="1"/>
  <c r="C37" i="14" s="1"/>
  <c r="D34" i="18"/>
  <c r="D44" i="18"/>
  <c r="H34" i="18"/>
  <c r="F44" i="18"/>
  <c r="E44" i="18"/>
  <c r="E34" i="18"/>
  <c r="D10" i="19"/>
  <c r="F34" i="18"/>
  <c r="G34" i="18"/>
  <c r="H11" i="8"/>
  <c r="AC21" i="7"/>
  <c r="K216" i="4"/>
  <c r="U36" i="7"/>
  <c r="Z28" i="7"/>
  <c r="Z23" i="7"/>
  <c r="Z53" i="7" s="1"/>
  <c r="F1024" i="19" l="1"/>
  <c r="F1017" i="19"/>
  <c r="F1010" i="19"/>
  <c r="F1003" i="19"/>
  <c r="F996" i="19"/>
  <c r="F989" i="19"/>
  <c r="F982" i="19"/>
  <c r="F975" i="19"/>
  <c r="F968" i="19"/>
  <c r="F961" i="19"/>
  <c r="F954" i="19"/>
  <c r="F947" i="19"/>
  <c r="F940" i="19"/>
  <c r="F933" i="19"/>
  <c r="F926" i="19"/>
  <c r="F919" i="19"/>
  <c r="F912" i="19"/>
  <c r="F1015" i="19"/>
  <c r="F1013" i="19"/>
  <c r="F1011" i="19"/>
  <c r="F1009" i="19"/>
  <c r="F1007" i="19"/>
  <c r="F1005" i="19"/>
  <c r="F966" i="19"/>
  <c r="F964" i="19"/>
  <c r="F962" i="19"/>
  <c r="F960" i="19"/>
  <c r="F958" i="19"/>
  <c r="F956" i="19"/>
  <c r="F917" i="19"/>
  <c r="F915" i="19"/>
  <c r="F913" i="19"/>
  <c r="F911" i="19"/>
  <c r="F909" i="19"/>
  <c r="F900" i="19"/>
  <c r="F893" i="19"/>
  <c r="F886" i="19"/>
  <c r="F879" i="19"/>
  <c r="F872" i="19"/>
  <c r="F994" i="19"/>
  <c r="F992" i="19"/>
  <c r="F990" i="19"/>
  <c r="F988" i="19"/>
  <c r="F986" i="19"/>
  <c r="F984" i="19"/>
  <c r="F945" i="19"/>
  <c r="F943" i="19"/>
  <c r="F941" i="19"/>
  <c r="F939" i="19"/>
  <c r="F937" i="19"/>
  <c r="F935" i="19"/>
  <c r="F903" i="19"/>
  <c r="F896" i="19"/>
  <c r="F889" i="19"/>
  <c r="F908" i="19"/>
  <c r="F1001" i="19"/>
  <c r="F999" i="19"/>
  <c r="F997" i="19"/>
  <c r="F995" i="19"/>
  <c r="F993" i="19"/>
  <c r="F991" i="19"/>
  <c r="F952" i="19"/>
  <c r="F950" i="19"/>
  <c r="F948" i="19"/>
  <c r="F946" i="19"/>
  <c r="F944" i="19"/>
  <c r="F942" i="19"/>
  <c r="F902" i="19"/>
  <c r="F895" i="19"/>
  <c r="F888" i="19"/>
  <c r="F1008" i="19"/>
  <c r="F951" i="19"/>
  <c r="F876" i="19"/>
  <c r="F953" i="19"/>
  <c r="F1021" i="19"/>
  <c r="F1018" i="19"/>
  <c r="F981" i="19"/>
  <c r="F978" i="19"/>
  <c r="F938" i="19"/>
  <c r="F921" i="19"/>
  <c r="F918" i="19"/>
  <c r="F897" i="19"/>
  <c r="F892" i="19"/>
  <c r="F875" i="19"/>
  <c r="F864" i="19"/>
  <c r="F857" i="19"/>
  <c r="F850" i="19"/>
  <c r="F843" i="19"/>
  <c r="F836" i="19"/>
  <c r="F829" i="19"/>
  <c r="F822" i="19"/>
  <c r="F815" i="19"/>
  <c r="F808" i="19"/>
  <c r="F801" i="19"/>
  <c r="F794" i="19"/>
  <c r="F787" i="19"/>
  <c r="F780" i="19"/>
  <c r="F773" i="19"/>
  <c r="F766" i="19"/>
  <c r="F759" i="19"/>
  <c r="F752" i="19"/>
  <c r="F745" i="19"/>
  <c r="F738" i="19"/>
  <c r="F731" i="19"/>
  <c r="F1029" i="19"/>
  <c r="F1012" i="19"/>
  <c r="F972" i="19"/>
  <c r="F969" i="19"/>
  <c r="F932" i="19"/>
  <c r="F929" i="19"/>
  <c r="F904" i="19"/>
  <c r="F899" i="19"/>
  <c r="F871" i="19"/>
  <c r="F862" i="19"/>
  <c r="F855" i="19"/>
  <c r="F848" i="19"/>
  <c r="F1027" i="19"/>
  <c r="F1023" i="19"/>
  <c r="F987" i="19"/>
  <c r="F983" i="19"/>
  <c r="F971" i="19"/>
  <c r="F967" i="19"/>
  <c r="F963" i="19"/>
  <c r="F959" i="19"/>
  <c r="F955" i="19"/>
  <c r="F931" i="19"/>
  <c r="F927" i="19"/>
  <c r="F923" i="19"/>
  <c r="F869" i="19"/>
  <c r="F860" i="19"/>
  <c r="F820" i="19"/>
  <c r="F818" i="19"/>
  <c r="F816" i="19"/>
  <c r="F1019" i="19"/>
  <c r="F979" i="19"/>
  <c r="F905" i="19"/>
  <c r="F881" i="19"/>
  <c r="F851" i="19"/>
  <c r="F887" i="19"/>
  <c r="F867" i="19"/>
  <c r="F847" i="19"/>
  <c r="F806" i="19"/>
  <c r="F804" i="19"/>
  <c r="F802" i="19"/>
  <c r="F1016" i="19"/>
  <c r="F965" i="19"/>
  <c r="F906" i="19"/>
  <c r="F894" i="19"/>
  <c r="F856" i="19"/>
  <c r="F837" i="19"/>
  <c r="F785" i="19"/>
  <c r="F783" i="19"/>
  <c r="F781" i="19"/>
  <c r="F1020" i="19"/>
  <c r="F1014" i="19"/>
  <c r="F914" i="19"/>
  <c r="F901" i="19"/>
  <c r="F861" i="19"/>
  <c r="F1006" i="19"/>
  <c r="F973" i="19"/>
  <c r="F957" i="19"/>
  <c r="F936" i="19"/>
  <c r="F916" i="19"/>
  <c r="F1025" i="19"/>
  <c r="F985" i="19"/>
  <c r="F934" i="19"/>
  <c r="F928" i="19"/>
  <c r="F891" i="19"/>
  <c r="F882" i="19"/>
  <c r="F811" i="19"/>
  <c r="F793" i="19"/>
  <c r="F786" i="19"/>
  <c r="F775" i="19"/>
  <c r="F743" i="19"/>
  <c r="F741" i="19"/>
  <c r="F739" i="19"/>
  <c r="F725" i="19"/>
  <c r="F723" i="19"/>
  <c r="F708" i="19"/>
  <c r="F691" i="19"/>
  <c r="F977" i="19"/>
  <c r="F878" i="19"/>
  <c r="F842" i="19"/>
  <c r="F826" i="19"/>
  <c r="F821" i="19"/>
  <c r="F803" i="19"/>
  <c r="F798" i="19"/>
  <c r="F777" i="19"/>
  <c r="F751" i="19"/>
  <c r="F749" i="19"/>
  <c r="F747" i="19"/>
  <c r="F721" i="19"/>
  <c r="F706" i="19"/>
  <c r="F1022" i="19"/>
  <c r="F998" i="19"/>
  <c r="F920" i="19"/>
  <c r="F874" i="19"/>
  <c r="F828" i="19"/>
  <c r="F805" i="19"/>
  <c r="F800" i="19"/>
  <c r="F772" i="19"/>
  <c r="F884" i="19"/>
  <c r="F877" i="19"/>
  <c r="F873" i="19"/>
  <c r="F866" i="19"/>
  <c r="F841" i="19"/>
  <c r="F838" i="19"/>
  <c r="F807" i="19"/>
  <c r="F792" i="19"/>
  <c r="F1004" i="19"/>
  <c r="F980" i="19"/>
  <c r="F930" i="19"/>
  <c r="F846" i="19"/>
  <c r="F835" i="19"/>
  <c r="F817" i="19"/>
  <c r="F799" i="19"/>
  <c r="F1000" i="19"/>
  <c r="F976" i="19"/>
  <c r="F890" i="19"/>
  <c r="F762" i="19"/>
  <c r="F746" i="19"/>
  <c r="F719" i="19"/>
  <c r="F974" i="19"/>
  <c r="F833" i="19"/>
  <c r="F825" i="19"/>
  <c r="F813" i="19"/>
  <c r="F809" i="19"/>
  <c r="F797" i="19"/>
  <c r="F733" i="19"/>
  <c r="F730" i="19"/>
  <c r="F789" i="19"/>
  <c r="F770" i="19"/>
  <c r="F756" i="19"/>
  <c r="F678" i="19"/>
  <c r="F779" i="19"/>
  <c r="F776" i="19"/>
  <c r="F767" i="19"/>
  <c r="F748" i="19"/>
  <c r="F710" i="19"/>
  <c r="F970" i="19"/>
  <c r="F859" i="19"/>
  <c r="F854" i="19"/>
  <c r="F844" i="19"/>
  <c r="F853" i="19"/>
  <c r="F1030" i="19"/>
  <c r="F885" i="19"/>
  <c r="F840" i="19"/>
  <c r="F827" i="19"/>
  <c r="F784" i="19"/>
  <c r="F755" i="19"/>
  <c r="F737" i="19"/>
  <c r="F714" i="19"/>
  <c r="F699" i="19"/>
  <c r="F682" i="19"/>
  <c r="F680" i="19"/>
  <c r="F674" i="19"/>
  <c r="F657" i="19"/>
  <c r="F1028" i="19"/>
  <c r="F925" i="19"/>
  <c r="F865" i="19"/>
  <c r="F839" i="19"/>
  <c r="F810" i="19"/>
  <c r="F788" i="19"/>
  <c r="F758" i="19"/>
  <c r="F720" i="19"/>
  <c r="F717" i="19"/>
  <c r="F703" i="19"/>
  <c r="F690" i="19"/>
  <c r="F670" i="19"/>
  <c r="F668" i="19"/>
  <c r="F924" i="19"/>
  <c r="F729" i="19"/>
  <c r="F726" i="19"/>
  <c r="F705" i="19"/>
  <c r="F692" i="19"/>
  <c r="F666" i="19"/>
  <c r="F653" i="19"/>
  <c r="F646" i="19"/>
  <c r="F639" i="19"/>
  <c r="F632" i="19"/>
  <c r="F625" i="19"/>
  <c r="F618" i="19"/>
  <c r="F611" i="19"/>
  <c r="F604" i="19"/>
  <c r="F597" i="19"/>
  <c r="F590" i="19"/>
  <c r="F583" i="19"/>
  <c r="F576" i="19"/>
  <c r="F569" i="19"/>
  <c r="F562" i="19"/>
  <c r="F555" i="19"/>
  <c r="F548" i="19"/>
  <c r="F541" i="19"/>
  <c r="F534" i="19"/>
  <c r="F1026" i="19"/>
  <c r="F1002" i="19"/>
  <c r="F907" i="19"/>
  <c r="F883" i="19"/>
  <c r="F863" i="19"/>
  <c r="F736" i="19"/>
  <c r="F814" i="19"/>
  <c r="F769" i="19"/>
  <c r="F754" i="19"/>
  <c r="F713" i="19"/>
  <c r="F698" i="19"/>
  <c r="F675" i="19"/>
  <c r="F660" i="19"/>
  <c r="F852" i="19"/>
  <c r="F830" i="19"/>
  <c r="F796" i="19"/>
  <c r="F791" i="19"/>
  <c r="F742" i="19"/>
  <c r="F728" i="19"/>
  <c r="F702" i="19"/>
  <c r="F671" i="19"/>
  <c r="F656" i="19"/>
  <c r="F757" i="19"/>
  <c r="F727" i="19"/>
  <c r="F722" i="19"/>
  <c r="F712" i="19"/>
  <c r="F704" i="19"/>
  <c r="F687" i="19"/>
  <c r="F663" i="19"/>
  <c r="F654" i="19"/>
  <c r="F635" i="19"/>
  <c r="F778" i="19"/>
  <c r="F750" i="19"/>
  <c r="F684" i="19"/>
  <c r="F630" i="19"/>
  <c r="F613" i="19"/>
  <c r="F599" i="19"/>
  <c r="F581" i="19"/>
  <c r="F795" i="19"/>
  <c r="F771" i="19"/>
  <c r="F744" i="19"/>
  <c r="F707" i="19"/>
  <c r="F700" i="19"/>
  <c r="F697" i="19"/>
  <c r="F651" i="19"/>
  <c r="F643" i="19"/>
  <c r="F640" i="19"/>
  <c r="F608" i="19"/>
  <c r="F572" i="19"/>
  <c r="F561" i="19"/>
  <c r="F898" i="19"/>
  <c r="F683" i="19"/>
  <c r="F665" i="19"/>
  <c r="F662" i="19"/>
  <c r="F812" i="19"/>
  <c r="F782" i="19"/>
  <c r="F715" i="19"/>
  <c r="F673" i="19"/>
  <c r="F634" i="19"/>
  <c r="F598" i="19"/>
  <c r="F587" i="19"/>
  <c r="F949" i="19"/>
  <c r="F868" i="19"/>
  <c r="F823" i="19"/>
  <c r="F774" i="19"/>
  <c r="F760" i="19"/>
  <c r="F734" i="19"/>
  <c r="F724" i="19"/>
  <c r="F709" i="19"/>
  <c r="F761" i="19"/>
  <c r="F694" i="19"/>
  <c r="F641" i="19"/>
  <c r="F620" i="19"/>
  <c r="F617" i="19"/>
  <c r="F582" i="19"/>
  <c r="F520" i="19"/>
  <c r="F518" i="19"/>
  <c r="F516" i="19"/>
  <c r="F514" i="19"/>
  <c r="F512" i="19"/>
  <c r="F510" i="19"/>
  <c r="F493" i="19"/>
  <c r="F849" i="19"/>
  <c r="F824" i="19"/>
  <c r="F693" i="19"/>
  <c r="F669" i="19"/>
  <c r="F664" i="19"/>
  <c r="F652" i="19"/>
  <c r="F648" i="19"/>
  <c r="F623" i="19"/>
  <c r="F596" i="19"/>
  <c r="F593" i="19"/>
  <c r="F579" i="19"/>
  <c r="F550" i="19"/>
  <c r="F522" i="19"/>
  <c r="F508" i="19"/>
  <c r="F506" i="19"/>
  <c r="F491" i="19"/>
  <c r="F478" i="19"/>
  <c r="F471" i="19"/>
  <c r="F464" i="19"/>
  <c r="F457" i="19"/>
  <c r="F450" i="19"/>
  <c r="F443" i="19"/>
  <c r="F677" i="19"/>
  <c r="F659" i="19"/>
  <c r="F655" i="19"/>
  <c r="F647" i="19"/>
  <c r="F636" i="19"/>
  <c r="F629" i="19"/>
  <c r="F619" i="19"/>
  <c r="F616" i="19"/>
  <c r="F601" i="19"/>
  <c r="F584" i="19"/>
  <c r="F571" i="19"/>
  <c r="F500" i="19"/>
  <c r="F483" i="19"/>
  <c r="F768" i="19"/>
  <c r="F716" i="19"/>
  <c r="F696" i="19"/>
  <c r="F686" i="19"/>
  <c r="F676" i="19"/>
  <c r="F672" i="19"/>
  <c r="F658" i="19"/>
  <c r="F609" i="19"/>
  <c r="F589" i="19"/>
  <c r="F573" i="19"/>
  <c r="F556" i="19"/>
  <c r="F549" i="19"/>
  <c r="F538" i="19"/>
  <c r="F515" i="19"/>
  <c r="F509" i="19"/>
  <c r="F494" i="19"/>
  <c r="F492" i="19"/>
  <c r="F479" i="19"/>
  <c r="F472" i="19"/>
  <c r="F465" i="19"/>
  <c r="F834" i="19"/>
  <c r="F685" i="19"/>
  <c r="F642" i="19"/>
  <c r="F621" i="19"/>
  <c r="F615" i="19"/>
  <c r="F575" i="19"/>
  <c r="F558" i="19"/>
  <c r="F542" i="19"/>
  <c r="F529" i="19"/>
  <c r="F505" i="19"/>
  <c r="F763" i="19"/>
  <c r="F679" i="19"/>
  <c r="F591" i="19"/>
  <c r="F578" i="19"/>
  <c r="F574" i="19"/>
  <c r="F531" i="19"/>
  <c r="F503" i="19"/>
  <c r="F495" i="19"/>
  <c r="F487" i="19"/>
  <c r="F462" i="19"/>
  <c r="F453" i="19"/>
  <c r="F451" i="19"/>
  <c r="F449" i="19"/>
  <c r="F447" i="19"/>
  <c r="F445" i="19"/>
  <c r="F595" i="19"/>
  <c r="F570" i="19"/>
  <c r="F559" i="19"/>
  <c r="F474" i="19"/>
  <c r="F433" i="19"/>
  <c r="F426" i="19"/>
  <c r="F419" i="19"/>
  <c r="F412" i="19"/>
  <c r="F405" i="19"/>
  <c r="F398" i="19"/>
  <c r="F391" i="19"/>
  <c r="F384" i="19"/>
  <c r="F377" i="19"/>
  <c r="F370" i="19"/>
  <c r="F363" i="19"/>
  <c r="F356" i="19"/>
  <c r="F349" i="19"/>
  <c r="F342" i="19"/>
  <c r="F335" i="19"/>
  <c r="F328" i="19"/>
  <c r="F321" i="19"/>
  <c r="F314" i="19"/>
  <c r="F307" i="19"/>
  <c r="F300" i="19"/>
  <c r="F293" i="19"/>
  <c r="F286" i="19"/>
  <c r="F831" i="19"/>
  <c r="F740" i="19"/>
  <c r="F711" i="19"/>
  <c r="F701" i="19"/>
  <c r="F650" i="19"/>
  <c r="F644" i="19"/>
  <c r="F603" i="19"/>
  <c r="F577" i="19"/>
  <c r="F530" i="19"/>
  <c r="F511" i="19"/>
  <c r="F476" i="19"/>
  <c r="F735" i="19"/>
  <c r="F661" i="19"/>
  <c r="F649" i="19"/>
  <c r="F637" i="19"/>
  <c r="F626" i="19"/>
  <c r="F602" i="19"/>
  <c r="F580" i="19"/>
  <c r="F543" i="19"/>
  <c r="F536" i="19"/>
  <c r="F523" i="19"/>
  <c r="F461" i="19"/>
  <c r="F434" i="19"/>
  <c r="F427" i="19"/>
  <c r="F420" i="19"/>
  <c r="F413" i="19"/>
  <c r="F406" i="19"/>
  <c r="F399" i="19"/>
  <c r="F392" i="19"/>
  <c r="F385" i="19"/>
  <c r="F378" i="19"/>
  <c r="F371" i="19"/>
  <c r="F364" i="19"/>
  <c r="F357" i="19"/>
  <c r="F350" i="19"/>
  <c r="F343" i="19"/>
  <c r="F336" i="19"/>
  <c r="F329" i="19"/>
  <c r="F858" i="19"/>
  <c r="F689" i="19"/>
  <c r="F667" i="19"/>
  <c r="F606" i="19"/>
  <c r="F568" i="19"/>
  <c r="F539" i="19"/>
  <c r="F532" i="19"/>
  <c r="F513" i="19"/>
  <c r="F507" i="19"/>
  <c r="F504" i="19"/>
  <c r="F454" i="19"/>
  <c r="F432" i="19"/>
  <c r="F425" i="19"/>
  <c r="F418" i="19"/>
  <c r="F411" i="19"/>
  <c r="F404" i="19"/>
  <c r="F397" i="19"/>
  <c r="F390" i="19"/>
  <c r="F383" i="19"/>
  <c r="F376" i="19"/>
  <c r="F369" i="19"/>
  <c r="F362" i="19"/>
  <c r="F355" i="19"/>
  <c r="F348" i="19"/>
  <c r="F341" i="19"/>
  <c r="F765" i="19"/>
  <c r="F553" i="19"/>
  <c r="F537" i="19"/>
  <c r="F517" i="19"/>
  <c r="F490" i="19"/>
  <c r="F486" i="19"/>
  <c r="F446" i="19"/>
  <c r="F431" i="19"/>
  <c r="F401" i="19"/>
  <c r="F393" i="19"/>
  <c r="F382" i="19"/>
  <c r="F352" i="19"/>
  <c r="F344" i="19"/>
  <c r="F326" i="19"/>
  <c r="F297" i="19"/>
  <c r="F764" i="19"/>
  <c r="F498" i="19"/>
  <c r="F482" i="19"/>
  <c r="F470" i="19"/>
  <c r="F409" i="19"/>
  <c r="F360" i="19"/>
  <c r="F319" i="19"/>
  <c r="F295" i="19"/>
  <c r="F280" i="19"/>
  <c r="F273" i="19"/>
  <c r="F266" i="19"/>
  <c r="F259" i="19"/>
  <c r="F252" i="19"/>
  <c r="F245" i="19"/>
  <c r="F238" i="19"/>
  <c r="F231" i="19"/>
  <c r="F224" i="19"/>
  <c r="F217" i="19"/>
  <c r="F210" i="19"/>
  <c r="F203" i="19"/>
  <c r="F196" i="19"/>
  <c r="F189" i="19"/>
  <c r="F182" i="19"/>
  <c r="F175" i="19"/>
  <c r="F168" i="19"/>
  <c r="F161" i="19"/>
  <c r="F154" i="19"/>
  <c r="F147" i="19"/>
  <c r="F140" i="19"/>
  <c r="F133" i="19"/>
  <c r="F832" i="19"/>
  <c r="F695" i="19"/>
  <c r="F624" i="19"/>
  <c r="F588" i="19"/>
  <c r="F552" i="19"/>
  <c r="F546" i="19"/>
  <c r="F489" i="19"/>
  <c r="F477" i="19"/>
  <c r="F442" i="19"/>
  <c r="F422" i="19"/>
  <c r="F414" i="19"/>
  <c r="F403" i="19"/>
  <c r="F373" i="19"/>
  <c r="F365" i="19"/>
  <c r="F354" i="19"/>
  <c r="F312" i="19"/>
  <c r="F310" i="19"/>
  <c r="F308" i="19"/>
  <c r="F306" i="19"/>
  <c r="F304" i="19"/>
  <c r="F287" i="19"/>
  <c r="F607" i="19"/>
  <c r="F488" i="19"/>
  <c r="F484" i="19"/>
  <c r="F480" i="19"/>
  <c r="F416" i="19"/>
  <c r="F367" i="19"/>
  <c r="F316" i="19"/>
  <c r="F296" i="19"/>
  <c r="F281" i="19"/>
  <c r="F274" i="19"/>
  <c r="F267" i="19"/>
  <c r="F260" i="19"/>
  <c r="F253" i="19"/>
  <c r="F246" i="19"/>
  <c r="F239" i="19"/>
  <c r="F232" i="19"/>
  <c r="F225" i="19"/>
  <c r="F218" i="19"/>
  <c r="F211" i="19"/>
  <c r="F204" i="19"/>
  <c r="F197" i="19"/>
  <c r="F190" i="19"/>
  <c r="F880" i="19"/>
  <c r="F638" i="19"/>
  <c r="F614" i="19"/>
  <c r="F567" i="19"/>
  <c r="F544" i="19"/>
  <c r="F468" i="19"/>
  <c r="F444" i="19"/>
  <c r="F402" i="19"/>
  <c r="F353" i="19"/>
  <c r="F320" i="19"/>
  <c r="F292" i="19"/>
  <c r="F279" i="19"/>
  <c r="F272" i="19"/>
  <c r="F265" i="19"/>
  <c r="F258" i="19"/>
  <c r="F251" i="19"/>
  <c r="F244" i="19"/>
  <c r="F237" i="19"/>
  <c r="F230" i="19"/>
  <c r="F223" i="19"/>
  <c r="F216" i="19"/>
  <c r="F209" i="19"/>
  <c r="F202" i="19"/>
  <c r="F922" i="19"/>
  <c r="F753" i="19"/>
  <c r="F718" i="19"/>
  <c r="F565" i="19"/>
  <c r="F547" i="19"/>
  <c r="F458" i="19"/>
  <c r="F438" i="19"/>
  <c r="F429" i="19"/>
  <c r="F408" i="19"/>
  <c r="F299" i="19"/>
  <c r="F290" i="19"/>
  <c r="F235" i="19"/>
  <c r="F192" i="19"/>
  <c r="F155" i="19"/>
  <c r="F138" i="19"/>
  <c r="F127" i="19"/>
  <c r="F120" i="19"/>
  <c r="F113" i="19"/>
  <c r="F106" i="19"/>
  <c r="F99" i="19"/>
  <c r="F92" i="19"/>
  <c r="F85" i="19"/>
  <c r="F78" i="19"/>
  <c r="F71" i="19"/>
  <c r="F64" i="19"/>
  <c r="F57" i="19"/>
  <c r="F910" i="19"/>
  <c r="F628" i="19"/>
  <c r="F605" i="19"/>
  <c r="F594" i="19"/>
  <c r="F564" i="19"/>
  <c r="F481" i="19"/>
  <c r="F475" i="19"/>
  <c r="F469" i="19"/>
  <c r="F395" i="19"/>
  <c r="F374" i="19"/>
  <c r="F361" i="19"/>
  <c r="F340" i="19"/>
  <c r="F332" i="19"/>
  <c r="F311" i="19"/>
  <c r="F284" i="19"/>
  <c r="F262" i="19"/>
  <c r="F254" i="19"/>
  <c r="F243" i="19"/>
  <c r="F213" i="19"/>
  <c r="F205" i="19"/>
  <c r="F185" i="19"/>
  <c r="F183" i="19"/>
  <c r="F181" i="19"/>
  <c r="F179" i="19"/>
  <c r="F177" i="19"/>
  <c r="F153" i="19"/>
  <c r="F136" i="19"/>
  <c r="F870" i="19"/>
  <c r="F790" i="19"/>
  <c r="F688" i="19"/>
  <c r="F545" i="19"/>
  <c r="F499" i="19"/>
  <c r="F428" i="19"/>
  <c r="F407" i="19"/>
  <c r="F394" i="19"/>
  <c r="F339" i="19"/>
  <c r="F301" i="19"/>
  <c r="F298" i="19"/>
  <c r="F256" i="19"/>
  <c r="F207" i="19"/>
  <c r="F145" i="19"/>
  <c r="F130" i="19"/>
  <c r="F123" i="19"/>
  <c r="F116" i="19"/>
  <c r="F109" i="19"/>
  <c r="F102" i="19"/>
  <c r="F95" i="19"/>
  <c r="F88" i="19"/>
  <c r="F81" i="19"/>
  <c r="F732" i="19"/>
  <c r="F600" i="19"/>
  <c r="F560" i="19"/>
  <c r="F551" i="19"/>
  <c r="F527" i="19"/>
  <c r="F519" i="19"/>
  <c r="F467" i="19"/>
  <c r="F423" i="19"/>
  <c r="F410" i="19"/>
  <c r="F389" i="19"/>
  <c r="F372" i="19"/>
  <c r="F351" i="19"/>
  <c r="F338" i="19"/>
  <c r="F334" i="19"/>
  <c r="F323" i="19"/>
  <c r="F269" i="19"/>
  <c r="F261" i="19"/>
  <c r="F250" i="19"/>
  <c r="F220" i="19"/>
  <c r="F212" i="19"/>
  <c r="F201" i="19"/>
  <c r="F191" i="19"/>
  <c r="F180" i="19"/>
  <c r="F178" i="19"/>
  <c r="F176" i="19"/>
  <c r="F174" i="19"/>
  <c r="F172" i="19"/>
  <c r="F170" i="19"/>
  <c r="F156" i="19"/>
  <c r="F139" i="19"/>
  <c r="F681" i="19"/>
  <c r="F533" i="19"/>
  <c r="F466" i="19"/>
  <c r="F460" i="19"/>
  <c r="F440" i="19"/>
  <c r="F435" i="19"/>
  <c r="F346" i="19"/>
  <c r="F330" i="19"/>
  <c r="F294" i="19"/>
  <c r="F291" i="19"/>
  <c r="F255" i="19"/>
  <c r="F247" i="19"/>
  <c r="F236" i="19"/>
  <c r="F206" i="19"/>
  <c r="F198" i="19"/>
  <c r="F193" i="19"/>
  <c r="F186" i="19"/>
  <c r="F184" i="19"/>
  <c r="F150" i="19"/>
  <c r="F135" i="19"/>
  <c r="F610" i="19"/>
  <c r="F563" i="19"/>
  <c r="F524" i="19"/>
  <c r="F501" i="19"/>
  <c r="F379" i="19"/>
  <c r="F366" i="19"/>
  <c r="F359" i="19"/>
  <c r="F333" i="19"/>
  <c r="F327" i="19"/>
  <c r="F228" i="19"/>
  <c r="F187" i="19"/>
  <c r="F165" i="19"/>
  <c r="F144" i="19"/>
  <c r="F141" i="19"/>
  <c r="F94" i="19"/>
  <c r="F83" i="19"/>
  <c r="F48" i="19"/>
  <c r="F592" i="19"/>
  <c r="F535" i="19"/>
  <c r="F283" i="19"/>
  <c r="F270" i="19"/>
  <c r="F249" i="19"/>
  <c r="F215" i="19"/>
  <c r="F171" i="19"/>
  <c r="F132" i="19"/>
  <c r="F121" i="19"/>
  <c r="F110" i="19"/>
  <c r="F91" i="19"/>
  <c r="F645" i="19"/>
  <c r="F436" i="19"/>
  <c r="F282" i="19"/>
  <c r="F248" i="19"/>
  <c r="F227" i="19"/>
  <c r="F214" i="19"/>
  <c r="F149" i="19"/>
  <c r="F146" i="19"/>
  <c r="F143" i="19"/>
  <c r="F115" i="19"/>
  <c r="F104" i="19"/>
  <c r="F69" i="19"/>
  <c r="F67" i="19"/>
  <c r="F65" i="19"/>
  <c r="F63" i="19"/>
  <c r="F61" i="19"/>
  <c r="F59" i="19"/>
  <c r="F46" i="19"/>
  <c r="F415" i="19"/>
  <c r="F324" i="19"/>
  <c r="F264" i="19"/>
  <c r="F226" i="19"/>
  <c r="F160" i="19"/>
  <c r="F128" i="19"/>
  <c r="F117" i="19"/>
  <c r="F98" i="19"/>
  <c r="F77" i="19"/>
  <c r="F554" i="19"/>
  <c r="F528" i="19"/>
  <c r="F441" i="19"/>
  <c r="F421" i="19"/>
  <c r="F381" i="19"/>
  <c r="F368" i="19"/>
  <c r="F313" i="19"/>
  <c r="F303" i="19"/>
  <c r="F268" i="19"/>
  <c r="F221" i="19"/>
  <c r="F200" i="19"/>
  <c r="F163" i="19"/>
  <c r="F114" i="19"/>
  <c r="F103" i="19"/>
  <c r="F84" i="19"/>
  <c r="F79" i="19"/>
  <c r="F566" i="19"/>
  <c r="F525" i="19"/>
  <c r="F502" i="19"/>
  <c r="F473" i="19"/>
  <c r="F455" i="19"/>
  <c r="F400" i="19"/>
  <c r="F347" i="19"/>
  <c r="F322" i="19"/>
  <c r="F317" i="19"/>
  <c r="F271" i="19"/>
  <c r="F233" i="19"/>
  <c r="F199" i="19"/>
  <c r="F195" i="19"/>
  <c r="F162" i="19"/>
  <c r="F159" i="19"/>
  <c r="F108" i="19"/>
  <c r="F631" i="19"/>
  <c r="F612" i="19"/>
  <c r="F463" i="19"/>
  <c r="F439" i="19"/>
  <c r="F386" i="19"/>
  <c r="F302" i="19"/>
  <c r="F288" i="19"/>
  <c r="F275" i="19"/>
  <c r="F241" i="19"/>
  <c r="F819" i="19"/>
  <c r="F496" i="19"/>
  <c r="F459" i="19"/>
  <c r="F325" i="19"/>
  <c r="F277" i="19"/>
  <c r="F173" i="19"/>
  <c r="F72" i="19"/>
  <c r="F56" i="19"/>
  <c r="F38" i="19"/>
  <c r="F31" i="19"/>
  <c r="F388" i="19"/>
  <c r="F375" i="19"/>
  <c r="F285" i="19"/>
  <c r="F234" i="19"/>
  <c r="F166" i="19"/>
  <c r="F148" i="19"/>
  <c r="F137" i="19"/>
  <c r="F82" i="19"/>
  <c r="F75" i="19"/>
  <c r="F62" i="19"/>
  <c r="F45" i="19"/>
  <c r="F540" i="19"/>
  <c r="F276" i="19"/>
  <c r="F242" i="19"/>
  <c r="F142" i="19"/>
  <c r="F122" i="19"/>
  <c r="F47" i="19"/>
  <c r="F40" i="19"/>
  <c r="F33" i="19"/>
  <c r="F633" i="19"/>
  <c r="F627" i="19"/>
  <c r="F424" i="19"/>
  <c r="F345" i="19"/>
  <c r="F126" i="19"/>
  <c r="F107" i="19"/>
  <c r="F68" i="19"/>
  <c r="F55" i="19"/>
  <c r="F52" i="19"/>
  <c r="F35" i="19"/>
  <c r="F586" i="19"/>
  <c r="F557" i="19"/>
  <c r="F396" i="19"/>
  <c r="F309" i="19"/>
  <c r="F222" i="19"/>
  <c r="F125" i="19"/>
  <c r="F93" i="19"/>
  <c r="F845" i="19"/>
  <c r="F521" i="19"/>
  <c r="F430" i="19"/>
  <c r="F417" i="19"/>
  <c r="F315" i="19"/>
  <c r="F305" i="19"/>
  <c r="F278" i="19"/>
  <c r="F219" i="19"/>
  <c r="F100" i="19"/>
  <c r="F43" i="19"/>
  <c r="F36" i="19"/>
  <c r="F497" i="19"/>
  <c r="F337" i="19"/>
  <c r="F167" i="19"/>
  <c r="F118" i="19"/>
  <c r="F87" i="19"/>
  <c r="F66" i="19"/>
  <c r="F53" i="19"/>
  <c r="F50" i="19"/>
  <c r="F452" i="19"/>
  <c r="F158" i="19"/>
  <c r="F74" i="19"/>
  <c r="F89" i="19"/>
  <c r="F49" i="19"/>
  <c r="F44" i="19"/>
  <c r="F585" i="19"/>
  <c r="F526" i="19"/>
  <c r="F448" i="19"/>
  <c r="F229" i="19"/>
  <c r="F124" i="19"/>
  <c r="F105" i="19"/>
  <c r="F73" i="19"/>
  <c r="F60" i="19"/>
  <c r="F34" i="19"/>
  <c r="F437" i="19"/>
  <c r="F358" i="19"/>
  <c r="F257" i="19"/>
  <c r="F240" i="19"/>
  <c r="F164" i="19"/>
  <c r="F152" i="19"/>
  <c r="F58" i="19"/>
  <c r="F42" i="19"/>
  <c r="F151" i="19"/>
  <c r="F51" i="19"/>
  <c r="F32" i="19"/>
  <c r="F119" i="19"/>
  <c r="F76" i="19"/>
  <c r="F169" i="19"/>
  <c r="F129" i="19"/>
  <c r="F112" i="19"/>
  <c r="F456" i="19"/>
  <c r="F318" i="19"/>
  <c r="F131" i="19"/>
  <c r="F70" i="19"/>
  <c r="F194" i="19"/>
  <c r="F97" i="19"/>
  <c r="F41" i="19"/>
  <c r="F622" i="19"/>
  <c r="F111" i="19"/>
  <c r="F96" i="19"/>
  <c r="F188" i="19"/>
  <c r="F80" i="19"/>
  <c r="F39" i="19"/>
  <c r="F387" i="19"/>
  <c r="F485" i="19"/>
  <c r="F37" i="19"/>
  <c r="F208" i="19"/>
  <c r="F90" i="19"/>
  <c r="F54" i="19"/>
  <c r="F380" i="19"/>
  <c r="F331" i="19"/>
  <c r="F157" i="19"/>
  <c r="F86" i="19"/>
  <c r="F289" i="19"/>
  <c r="F134" i="19"/>
  <c r="F101" i="19"/>
  <c r="F263" i="19"/>
  <c r="V42" i="7"/>
  <c r="V37" i="7"/>
  <c r="C20" i="14"/>
  <c r="C249" i="4" s="1"/>
  <c r="K11" i="14"/>
  <c r="E20" i="14" s="1"/>
  <c r="H38" i="12"/>
  <c r="G40" i="12"/>
  <c r="Y29" i="7"/>
  <c r="Y33" i="7"/>
  <c r="Y34" i="7" s="1"/>
  <c r="L46" i="8"/>
  <c r="L47" i="8" s="1"/>
  <c r="L20" i="8" s="1"/>
  <c r="I39" i="9"/>
  <c r="I38" i="9"/>
  <c r="I225" i="4"/>
  <c r="I40" i="9"/>
  <c r="I224" i="4"/>
  <c r="G8" i="12"/>
  <c r="K8" i="9"/>
  <c r="G25" i="11"/>
  <c r="AA21" i="7"/>
  <c r="AA22" i="7" s="1"/>
  <c r="AB21" i="7"/>
  <c r="AB22" i="7" s="1"/>
  <c r="AC22" i="7"/>
  <c r="H17" i="8"/>
  <c r="H27" i="8" s="1"/>
  <c r="T56" i="7"/>
  <c r="T55" i="7"/>
  <c r="X33" i="7"/>
  <c r="X34" i="7" s="1"/>
  <c r="X29" i="7"/>
  <c r="F27" i="11"/>
  <c r="F28" i="11" s="1"/>
  <c r="F32" i="11" s="1"/>
  <c r="F34" i="11" s="1"/>
  <c r="I211" i="4"/>
  <c r="W43" i="7"/>
  <c r="W45" i="7" s="1"/>
  <c r="Z29" i="7"/>
  <c r="J7" i="9"/>
  <c r="J11" i="9" s="1"/>
  <c r="J13" i="9" s="1"/>
  <c r="Z33" i="7"/>
  <c r="Z36" i="7" s="1"/>
  <c r="D31" i="17"/>
  <c r="C43" i="17" s="1"/>
  <c r="E43" i="17" s="1"/>
  <c r="E31" i="17"/>
  <c r="C31" i="17"/>
  <c r="C66" i="17" s="1"/>
  <c r="C261" i="4" s="1"/>
  <c r="U37" i="7"/>
  <c r="U42" i="7"/>
  <c r="C60" i="18"/>
  <c r="C61" i="18"/>
  <c r="H213" i="4" l="1"/>
  <c r="AP119" i="7"/>
  <c r="H212" i="4"/>
  <c r="AP118" i="7"/>
  <c r="E103" i="11"/>
  <c r="F37" i="11"/>
  <c r="F7" i="12"/>
  <c r="F12" i="12" s="1"/>
  <c r="F14" i="12" s="1"/>
  <c r="F18" i="12" s="1"/>
  <c r="Z42" i="7"/>
  <c r="Z37" i="7"/>
  <c r="Z54" i="7" s="1"/>
  <c r="AR73" i="7"/>
  <c r="J210" i="4" s="1"/>
  <c r="I27" i="9"/>
  <c r="I29" i="9" s="1"/>
  <c r="I32" i="9" s="1"/>
  <c r="I9" i="8"/>
  <c r="H34" i="9"/>
  <c r="I33" i="9"/>
  <c r="H226" i="4"/>
  <c r="H227" i="4" s="1"/>
  <c r="T60" i="7"/>
  <c r="H30" i="8"/>
  <c r="H32" i="8" s="1"/>
  <c r="AC23" i="7"/>
  <c r="AC53" i="7" s="1"/>
  <c r="AC28" i="7"/>
  <c r="AA23" i="7"/>
  <c r="AA28" i="7"/>
  <c r="G29" i="11"/>
  <c r="G26" i="11"/>
  <c r="D66" i="17"/>
  <c r="D261" i="4" s="1"/>
  <c r="F31" i="17"/>
  <c r="C42" i="12"/>
  <c r="C43" i="12" s="1"/>
  <c r="C44" i="12" s="1"/>
  <c r="H40" i="12"/>
  <c r="C45" i="12" s="1"/>
  <c r="AF21" i="7"/>
  <c r="L216" i="4"/>
  <c r="Y36" i="7"/>
  <c r="J14" i="9"/>
  <c r="J15" i="9" s="1"/>
  <c r="Z34" i="7"/>
  <c r="J37" i="9" s="1"/>
  <c r="X36" i="7"/>
  <c r="AB28" i="7"/>
  <c r="AB23" i="7"/>
  <c r="G27" i="11" l="1"/>
  <c r="G28" i="11" s="1"/>
  <c r="G32" i="11" s="1"/>
  <c r="G34" i="11" s="1"/>
  <c r="J224" i="4"/>
  <c r="J40" i="9"/>
  <c r="AB33" i="7"/>
  <c r="AB34" i="7" s="1"/>
  <c r="AB29" i="7"/>
  <c r="H33" i="8"/>
  <c r="T58" i="7"/>
  <c r="T57" i="7"/>
  <c r="C9" i="18"/>
  <c r="L8" i="9"/>
  <c r="AE21" i="7"/>
  <c r="AE22" i="7" s="1"/>
  <c r="H25" i="11"/>
  <c r="AD21" i="7"/>
  <c r="AD22" i="7" s="1"/>
  <c r="H8" i="12"/>
  <c r="AF22" i="7"/>
  <c r="J38" i="9"/>
  <c r="J39" i="9"/>
  <c r="J225" i="4"/>
  <c r="I11" i="8"/>
  <c r="AA33" i="7"/>
  <c r="AA34" i="7" s="1"/>
  <c r="AA29" i="7"/>
  <c r="AC29" i="7"/>
  <c r="AC33" i="7"/>
  <c r="K7" i="9"/>
  <c r="K11" i="9" s="1"/>
  <c r="K13" i="9" s="1"/>
  <c r="AR74" i="7"/>
  <c r="J211" i="4" s="1"/>
  <c r="Z43" i="7"/>
  <c r="Z45" i="7" s="1"/>
  <c r="J27" i="9" s="1"/>
  <c r="J29" i="9" s="1"/>
  <c r="J32" i="9" s="1"/>
  <c r="Y42" i="7"/>
  <c r="Y37" i="7"/>
  <c r="X37" i="7"/>
  <c r="X42" i="7"/>
  <c r="C46" i="12"/>
  <c r="E104" i="11"/>
  <c r="J9" i="8" l="1"/>
  <c r="AA36" i="7"/>
  <c r="AB36" i="7"/>
  <c r="AB42" i="7" s="1"/>
  <c r="H31" i="18"/>
  <c r="D29" i="18"/>
  <c r="D27" i="18"/>
  <c r="E31" i="18"/>
  <c r="E27" i="18"/>
  <c r="D31" i="18"/>
  <c r="E30" i="18"/>
  <c r="H29" i="18"/>
  <c r="G28" i="18"/>
  <c r="D30" i="18"/>
  <c r="F31" i="18"/>
  <c r="G30" i="18"/>
  <c r="H28" i="18"/>
  <c r="C62" i="18"/>
  <c r="F30" i="18"/>
  <c r="G29" i="18"/>
  <c r="F29" i="18"/>
  <c r="G31" i="18"/>
  <c r="F27" i="18"/>
  <c r="F28" i="18"/>
  <c r="H27" i="18"/>
  <c r="G27" i="18"/>
  <c r="H30" i="18"/>
  <c r="E29" i="18"/>
  <c r="C20" i="18"/>
  <c r="E28" i="18"/>
  <c r="D28" i="18"/>
  <c r="G39" i="18"/>
  <c r="E37" i="18"/>
  <c r="G35" i="18"/>
  <c r="E39" i="18"/>
  <c r="G38" i="18"/>
  <c r="D39" i="18"/>
  <c r="D38" i="18"/>
  <c r="G37" i="18"/>
  <c r="F39" i="18"/>
  <c r="F35" i="18"/>
  <c r="H39" i="18"/>
  <c r="G36" i="18"/>
  <c r="E48" i="18"/>
  <c r="D35" i="18"/>
  <c r="D48" i="18"/>
  <c r="H36" i="18"/>
  <c r="H35" i="18"/>
  <c r="F37" i="18"/>
  <c r="F36" i="18"/>
  <c r="E35" i="18"/>
  <c r="F38" i="18"/>
  <c r="H37" i="18"/>
  <c r="D36" i="18"/>
  <c r="D37" i="18"/>
  <c r="H38" i="18"/>
  <c r="E38" i="18"/>
  <c r="E36" i="18"/>
  <c r="F48" i="18"/>
  <c r="G318" i="19"/>
  <c r="G184" i="19"/>
  <c r="G182" i="19"/>
  <c r="G579" i="19"/>
  <c r="G747" i="19"/>
  <c r="G47" i="19"/>
  <c r="G153" i="19"/>
  <c r="G385" i="19"/>
  <c r="G656" i="19"/>
  <c r="G983" i="19"/>
  <c r="G242" i="19"/>
  <c r="G451" i="19"/>
  <c r="G775" i="19"/>
  <c r="G551" i="19"/>
  <c r="G55" i="19"/>
  <c r="G258" i="19"/>
  <c r="G453" i="19"/>
  <c r="G674" i="19"/>
  <c r="G993" i="19"/>
  <c r="G463" i="19"/>
  <c r="G106" i="19"/>
  <c r="G307" i="19"/>
  <c r="G611" i="19"/>
  <c r="G850" i="19"/>
  <c r="G171" i="19"/>
  <c r="G671" i="19"/>
  <c r="G85" i="19"/>
  <c r="G884" i="19"/>
  <c r="G638" i="19"/>
  <c r="G481" i="19"/>
  <c r="G51" i="19"/>
  <c r="G291" i="19"/>
  <c r="G238" i="19"/>
  <c r="G693" i="19"/>
  <c r="G842" i="19"/>
  <c r="G200" i="19"/>
  <c r="G236" i="19"/>
  <c r="G41" i="19"/>
  <c r="G524" i="19"/>
  <c r="G147" i="19"/>
  <c r="G491" i="19"/>
  <c r="G920" i="19"/>
  <c r="G377" i="19"/>
  <c r="G158" i="19"/>
  <c r="G1028" i="19"/>
  <c r="G60" i="19"/>
  <c r="G584" i="19"/>
  <c r="G951" i="19"/>
  <c r="G159" i="19"/>
  <c r="G138" i="19"/>
  <c r="G335" i="19"/>
  <c r="G639" i="19"/>
  <c r="G892" i="19"/>
  <c r="G443" i="19"/>
  <c r="G528" i="19"/>
  <c r="G353" i="19"/>
  <c r="G574" i="19"/>
  <c r="G755" i="19"/>
  <c r="G889" i="19"/>
  <c r="G34" i="19"/>
  <c r="G152" i="19"/>
  <c r="G435" i="19"/>
  <c r="G266" i="19"/>
  <c r="G510" i="19"/>
  <c r="G708" i="19"/>
  <c r="G1029" i="19"/>
  <c r="G110" i="19"/>
  <c r="G477" i="19"/>
  <c r="G647" i="19"/>
  <c r="G841" i="19"/>
  <c r="G961" i="19"/>
  <c r="G720" i="19"/>
  <c r="G63" i="19"/>
  <c r="G225" i="19"/>
  <c r="G834" i="19"/>
  <c r="G776" i="19"/>
  <c r="G994" i="19"/>
  <c r="G206" i="19"/>
  <c r="G585" i="19"/>
  <c r="G191" i="19"/>
  <c r="G352" i="19"/>
  <c r="G734" i="19"/>
  <c r="G799" i="19"/>
  <c r="G144" i="19"/>
  <c r="G175" i="19"/>
  <c r="G550" i="19"/>
  <c r="G721" i="19"/>
  <c r="G74" i="19"/>
  <c r="G212" i="19"/>
  <c r="G393" i="19"/>
  <c r="G774" i="19"/>
  <c r="G916" i="19"/>
  <c r="G275" i="19"/>
  <c r="G71" i="19"/>
  <c r="G740" i="19"/>
  <c r="G576" i="19"/>
  <c r="G815" i="19"/>
  <c r="G395" i="19"/>
  <c r="G483" i="19"/>
  <c r="G1016" i="19"/>
  <c r="G939" i="19"/>
  <c r="G38" i="19"/>
  <c r="G281" i="19"/>
  <c r="G538" i="19"/>
  <c r="G797" i="19"/>
  <c r="G913" i="19"/>
  <c r="G313" i="19"/>
  <c r="G265" i="19"/>
  <c r="G462" i="19"/>
  <c r="G680" i="19"/>
  <c r="G995" i="19"/>
  <c r="G256" i="19"/>
  <c r="G925" i="19"/>
  <c r="G743" i="19"/>
  <c r="G597" i="19"/>
  <c r="G197" i="19"/>
  <c r="G87" i="19"/>
  <c r="G351" i="19"/>
  <c r="G553" i="19"/>
  <c r="G715" i="19"/>
  <c r="G1014" i="19"/>
  <c r="G72" i="19"/>
  <c r="G229" i="19"/>
  <c r="G176" i="19"/>
  <c r="G761" i="19"/>
  <c r="G891" i="19"/>
  <c r="G677" i="19"/>
  <c r="G973" i="19"/>
  <c r="G796" i="19"/>
  <c r="G441" i="19"/>
  <c r="G531" i="19"/>
  <c r="G908" i="19"/>
  <c r="G658" i="19"/>
  <c r="G640" i="19"/>
  <c r="G355" i="19"/>
  <c r="G208" i="19"/>
  <c r="G273" i="19"/>
  <c r="G723" i="19"/>
  <c r="G145" i="19"/>
  <c r="G230" i="19"/>
  <c r="G865" i="19"/>
  <c r="G587" i="19"/>
  <c r="G322" i="19"/>
  <c r="G457" i="19"/>
  <c r="G1003" i="19"/>
  <c r="G214" i="19"/>
  <c r="G809" i="19"/>
  <c r="G877" i="19"/>
  <c r="G818" i="19"/>
  <c r="G418" i="19"/>
  <c r="G428" i="19"/>
  <c r="G663" i="19"/>
  <c r="G198" i="19"/>
  <c r="G102" i="19"/>
  <c r="G707" i="19"/>
  <c r="G867" i="19"/>
  <c r="G630" i="19"/>
  <c r="G612" i="19"/>
  <c r="G609" i="19"/>
  <c r="G194" i="19"/>
  <c r="G508" i="19"/>
  <c r="G430" i="19"/>
  <c r="G722" i="19"/>
  <c r="G44" i="19"/>
  <c r="G362" i="19"/>
  <c r="G40" i="19"/>
  <c r="G378" i="19"/>
  <c r="G757" i="19"/>
  <c r="G937" i="19"/>
  <c r="G738" i="19"/>
  <c r="G217" i="19"/>
  <c r="G289" i="19"/>
  <c r="G571" i="19"/>
  <c r="G196" i="19"/>
  <c r="G649" i="19"/>
  <c r="G315" i="19"/>
  <c r="G62" i="19"/>
  <c r="G434" i="19"/>
  <c r="G203" i="19"/>
  <c r="G345" i="19"/>
  <c r="G343" i="19"/>
  <c r="G931" i="19"/>
  <c r="G429" i="19"/>
  <c r="G227" i="19"/>
  <c r="G380" i="19"/>
  <c r="G414" i="19"/>
  <c r="G940" i="19"/>
  <c r="G58" i="19"/>
  <c r="G259" i="19"/>
  <c r="G691" i="19"/>
  <c r="G148" i="19"/>
  <c r="G543" i="19"/>
  <c r="G932" i="19"/>
  <c r="G513" i="19"/>
  <c r="G905" i="19"/>
  <c r="G482" i="19"/>
  <c r="G654" i="19"/>
  <c r="G419" i="19"/>
  <c r="G108" i="19"/>
  <c r="G632" i="19"/>
  <c r="G361" i="19"/>
  <c r="G272" i="19"/>
  <c r="G326" i="19"/>
  <c r="G928" i="19"/>
  <c r="G125" i="19"/>
  <c r="G851" i="19"/>
  <c r="G511" i="19"/>
  <c r="G209" i="19"/>
  <c r="G942" i="19"/>
  <c r="G701" i="19"/>
  <c r="G801" i="19"/>
  <c r="G189" i="19"/>
  <c r="G844" i="19"/>
  <c r="G689" i="19"/>
  <c r="G53" i="19"/>
  <c r="G45" i="19"/>
  <c r="G279" i="19"/>
  <c r="G888" i="19"/>
  <c r="G600" i="19"/>
  <c r="G167" i="19"/>
  <c r="G900" i="19"/>
  <c r="G357" i="19"/>
  <c r="G554" i="19"/>
  <c r="G578" i="19"/>
  <c r="G235" i="19"/>
  <c r="G98" i="19"/>
  <c r="G466" i="19"/>
  <c r="G295" i="19"/>
  <c r="G516" i="19"/>
  <c r="G567" i="19"/>
  <c r="G406" i="19"/>
  <c r="G733" i="19"/>
  <c r="G911" i="19"/>
  <c r="G333" i="19"/>
  <c r="G183" i="19"/>
  <c r="G742" i="19"/>
  <c r="G848" i="19"/>
  <c r="G417" i="19"/>
  <c r="G411" i="19"/>
  <c r="G804" i="19"/>
  <c r="G716" i="19"/>
  <c r="G302" i="19"/>
  <c r="G702" i="19"/>
  <c r="G226" i="19"/>
  <c r="G204" i="19"/>
  <c r="G988" i="19"/>
  <c r="G421" i="19"/>
  <c r="G292" i="19"/>
  <c r="G714" i="19"/>
  <c r="G552" i="19"/>
  <c r="G181" i="19"/>
  <c r="G109" i="19"/>
  <c r="G39" i="19"/>
  <c r="G262" i="19"/>
  <c r="G929" i="19"/>
  <c r="G65" i="19"/>
  <c r="G779" i="19"/>
  <c r="G570" i="19"/>
  <c r="G240" i="19"/>
  <c r="G460" i="19"/>
  <c r="G280" i="19"/>
  <c r="G514" i="19"/>
  <c r="G725" i="19"/>
  <c r="G285" i="19"/>
  <c r="G340" i="19"/>
  <c r="G626" i="19"/>
  <c r="G769" i="19"/>
  <c r="G1012" i="19"/>
  <c r="G146" i="19"/>
  <c r="G542" i="19"/>
  <c r="G1006" i="19"/>
  <c r="G383" i="19"/>
  <c r="G276" i="19"/>
  <c r="G880" i="19"/>
  <c r="G558" i="19"/>
  <c r="G854" i="19"/>
  <c r="G945" i="19"/>
  <c r="G455" i="19"/>
  <c r="G547" i="19"/>
  <c r="G405" i="19"/>
  <c r="G670" i="19"/>
  <c r="G876" i="19"/>
  <c r="G193" i="19"/>
  <c r="G583" i="19"/>
  <c r="G244" i="19"/>
  <c r="G777" i="19"/>
  <c r="G624" i="19"/>
  <c r="G565" i="19"/>
  <c r="G124" i="19"/>
  <c r="G174" i="19"/>
  <c r="G764" i="19"/>
  <c r="G694" i="19"/>
  <c r="G882" i="19"/>
  <c r="G306" i="19"/>
  <c r="G86" i="19"/>
  <c r="G151" i="19"/>
  <c r="G294" i="19"/>
  <c r="G245" i="19"/>
  <c r="G824" i="19"/>
  <c r="G878" i="19"/>
  <c r="G505" i="19"/>
  <c r="G142" i="19"/>
  <c r="G730" i="19"/>
  <c r="G339" i="19"/>
  <c r="G641" i="19"/>
  <c r="G1017" i="19"/>
  <c r="G566" i="19"/>
  <c r="G922" i="19"/>
  <c r="G433" i="19"/>
  <c r="G895" i="19"/>
  <c r="G941" i="19"/>
  <c r="G985" i="19"/>
  <c r="G49" i="19"/>
  <c r="G614" i="19"/>
  <c r="G981" i="19"/>
  <c r="G297" i="19"/>
  <c r="G358" i="19"/>
  <c r="G160" i="19"/>
  <c r="G32" i="19"/>
  <c r="G320" i="19"/>
  <c r="G737" i="19"/>
  <c r="G52" i="19"/>
  <c r="G645" i="19"/>
  <c r="G484" i="19"/>
  <c r="G719" i="19"/>
  <c r="G962" i="19"/>
  <c r="G497" i="19"/>
  <c r="G423" i="19"/>
  <c r="G785" i="19"/>
  <c r="G440" i="19"/>
  <c r="G512" i="19"/>
  <c r="G396" i="19"/>
  <c r="G445" i="19"/>
  <c r="G948" i="19"/>
  <c r="G1027" i="19"/>
  <c r="G400" i="19"/>
  <c r="G800" i="19"/>
  <c r="G296" i="19"/>
  <c r="G915" i="19"/>
  <c r="G260" i="19"/>
  <c r="G606" i="19"/>
  <c r="G126" i="19"/>
  <c r="G336" i="19"/>
  <c r="G927" i="19"/>
  <c r="G113" i="19"/>
  <c r="G432" i="19"/>
  <c r="G115" i="19"/>
  <c r="G261" i="19"/>
  <c r="G690" i="19"/>
  <c r="G436" i="19"/>
  <c r="G480" i="19"/>
  <c r="G974" i="19"/>
  <c r="G648" i="19"/>
  <c r="G610" i="19"/>
  <c r="G161" i="19"/>
  <c r="G1022" i="19"/>
  <c r="G387" i="19"/>
  <c r="G790" i="19"/>
  <c r="G364" i="19"/>
  <c r="G963" i="19"/>
  <c r="G467" i="19"/>
  <c r="G683" i="19"/>
  <c r="G131" i="19"/>
  <c r="G971" i="19"/>
  <c r="G117" i="19"/>
  <c r="G544" i="19"/>
  <c r="G763" i="19"/>
  <c r="G885" i="19"/>
  <c r="G210" i="19"/>
  <c r="G750" i="19"/>
  <c r="G179" i="19"/>
  <c r="G652" i="19"/>
  <c r="G803" i="19"/>
  <c r="G283" i="19"/>
  <c r="G846" i="19"/>
  <c r="G912" i="19"/>
  <c r="G741" i="19"/>
  <c r="G731" i="19"/>
  <c r="G427" i="19"/>
  <c r="G213" i="19"/>
  <c r="G871" i="19"/>
  <c r="G498" i="19"/>
  <c r="G499" i="19"/>
  <c r="G687" i="19"/>
  <c r="G228" i="19"/>
  <c r="G452" i="19"/>
  <c r="G813" i="19"/>
  <c r="G83" i="19"/>
  <c r="G619" i="19"/>
  <c r="G270" i="19"/>
  <c r="G346" i="19"/>
  <c r="G493" i="19"/>
  <c r="G408" i="19"/>
  <c r="G284" i="19"/>
  <c r="G698" i="19"/>
  <c r="G36" i="19"/>
  <c r="G581" i="19"/>
  <c r="G73" i="19"/>
  <c r="G66" i="19"/>
  <c r="G718" i="19"/>
  <c r="G1008" i="19"/>
  <c r="G682" i="19"/>
  <c r="G127" i="19"/>
  <c r="G875" i="19"/>
  <c r="G1000" i="19"/>
  <c r="G914" i="19"/>
  <c r="G709" i="19"/>
  <c r="G431" i="19"/>
  <c r="G407" i="19"/>
  <c r="G771" i="19"/>
  <c r="G559" i="19"/>
  <c r="G562" i="19"/>
  <c r="G114" i="19"/>
  <c r="G456" i="19"/>
  <c r="G186" i="19"/>
  <c r="G593" i="19"/>
  <c r="G749" i="19"/>
  <c r="G375" i="19"/>
  <c r="G667" i="19"/>
  <c r="G943" i="19"/>
  <c r="G80" i="19"/>
  <c r="G732" i="19"/>
  <c r="G778" i="19"/>
  <c r="G860" i="19"/>
  <c r="G334" i="19"/>
  <c r="G634" i="19"/>
  <c r="G278" i="19"/>
  <c r="G608" i="19"/>
  <c r="G386" i="19"/>
  <c r="G618" i="19"/>
  <c r="G699" i="19"/>
  <c r="G826" i="19"/>
  <c r="G525" i="19"/>
  <c r="G426" i="19"/>
  <c r="G286" i="19"/>
  <c r="G133" i="19"/>
  <c r="G806" i="19"/>
  <c r="G812" i="19"/>
  <c r="G365" i="19"/>
  <c r="G688" i="19"/>
  <c r="G388" i="19"/>
  <c r="G402" i="19"/>
  <c r="G896" i="19"/>
  <c r="G921" i="19"/>
  <c r="G739" i="19"/>
  <c r="G413" i="19"/>
  <c r="G81" i="19"/>
  <c r="G651" i="19"/>
  <c r="G930" i="19"/>
  <c r="G919" i="19"/>
  <c r="G503" i="19"/>
  <c r="G1001" i="19"/>
  <c r="G529" i="19"/>
  <c r="G93" i="19"/>
  <c r="G744" i="19"/>
  <c r="G314" i="19"/>
  <c r="G536" i="19"/>
  <c r="G681" i="19"/>
  <c r="G232" i="19"/>
  <c r="G872" i="19"/>
  <c r="G216" i="19"/>
  <c r="G944" i="19"/>
  <c r="G665" i="19"/>
  <c r="G303" i="19"/>
  <c r="G249" i="19"/>
  <c r="G84" i="19"/>
  <c r="G223" i="19"/>
  <c r="G517" i="19"/>
  <c r="G381" i="19"/>
  <c r="G717" i="19"/>
  <c r="G389" i="19"/>
  <c r="G959" i="19"/>
  <c r="G666" i="19"/>
  <c r="G840" i="19"/>
  <c r="G621" i="19"/>
  <c r="G923" i="19"/>
  <c r="G675" i="19"/>
  <c r="G987" i="19"/>
  <c r="G43" i="19"/>
  <c r="G519" i="19"/>
  <c r="G369" i="19"/>
  <c r="G898" i="19"/>
  <c r="G856" i="19"/>
  <c r="G271" i="19"/>
  <c r="G299" i="19"/>
  <c r="G370" i="19"/>
  <c r="G705" i="19"/>
  <c r="G978" i="19"/>
  <c r="G251" i="19"/>
  <c r="G450" i="19"/>
  <c r="G820" i="19"/>
  <c r="G263" i="19"/>
  <c r="G439" i="19"/>
  <c r="G312" i="19"/>
  <c r="G500" i="19"/>
  <c r="G835" i="19"/>
  <c r="G1015" i="19"/>
  <c r="G324" i="19"/>
  <c r="G190" i="19"/>
  <c r="G575" i="19"/>
  <c r="G859" i="19"/>
  <c r="G984" i="19"/>
  <c r="G78" i="19"/>
  <c r="G789" i="19"/>
  <c r="G308" i="19"/>
  <c r="G965" i="19"/>
  <c r="G134" i="19"/>
  <c r="G231" i="19"/>
  <c r="G521" i="19"/>
  <c r="G95" i="19"/>
  <c r="G425" i="19"/>
  <c r="G700" i="19"/>
  <c r="G847" i="19"/>
  <c r="G35" i="19"/>
  <c r="G379" i="19"/>
  <c r="G118" i="19"/>
  <c r="G372" i="19"/>
  <c r="G765" i="19"/>
  <c r="G782" i="19"/>
  <c r="G1020" i="19"/>
  <c r="G317" i="19"/>
  <c r="G518" i="19"/>
  <c r="G215" i="19"/>
  <c r="G989" i="19"/>
  <c r="G107" i="19"/>
  <c r="G1002" i="19"/>
  <c r="G61" i="19"/>
  <c r="G218" i="19"/>
  <c r="G685" i="19"/>
  <c r="G767" i="19"/>
  <c r="G992" i="19"/>
  <c r="G269" i="19"/>
  <c r="G54" i="19"/>
  <c r="G94" i="19"/>
  <c r="G422" i="19"/>
  <c r="G629" i="19"/>
  <c r="G807" i="19"/>
  <c r="G947" i="19"/>
  <c r="G359" i="19"/>
  <c r="G222" i="19"/>
  <c r="G123" i="19"/>
  <c r="G507" i="19"/>
  <c r="G795" i="19"/>
  <c r="G881" i="19"/>
  <c r="G164" i="19"/>
  <c r="G201" i="19"/>
  <c r="G382" i="19"/>
  <c r="G760" i="19"/>
  <c r="G1025" i="19"/>
  <c r="G1023" i="19"/>
  <c r="G532" i="19"/>
  <c r="G599" i="19"/>
  <c r="G979" i="19"/>
  <c r="G163" i="19"/>
  <c r="G274" i="19"/>
  <c r="G695" i="19"/>
  <c r="G549" i="19"/>
  <c r="G76" i="19"/>
  <c r="G845" i="19"/>
  <c r="G101" i="19"/>
  <c r="G960" i="19"/>
  <c r="G633" i="19"/>
  <c r="G837" i="19"/>
  <c r="G136" i="19"/>
  <c r="G354" i="19"/>
  <c r="G830" i="19"/>
  <c r="G814" i="19"/>
  <c r="G792" i="19"/>
  <c r="G415" i="19"/>
  <c r="G130" i="19"/>
  <c r="G793" i="19"/>
  <c r="G399" i="19"/>
  <c r="G116" i="19"/>
  <c r="G788" i="19"/>
  <c r="G595" i="19"/>
  <c r="G901" i="19"/>
  <c r="G495" i="19"/>
  <c r="G237" i="19"/>
  <c r="G341" i="19"/>
  <c r="G712" i="19"/>
  <c r="G784" i="19"/>
  <c r="G679" i="19"/>
  <c r="G46" i="19"/>
  <c r="G537" i="19"/>
  <c r="G986" i="19"/>
  <c r="G150" i="19"/>
  <c r="G234" i="19"/>
  <c r="G332" i="19"/>
  <c r="G602" i="19"/>
  <c r="G754" i="19"/>
  <c r="G972" i="19"/>
  <c r="G104" i="19"/>
  <c r="G253" i="19"/>
  <c r="G492" i="19"/>
  <c r="G770" i="19"/>
  <c r="G893" i="19"/>
  <c r="G409" i="19"/>
  <c r="G728" i="19"/>
  <c r="G836" i="19"/>
  <c r="G390" i="19"/>
  <c r="G264" i="19"/>
  <c r="G470" i="19"/>
  <c r="G617" i="19"/>
  <c r="G786" i="19"/>
  <c r="G96" i="19"/>
  <c r="G366" i="19"/>
  <c r="G832" i="19"/>
  <c r="G464" i="19"/>
  <c r="G805" i="19"/>
  <c r="G1010" i="19"/>
  <c r="G392" i="19"/>
  <c r="G906" i="19"/>
  <c r="G384" i="19"/>
  <c r="G1011" i="19"/>
  <c r="G323" i="19"/>
  <c r="G615" i="19"/>
  <c r="G173" i="19"/>
  <c r="G564" i="19"/>
  <c r="G530" i="19"/>
  <c r="G1026" i="19"/>
  <c r="G766" i="19"/>
  <c r="G509" i="19"/>
  <c r="G487" i="19"/>
  <c r="G75" i="19"/>
  <c r="G243" i="19"/>
  <c r="G461" i="19"/>
  <c r="G852" i="19"/>
  <c r="G899" i="19"/>
  <c r="G250" i="19"/>
  <c r="G726" i="19"/>
  <c r="G267" i="19"/>
  <c r="G31" i="19"/>
  <c r="G172" i="19"/>
  <c r="G828" i="19"/>
  <c r="G97" i="19"/>
  <c r="G563" i="19"/>
  <c r="G154" i="19"/>
  <c r="G506" i="19"/>
  <c r="G998" i="19"/>
  <c r="G112" i="19"/>
  <c r="G105" i="19"/>
  <c r="G526" i="19"/>
  <c r="G180" i="19"/>
  <c r="G344" i="19"/>
  <c r="G724" i="19"/>
  <c r="G934" i="19"/>
  <c r="G822" i="19"/>
  <c r="G88" i="19"/>
  <c r="G496" i="19"/>
  <c r="G910" i="19"/>
  <c r="G650" i="19"/>
  <c r="G555" i="19"/>
  <c r="G794" i="19"/>
  <c r="G309" i="19"/>
  <c r="G870" i="19"/>
  <c r="G371" i="19"/>
  <c r="G727" i="19"/>
  <c r="G967" i="19"/>
  <c r="G241" i="19"/>
  <c r="G64" i="19"/>
  <c r="G711" i="19"/>
  <c r="G569" i="19"/>
  <c r="G808" i="19"/>
  <c r="G132" i="19"/>
  <c r="G304" i="19"/>
  <c r="G696" i="19"/>
  <c r="G976" i="19"/>
  <c r="G1007" i="19"/>
  <c r="G486" i="19"/>
  <c r="G863" i="19"/>
  <c r="G1021" i="19"/>
  <c r="G623" i="19"/>
  <c r="G149" i="19"/>
  <c r="G490" i="19"/>
  <c r="G598" i="19"/>
  <c r="G861" i="19"/>
  <c r="G119" i="19"/>
  <c r="G247" i="19"/>
  <c r="G224" i="19"/>
  <c r="G664" i="19"/>
  <c r="G821" i="19"/>
  <c r="G831" i="19"/>
  <c r="G1009" i="19"/>
  <c r="G449" i="19"/>
  <c r="G169" i="19"/>
  <c r="G111" i="19"/>
  <c r="G471" i="19"/>
  <c r="G631" i="19"/>
  <c r="G120" i="19"/>
  <c r="G321" i="19"/>
  <c r="G625" i="19"/>
  <c r="G864" i="19"/>
  <c r="G1018" i="19"/>
  <c r="G673" i="19"/>
  <c r="G277" i="19"/>
  <c r="G594" i="19"/>
  <c r="G577" i="19"/>
  <c r="G534" i="19"/>
  <c r="G773" i="19"/>
  <c r="G177" i="19"/>
  <c r="G1030" i="19"/>
  <c r="G360" i="19"/>
  <c r="G347" i="19"/>
  <c r="G205" i="19"/>
  <c r="G811" i="19"/>
  <c r="G42" i="19"/>
  <c r="G330" i="19"/>
  <c r="G252" i="19"/>
  <c r="G849" i="19"/>
  <c r="G977" i="19"/>
  <c r="G533" i="19"/>
  <c r="G368" i="19"/>
  <c r="G337" i="19"/>
  <c r="G410" i="19"/>
  <c r="G348" i="19"/>
  <c r="G662" i="19"/>
  <c r="G783" i="19"/>
  <c r="G316" i="19"/>
  <c r="G195" i="19"/>
  <c r="G192" i="19"/>
  <c r="G349" i="19"/>
  <c r="G653" i="19"/>
  <c r="G918" i="19"/>
  <c r="G33" i="19"/>
  <c r="G311" i="19"/>
  <c r="G580" i="19"/>
  <c r="G713" i="19"/>
  <c r="G969" i="19"/>
  <c r="G873" i="19"/>
  <c r="G520" i="19"/>
  <c r="G703" i="19"/>
  <c r="G328" i="19"/>
  <c r="G448" i="19"/>
  <c r="G504" i="19"/>
  <c r="G166" i="19"/>
  <c r="G839" i="19"/>
  <c r="G494" i="19"/>
  <c r="G999" i="19"/>
  <c r="G751" i="19"/>
  <c r="G781" i="19"/>
  <c r="G697" i="19"/>
  <c r="G356" i="19"/>
  <c r="G468" i="19"/>
  <c r="G710" i="19"/>
  <c r="G454" i="19"/>
  <c r="G465" i="19"/>
  <c r="G233" i="19"/>
  <c r="G290" i="19"/>
  <c r="G363" i="19"/>
  <c r="G692" i="19"/>
  <c r="G938" i="19"/>
  <c r="G485" i="19"/>
  <c r="G187" i="19"/>
  <c r="G546" i="19"/>
  <c r="G659" i="19"/>
  <c r="G975" i="19"/>
  <c r="G397" i="19"/>
  <c r="G657" i="19"/>
  <c r="G991" i="19"/>
  <c r="G952" i="19"/>
  <c r="G156" i="19"/>
  <c r="G404" i="19"/>
  <c r="G643" i="19"/>
  <c r="G802" i="19"/>
  <c r="G170" i="19"/>
  <c r="G620" i="19"/>
  <c r="G447" i="19"/>
  <c r="G437" i="19"/>
  <c r="G305" i="19"/>
  <c r="G502" i="19"/>
  <c r="G178" i="19"/>
  <c r="G57" i="19"/>
  <c r="G946" i="19"/>
  <c r="G753" i="19"/>
  <c r="G627" i="19"/>
  <c r="G819" i="19"/>
  <c r="G935" i="19"/>
  <c r="G473" i="19"/>
  <c r="G957" i="19"/>
  <c r="G137" i="19"/>
  <c r="G810" i="19"/>
  <c r="G69" i="19"/>
  <c r="G246" i="19"/>
  <c r="G479" i="19"/>
  <c r="G756" i="19"/>
  <c r="G886" i="19"/>
  <c r="G89" i="19"/>
  <c r="G220" i="19"/>
  <c r="G401" i="19"/>
  <c r="G823" i="19"/>
  <c r="G936" i="19"/>
  <c r="G950" i="19"/>
  <c r="G661" i="19"/>
  <c r="G817" i="19"/>
  <c r="G1013" i="19"/>
  <c r="G582" i="19"/>
  <c r="G469" i="19"/>
  <c r="G735" i="19"/>
  <c r="G883" i="19"/>
  <c r="G745" i="19"/>
  <c r="G68" i="19"/>
  <c r="G394" i="19"/>
  <c r="G858" i="19"/>
  <c r="G635" i="19"/>
  <c r="G869" i="19"/>
  <c r="G122" i="19"/>
  <c r="G596" i="19"/>
  <c r="G143" i="19"/>
  <c r="G736" i="19"/>
  <c r="G139" i="19"/>
  <c r="G535" i="19"/>
  <c r="G997" i="19"/>
  <c r="G248" i="19"/>
  <c r="G367" i="19"/>
  <c r="G573" i="19"/>
  <c r="G825" i="19"/>
  <c r="G956" i="19"/>
  <c r="G515" i="19"/>
  <c r="G59" i="19"/>
  <c r="G211" i="19"/>
  <c r="G642" i="19"/>
  <c r="G748" i="19"/>
  <c r="G990" i="19"/>
  <c r="G319" i="19"/>
  <c r="G816" i="19"/>
  <c r="G949" i="19"/>
  <c r="G438" i="19"/>
  <c r="G329" i="19"/>
  <c r="G862" i="19"/>
  <c r="G424" i="19"/>
  <c r="G545" i="19"/>
  <c r="G350" i="19"/>
  <c r="G704" i="19"/>
  <c r="G955" i="19"/>
  <c r="G221" i="19"/>
  <c r="G669" i="19"/>
  <c r="G459" i="19"/>
  <c r="G628" i="19"/>
  <c r="G644" i="19"/>
  <c r="G548" i="19"/>
  <c r="G787" i="19"/>
  <c r="G588" i="19"/>
  <c r="G91" i="19"/>
  <c r="G488" i="19"/>
  <c r="G672" i="19"/>
  <c r="G746" i="19"/>
  <c r="G964" i="19"/>
  <c r="G103" i="19"/>
  <c r="G444" i="19"/>
  <c r="G591" i="19"/>
  <c r="G827" i="19"/>
  <c r="G903" i="19"/>
  <c r="G121" i="19"/>
  <c r="G287" i="19"/>
  <c r="G686" i="19"/>
  <c r="G890" i="19"/>
  <c r="G1005" i="19"/>
  <c r="G100" i="19"/>
  <c r="G527" i="19"/>
  <c r="G376" i="19"/>
  <c r="G561" i="19"/>
  <c r="G894" i="19"/>
  <c r="G560" i="19"/>
  <c r="G293" i="19"/>
  <c r="G772" i="19"/>
  <c r="G996" i="19"/>
  <c r="G188" i="19"/>
  <c r="G99" i="19"/>
  <c r="G300" i="19"/>
  <c r="G604" i="19"/>
  <c r="G843" i="19"/>
  <c r="G540" i="19"/>
  <c r="G185" i="19"/>
  <c r="G420" i="19"/>
  <c r="G791" i="19"/>
  <c r="G855" i="19"/>
  <c r="G288" i="19"/>
  <c r="G868" i="19"/>
  <c r="G327" i="19"/>
  <c r="G729" i="19"/>
  <c r="G301" i="19"/>
  <c r="G255" i="19"/>
  <c r="G157" i="19"/>
  <c r="G592" i="19"/>
  <c r="G373" i="19"/>
  <c r="G601" i="19"/>
  <c r="G980" i="19"/>
  <c r="G926" i="19"/>
  <c r="G282" i="19"/>
  <c r="G416" i="19"/>
  <c r="G589" i="19"/>
  <c r="G833" i="19"/>
  <c r="G958" i="19"/>
  <c r="G568" i="19"/>
  <c r="G982" i="19"/>
  <c r="G684" i="19"/>
  <c r="G310" i="19"/>
  <c r="G412" i="19"/>
  <c r="G759" i="19"/>
  <c r="G82" i="19"/>
  <c r="G254" i="19"/>
  <c r="G523" i="19"/>
  <c r="G660" i="19"/>
  <c r="G904" i="19"/>
  <c r="G374" i="19"/>
  <c r="G970" i="19"/>
  <c r="G162" i="19"/>
  <c r="G155" i="19"/>
  <c r="G342" i="19"/>
  <c r="G646" i="19"/>
  <c r="G897" i="19"/>
  <c r="G768" i="19"/>
  <c r="G90" i="19"/>
  <c r="G141" i="19"/>
  <c r="G442" i="19"/>
  <c r="G636" i="19"/>
  <c r="G838" i="19"/>
  <c r="G954" i="19"/>
  <c r="G77" i="19"/>
  <c r="G239" i="19"/>
  <c r="G472" i="19"/>
  <c r="G678" i="19"/>
  <c r="G879" i="19"/>
  <c r="G37" i="19"/>
  <c r="G165" i="19"/>
  <c r="G489" i="19"/>
  <c r="G655" i="19"/>
  <c r="G866" i="19"/>
  <c r="G968" i="19"/>
  <c r="G557" i="19"/>
  <c r="G207" i="19"/>
  <c r="G539" i="19"/>
  <c r="G613" i="19"/>
  <c r="G1019" i="19"/>
  <c r="G829" i="19"/>
  <c r="G391" i="19"/>
  <c r="G798" i="19"/>
  <c r="G219" i="19"/>
  <c r="G50" i="19"/>
  <c r="G458" i="19"/>
  <c r="G398" i="19"/>
  <c r="G668" i="19"/>
  <c r="G953" i="19"/>
  <c r="G56" i="19"/>
  <c r="G475" i="19"/>
  <c r="G476" i="19"/>
  <c r="G907" i="19"/>
  <c r="G752" i="19"/>
  <c r="G128" i="19"/>
  <c r="G572" i="19"/>
  <c r="G298" i="19"/>
  <c r="G853" i="19"/>
  <c r="G92" i="19"/>
  <c r="G338" i="19"/>
  <c r="G622" i="19"/>
  <c r="G501" i="19"/>
  <c r="G140" i="19"/>
  <c r="G478" i="19"/>
  <c r="G874" i="19"/>
  <c r="G1024" i="19"/>
  <c r="G331" i="19"/>
  <c r="G48" i="19"/>
  <c r="G403" i="19"/>
  <c r="G616" i="19"/>
  <c r="G1004" i="19"/>
  <c r="G933" i="19"/>
  <c r="G637" i="19"/>
  <c r="G129" i="19"/>
  <c r="G590" i="19"/>
  <c r="G924" i="19"/>
  <c r="G556" i="19"/>
  <c r="G857" i="19"/>
  <c r="G325" i="19"/>
  <c r="G605" i="19"/>
  <c r="G603" i="19"/>
  <c r="G541" i="19"/>
  <c r="G780" i="19"/>
  <c r="G446" i="19"/>
  <c r="G917" i="19"/>
  <c r="G79" i="19"/>
  <c r="G202" i="19"/>
  <c r="G474" i="19"/>
  <c r="G758" i="19"/>
  <c r="G902" i="19"/>
  <c r="G909" i="19"/>
  <c r="G70" i="19"/>
  <c r="G135" i="19"/>
  <c r="G168" i="19"/>
  <c r="G522" i="19"/>
  <c r="G706" i="19"/>
  <c r="G586" i="19"/>
  <c r="G67" i="19"/>
  <c r="G607" i="19"/>
  <c r="G676" i="19"/>
  <c r="G762" i="19"/>
  <c r="G966" i="19"/>
  <c r="G257" i="19"/>
  <c r="G268" i="19"/>
  <c r="G887" i="19"/>
  <c r="G199" i="19"/>
  <c r="AA37" i="7"/>
  <c r="AA42" i="7"/>
  <c r="D35" i="17"/>
  <c r="C47" i="17" s="1"/>
  <c r="E47" i="17" s="1"/>
  <c r="E35" i="17"/>
  <c r="C35" i="17"/>
  <c r="C70" i="17" s="1"/>
  <c r="C265" i="4" s="1"/>
  <c r="C52" i="12"/>
  <c r="I17" i="8"/>
  <c r="I27" i="8" s="1"/>
  <c r="W56" i="7"/>
  <c r="W55" i="7"/>
  <c r="J11" i="8"/>
  <c r="AB37" i="7"/>
  <c r="AF23" i="7"/>
  <c r="AF53" i="7" s="1"/>
  <c r="AF28" i="7"/>
  <c r="AD23" i="7"/>
  <c r="AD28" i="7"/>
  <c r="K14" i="9"/>
  <c r="K15" i="9" s="1"/>
  <c r="AC34" i="7"/>
  <c r="K37" i="9" s="1"/>
  <c r="H29" i="11"/>
  <c r="H26" i="11"/>
  <c r="F103" i="11"/>
  <c r="G37" i="11"/>
  <c r="AC36" i="7"/>
  <c r="AE28" i="7"/>
  <c r="AE23" i="7"/>
  <c r="I213" i="4" l="1"/>
  <c r="AQ119" i="7"/>
  <c r="I212" i="4"/>
  <c r="AQ118" i="7"/>
  <c r="K224" i="4"/>
  <c r="K40" i="9"/>
  <c r="H607" i="19"/>
  <c r="I607" i="19"/>
  <c r="H121" i="19"/>
  <c r="I121" i="19"/>
  <c r="I337" i="19"/>
  <c r="H337" i="19"/>
  <c r="I323" i="19"/>
  <c r="H323" i="19"/>
  <c r="H372" i="19"/>
  <c r="I372" i="19"/>
  <c r="I1000" i="19"/>
  <c r="H1000" i="19"/>
  <c r="H547" i="19"/>
  <c r="I547" i="19"/>
  <c r="H647" i="19"/>
  <c r="I647" i="19"/>
  <c r="H368" i="19"/>
  <c r="I368" i="19"/>
  <c r="I586" i="19"/>
  <c r="H586" i="19"/>
  <c r="I772" i="19"/>
  <c r="H772" i="19"/>
  <c r="I751" i="19"/>
  <c r="H751" i="19"/>
  <c r="H852" i="19"/>
  <c r="I852" i="19"/>
  <c r="I549" i="19"/>
  <c r="H549" i="19"/>
  <c r="I232" i="19"/>
  <c r="H232" i="19"/>
  <c r="I619" i="19"/>
  <c r="H619" i="19"/>
  <c r="J619" i="19" s="1"/>
  <c r="H32" i="19"/>
  <c r="I32" i="19"/>
  <c r="H714" i="19"/>
  <c r="I714" i="19"/>
  <c r="I362" i="19"/>
  <c r="H362" i="19"/>
  <c r="I462" i="19"/>
  <c r="H462" i="19"/>
  <c r="H524" i="19"/>
  <c r="I524" i="19"/>
  <c r="I696" i="19"/>
  <c r="H696" i="19"/>
  <c r="I325" i="19"/>
  <c r="H325" i="19"/>
  <c r="J325" i="19" s="1"/>
  <c r="H964" i="19"/>
  <c r="I964" i="19"/>
  <c r="I330" i="19"/>
  <c r="H330" i="19"/>
  <c r="I114" i="19"/>
  <c r="H114" i="19"/>
  <c r="H924" i="19"/>
  <c r="I924" i="19"/>
  <c r="I88" i="19"/>
  <c r="H88" i="19"/>
  <c r="I762" i="19"/>
  <c r="H762" i="19"/>
  <c r="H202" i="19"/>
  <c r="I202" i="19"/>
  <c r="H637" i="19"/>
  <c r="I637" i="19"/>
  <c r="I92" i="19"/>
  <c r="H92" i="19"/>
  <c r="H50" i="19"/>
  <c r="I50" i="19"/>
  <c r="H165" i="19"/>
  <c r="I165" i="19"/>
  <c r="I897" i="19"/>
  <c r="H897" i="19"/>
  <c r="H310" i="19"/>
  <c r="I310" i="19"/>
  <c r="H157" i="19"/>
  <c r="I157" i="19"/>
  <c r="I300" i="19"/>
  <c r="H300" i="19"/>
  <c r="I686" i="19"/>
  <c r="H686" i="19"/>
  <c r="H787" i="19"/>
  <c r="I787" i="19"/>
  <c r="H438" i="19"/>
  <c r="I438" i="19"/>
  <c r="I248" i="19"/>
  <c r="H248" i="19"/>
  <c r="I883" i="19"/>
  <c r="H883" i="19"/>
  <c r="H756" i="19"/>
  <c r="I756" i="19"/>
  <c r="I178" i="19"/>
  <c r="H178" i="19"/>
  <c r="H397" i="19"/>
  <c r="I397" i="19"/>
  <c r="H468" i="19"/>
  <c r="I468" i="19"/>
  <c r="H873" i="19"/>
  <c r="I873" i="19"/>
  <c r="H348" i="19"/>
  <c r="I348" i="19"/>
  <c r="H1030" i="19"/>
  <c r="I1030" i="19"/>
  <c r="H471" i="19"/>
  <c r="I471" i="19"/>
  <c r="H149" i="19"/>
  <c r="I149" i="19"/>
  <c r="H241" i="19"/>
  <c r="I241" i="19"/>
  <c r="I724" i="19"/>
  <c r="H724" i="19"/>
  <c r="H267" i="19"/>
  <c r="I267" i="19"/>
  <c r="I173" i="19"/>
  <c r="H173" i="19"/>
  <c r="H617" i="19"/>
  <c r="I617" i="19"/>
  <c r="I602" i="19"/>
  <c r="H602" i="19"/>
  <c r="J602" i="19" s="1"/>
  <c r="H595" i="19"/>
  <c r="I595" i="19"/>
  <c r="I960" i="19"/>
  <c r="H960" i="19"/>
  <c r="H382" i="19"/>
  <c r="I382" i="19"/>
  <c r="H54" i="19"/>
  <c r="I54" i="19"/>
  <c r="I782" i="19"/>
  <c r="H782" i="19"/>
  <c r="J782" i="19" s="1"/>
  <c r="H308" i="19"/>
  <c r="I308" i="19"/>
  <c r="H820" i="19"/>
  <c r="I820" i="19"/>
  <c r="H675" i="19"/>
  <c r="I675" i="19"/>
  <c r="H665" i="19"/>
  <c r="I665" i="19"/>
  <c r="H930" i="19"/>
  <c r="I930" i="19"/>
  <c r="H286" i="19"/>
  <c r="I286" i="19"/>
  <c r="I80" i="19"/>
  <c r="H80" i="19"/>
  <c r="J80" i="19" s="1"/>
  <c r="H709" i="19"/>
  <c r="I709" i="19"/>
  <c r="H408" i="19"/>
  <c r="I408" i="19"/>
  <c r="I427" i="19"/>
  <c r="H427" i="19"/>
  <c r="H117" i="19"/>
  <c r="I117" i="19"/>
  <c r="I480" i="19"/>
  <c r="H480" i="19"/>
  <c r="H800" i="19"/>
  <c r="I800" i="19"/>
  <c r="H645" i="19"/>
  <c r="I645" i="19"/>
  <c r="I433" i="19"/>
  <c r="H433" i="19"/>
  <c r="H86" i="19"/>
  <c r="I86" i="19"/>
  <c r="H670" i="19"/>
  <c r="I670" i="19"/>
  <c r="H769" i="19"/>
  <c r="I769" i="19"/>
  <c r="H39" i="19"/>
  <c r="I39" i="19"/>
  <c r="I411" i="19"/>
  <c r="H411" i="19"/>
  <c r="I235" i="19"/>
  <c r="H235" i="19"/>
  <c r="J235" i="19" s="1"/>
  <c r="H801" i="19"/>
  <c r="I801" i="19"/>
  <c r="H654" i="19"/>
  <c r="I654" i="19"/>
  <c r="I429" i="19"/>
  <c r="H429" i="19"/>
  <c r="H937" i="19"/>
  <c r="I937" i="19"/>
  <c r="I707" i="19"/>
  <c r="H707" i="19"/>
  <c r="H865" i="19"/>
  <c r="I865" i="19"/>
  <c r="I677" i="19"/>
  <c r="H677" i="19"/>
  <c r="J677" i="19" s="1"/>
  <c r="H925" i="19"/>
  <c r="I925" i="19"/>
  <c r="I483" i="19"/>
  <c r="H483" i="19"/>
  <c r="H175" i="19"/>
  <c r="I175" i="19"/>
  <c r="H961" i="19"/>
  <c r="I961" i="19"/>
  <c r="H574" i="19"/>
  <c r="I574" i="19"/>
  <c r="H377" i="19"/>
  <c r="I377" i="19"/>
  <c r="I638" i="19"/>
  <c r="H638" i="19"/>
  <c r="J638" i="19" s="1"/>
  <c r="I55" i="19"/>
  <c r="H55" i="19"/>
  <c r="H318" i="19"/>
  <c r="I318" i="19"/>
  <c r="C51" i="18"/>
  <c r="D49" i="18"/>
  <c r="C275" i="4"/>
  <c r="H798" i="19"/>
  <c r="I798" i="19"/>
  <c r="I535" i="19"/>
  <c r="H535" i="19"/>
  <c r="H1021" i="19"/>
  <c r="I1021" i="19"/>
  <c r="H845" i="19"/>
  <c r="I845" i="19"/>
  <c r="H216" i="19"/>
  <c r="I216" i="19"/>
  <c r="H346" i="19"/>
  <c r="I346" i="19"/>
  <c r="H566" i="19"/>
  <c r="I566" i="19"/>
  <c r="H848" i="19"/>
  <c r="I848" i="19"/>
  <c r="H378" i="19"/>
  <c r="I378" i="19"/>
  <c r="I761" i="19"/>
  <c r="H761" i="19"/>
  <c r="I815" i="19"/>
  <c r="H815" i="19"/>
  <c r="H775" i="19"/>
  <c r="I775" i="19"/>
  <c r="H572" i="19"/>
  <c r="I572" i="19"/>
  <c r="I319" i="19"/>
  <c r="H319" i="19"/>
  <c r="H534" i="19"/>
  <c r="I534" i="19"/>
  <c r="I390" i="19"/>
  <c r="H390" i="19"/>
  <c r="H118" i="19"/>
  <c r="I118" i="19"/>
  <c r="H413" i="19"/>
  <c r="I413" i="19"/>
  <c r="I912" i="19"/>
  <c r="H912" i="19"/>
  <c r="I1017" i="19"/>
  <c r="H1017" i="19"/>
  <c r="I742" i="19"/>
  <c r="H742" i="19"/>
  <c r="I513" i="19"/>
  <c r="H513" i="19"/>
  <c r="H663" i="19"/>
  <c r="I663" i="19"/>
  <c r="H680" i="19"/>
  <c r="I680" i="19"/>
  <c r="H671" i="19"/>
  <c r="I671" i="19"/>
  <c r="I162" i="19"/>
  <c r="H162" i="19"/>
  <c r="H1013" i="19"/>
  <c r="I1013" i="19"/>
  <c r="I486" i="19"/>
  <c r="H486" i="19"/>
  <c r="H793" i="19"/>
  <c r="I793" i="19"/>
  <c r="H666" i="19"/>
  <c r="I666" i="19"/>
  <c r="H127" i="19"/>
  <c r="I127" i="19"/>
  <c r="H764" i="19"/>
  <c r="I764" i="19"/>
  <c r="I900" i="19"/>
  <c r="H900" i="19"/>
  <c r="H428" i="19"/>
  <c r="I428" i="19"/>
  <c r="H740" i="19"/>
  <c r="I740" i="19"/>
  <c r="I242" i="19"/>
  <c r="H242" i="19"/>
  <c r="I954" i="19"/>
  <c r="H954" i="19"/>
  <c r="I211" i="19"/>
  <c r="H211" i="19"/>
  <c r="I839" i="19"/>
  <c r="H839" i="19"/>
  <c r="H555" i="19"/>
  <c r="I555" i="19"/>
  <c r="I679" i="19"/>
  <c r="H679" i="19"/>
  <c r="I700" i="19"/>
  <c r="H700" i="19"/>
  <c r="H402" i="19"/>
  <c r="I402" i="19"/>
  <c r="I718" i="19"/>
  <c r="H718" i="19"/>
  <c r="H790" i="19"/>
  <c r="I790" i="19"/>
  <c r="H142" i="19"/>
  <c r="I142" i="19"/>
  <c r="I460" i="19"/>
  <c r="H460" i="19"/>
  <c r="H888" i="19"/>
  <c r="I888" i="19"/>
  <c r="I315" i="19"/>
  <c r="H315" i="19"/>
  <c r="H640" i="19"/>
  <c r="I640" i="19"/>
  <c r="I916" i="19"/>
  <c r="H916" i="19"/>
  <c r="I138" i="19"/>
  <c r="H138" i="19"/>
  <c r="H307" i="19"/>
  <c r="I307" i="19"/>
  <c r="H207" i="19"/>
  <c r="I207" i="19"/>
  <c r="H936" i="19"/>
  <c r="I936" i="19"/>
  <c r="H650" i="19"/>
  <c r="I650" i="19"/>
  <c r="I387" i="19"/>
  <c r="H387" i="19"/>
  <c r="H668" i="19"/>
  <c r="I668" i="19"/>
  <c r="H601" i="19"/>
  <c r="I601" i="19"/>
  <c r="H488" i="19"/>
  <c r="I488" i="19"/>
  <c r="H394" i="19"/>
  <c r="I394" i="19"/>
  <c r="I465" i="19"/>
  <c r="H465" i="19"/>
  <c r="I321" i="19"/>
  <c r="H321" i="19"/>
  <c r="H1026" i="19"/>
  <c r="I1026" i="19"/>
  <c r="I136" i="19"/>
  <c r="H136" i="19"/>
  <c r="H231" i="19"/>
  <c r="I231" i="19"/>
  <c r="H84" i="19"/>
  <c r="I84" i="19"/>
  <c r="I771" i="19"/>
  <c r="H771" i="19"/>
  <c r="H985" i="19"/>
  <c r="I985" i="19"/>
  <c r="I579" i="19"/>
  <c r="H579" i="19"/>
  <c r="K39" i="9"/>
  <c r="K38" i="9"/>
  <c r="K225" i="4"/>
  <c r="H676" i="19"/>
  <c r="I676" i="19"/>
  <c r="H79" i="19"/>
  <c r="I79" i="19"/>
  <c r="H933" i="19"/>
  <c r="I933" i="19"/>
  <c r="H853" i="19"/>
  <c r="I853" i="19"/>
  <c r="I219" i="19"/>
  <c r="H219" i="19"/>
  <c r="I37" i="19"/>
  <c r="H37" i="19"/>
  <c r="H646" i="19"/>
  <c r="I646" i="19"/>
  <c r="H684" i="19"/>
  <c r="I684" i="19"/>
  <c r="I255" i="19"/>
  <c r="H255" i="19"/>
  <c r="J255" i="19" s="1"/>
  <c r="H99" i="19"/>
  <c r="I99" i="19"/>
  <c r="H287" i="19"/>
  <c r="I287" i="19"/>
  <c r="I548" i="19"/>
  <c r="H548" i="19"/>
  <c r="H949" i="19"/>
  <c r="I949" i="19"/>
  <c r="I997" i="19"/>
  <c r="H997" i="19"/>
  <c r="H735" i="19"/>
  <c r="I735" i="19"/>
  <c r="H479" i="19"/>
  <c r="I479" i="19"/>
  <c r="H502" i="19"/>
  <c r="I502" i="19"/>
  <c r="I975" i="19"/>
  <c r="H975" i="19"/>
  <c r="I356" i="19"/>
  <c r="H356" i="19"/>
  <c r="I969" i="19"/>
  <c r="H969" i="19"/>
  <c r="I410" i="19"/>
  <c r="H410" i="19"/>
  <c r="H177" i="19"/>
  <c r="I177" i="19"/>
  <c r="H111" i="19"/>
  <c r="I111" i="19"/>
  <c r="I623" i="19"/>
  <c r="H623" i="19"/>
  <c r="H967" i="19"/>
  <c r="I967" i="19"/>
  <c r="I344" i="19"/>
  <c r="H344" i="19"/>
  <c r="I726" i="19"/>
  <c r="H726" i="19"/>
  <c r="H615" i="19"/>
  <c r="I615" i="19"/>
  <c r="H470" i="19"/>
  <c r="I470" i="19"/>
  <c r="H332" i="19"/>
  <c r="I332" i="19"/>
  <c r="H788" i="19"/>
  <c r="I788" i="19"/>
  <c r="I101" i="19"/>
  <c r="H101" i="19"/>
  <c r="H201" i="19"/>
  <c r="I201" i="19"/>
  <c r="I269" i="19"/>
  <c r="H269" i="19"/>
  <c r="I765" i="19"/>
  <c r="H765" i="19"/>
  <c r="H789" i="19"/>
  <c r="I789" i="19"/>
  <c r="I450" i="19"/>
  <c r="H450" i="19"/>
  <c r="J450" i="19" s="1"/>
  <c r="I923" i="19"/>
  <c r="H923" i="19"/>
  <c r="H944" i="19"/>
  <c r="I944" i="19"/>
  <c r="H651" i="19"/>
  <c r="I651" i="19"/>
  <c r="H426" i="19"/>
  <c r="I426" i="19"/>
  <c r="H943" i="19"/>
  <c r="I943" i="19"/>
  <c r="H914" i="19"/>
  <c r="I914" i="19"/>
  <c r="H493" i="19"/>
  <c r="I493" i="19"/>
  <c r="H731" i="19"/>
  <c r="I731" i="19"/>
  <c r="I971" i="19"/>
  <c r="H971" i="19"/>
  <c r="H436" i="19"/>
  <c r="I436" i="19"/>
  <c r="H400" i="19"/>
  <c r="I400" i="19"/>
  <c r="H52" i="19"/>
  <c r="I52" i="19"/>
  <c r="H922" i="19"/>
  <c r="I922" i="19"/>
  <c r="H306" i="19"/>
  <c r="I306" i="19"/>
  <c r="I405" i="19"/>
  <c r="H405" i="19"/>
  <c r="H626" i="19"/>
  <c r="I626" i="19"/>
  <c r="H109" i="19"/>
  <c r="I109" i="19"/>
  <c r="I417" i="19"/>
  <c r="H417" i="19"/>
  <c r="I578" i="19"/>
  <c r="H578" i="19"/>
  <c r="I701" i="19"/>
  <c r="H701" i="19"/>
  <c r="I482" i="19"/>
  <c r="H482" i="19"/>
  <c r="J482" i="19" s="1"/>
  <c r="I931" i="19"/>
  <c r="H931" i="19"/>
  <c r="H757" i="19"/>
  <c r="I757" i="19"/>
  <c r="H102" i="19"/>
  <c r="I102" i="19"/>
  <c r="I230" i="19"/>
  <c r="H230" i="19"/>
  <c r="H891" i="19"/>
  <c r="I891" i="19"/>
  <c r="H256" i="19"/>
  <c r="I256" i="19"/>
  <c r="H395" i="19"/>
  <c r="I395" i="19"/>
  <c r="I144" i="19"/>
  <c r="H144" i="19"/>
  <c r="H841" i="19"/>
  <c r="I841" i="19"/>
  <c r="H353" i="19"/>
  <c r="I353" i="19"/>
  <c r="H920" i="19"/>
  <c r="I920" i="19"/>
  <c r="I884" i="19"/>
  <c r="H884" i="19"/>
  <c r="H551" i="19"/>
  <c r="I551" i="19"/>
  <c r="C277" i="4"/>
  <c r="F49" i="18"/>
  <c r="I982" i="19"/>
  <c r="H982" i="19"/>
  <c r="I305" i="19"/>
  <c r="H305" i="19"/>
  <c r="H180" i="19"/>
  <c r="I180" i="19"/>
  <c r="H164" i="19"/>
  <c r="I164" i="19"/>
  <c r="H81" i="19"/>
  <c r="I81" i="19"/>
  <c r="I131" i="19"/>
  <c r="H131" i="19"/>
  <c r="H882" i="19"/>
  <c r="I882" i="19"/>
  <c r="H343" i="19"/>
  <c r="I343" i="19"/>
  <c r="I528" i="19"/>
  <c r="H528" i="19"/>
  <c r="I139" i="19"/>
  <c r="H139" i="19"/>
  <c r="H403" i="19"/>
  <c r="I403" i="19"/>
  <c r="I459" i="19"/>
  <c r="H459" i="19"/>
  <c r="I311" i="19"/>
  <c r="H311" i="19"/>
  <c r="H384" i="19"/>
  <c r="I384" i="19"/>
  <c r="H795" i="19"/>
  <c r="I795" i="19"/>
  <c r="I739" i="19"/>
  <c r="H739" i="19"/>
  <c r="J739" i="19" s="1"/>
  <c r="H846" i="19"/>
  <c r="I846" i="19"/>
  <c r="I945" i="19"/>
  <c r="H945" i="19"/>
  <c r="I932" i="19"/>
  <c r="H932" i="19"/>
  <c r="I892" i="19"/>
  <c r="H892" i="19"/>
  <c r="H239" i="19"/>
  <c r="I239" i="19"/>
  <c r="H728" i="19"/>
  <c r="I728" i="19"/>
  <c r="H298" i="19"/>
  <c r="I298" i="19"/>
  <c r="I816" i="19"/>
  <c r="H816" i="19"/>
  <c r="H169" i="19"/>
  <c r="I169" i="19"/>
  <c r="H234" i="19"/>
  <c r="I234" i="19"/>
  <c r="H78" i="19"/>
  <c r="I78" i="19"/>
  <c r="H667" i="19"/>
  <c r="I667" i="19"/>
  <c r="H1027" i="19"/>
  <c r="I1027" i="19"/>
  <c r="I340" i="19"/>
  <c r="H340" i="19"/>
  <c r="J340" i="19" s="1"/>
  <c r="H905" i="19"/>
  <c r="I905" i="19"/>
  <c r="H198" i="19"/>
  <c r="I198" i="19"/>
  <c r="I995" i="19"/>
  <c r="H995" i="19"/>
  <c r="I799" i="19"/>
  <c r="H799" i="19"/>
  <c r="H85" i="19"/>
  <c r="I85" i="19"/>
  <c r="H155" i="19"/>
  <c r="I155" i="19"/>
  <c r="H69" i="19"/>
  <c r="I69" i="19"/>
  <c r="I863" i="19"/>
  <c r="H863" i="19"/>
  <c r="H150" i="19"/>
  <c r="I150" i="19"/>
  <c r="I978" i="19"/>
  <c r="H978" i="19"/>
  <c r="H375" i="19"/>
  <c r="I375" i="19"/>
  <c r="H948" i="19"/>
  <c r="I948" i="19"/>
  <c r="I285" i="19"/>
  <c r="H285" i="19"/>
  <c r="I209" i="19"/>
  <c r="H209" i="19"/>
  <c r="J209" i="19" s="1"/>
  <c r="I345" i="19"/>
  <c r="H345" i="19"/>
  <c r="H723" i="19"/>
  <c r="I723" i="19"/>
  <c r="I576" i="19"/>
  <c r="H576" i="19"/>
  <c r="I147" i="19"/>
  <c r="H147" i="19"/>
  <c r="I829" i="19"/>
  <c r="H829" i="19"/>
  <c r="J829" i="19" s="1"/>
  <c r="H736" i="19"/>
  <c r="I736" i="19"/>
  <c r="I1009" i="19"/>
  <c r="H1009" i="19"/>
  <c r="J1009" i="19" s="1"/>
  <c r="H986" i="19"/>
  <c r="I986" i="19"/>
  <c r="H705" i="19"/>
  <c r="I705" i="19"/>
  <c r="H749" i="19"/>
  <c r="I749" i="19"/>
  <c r="H445" i="19"/>
  <c r="I445" i="19"/>
  <c r="H183" i="19"/>
  <c r="I183" i="19"/>
  <c r="H203" i="19"/>
  <c r="I203" i="19"/>
  <c r="I229" i="19"/>
  <c r="H229" i="19"/>
  <c r="J229" i="19" s="1"/>
  <c r="H352" i="19"/>
  <c r="I352" i="19"/>
  <c r="I171" i="19"/>
  <c r="H171" i="19"/>
  <c r="I706" i="19"/>
  <c r="H706" i="19"/>
  <c r="I541" i="19"/>
  <c r="H541" i="19"/>
  <c r="H48" i="19"/>
  <c r="I48" i="19"/>
  <c r="H752" i="19"/>
  <c r="I752" i="19"/>
  <c r="H1019" i="19"/>
  <c r="I1019" i="19"/>
  <c r="H970" i="19"/>
  <c r="I970" i="19"/>
  <c r="I833" i="19"/>
  <c r="H833" i="19"/>
  <c r="H868" i="19"/>
  <c r="I868" i="19"/>
  <c r="I293" i="19"/>
  <c r="H293" i="19"/>
  <c r="I591" i="19"/>
  <c r="H591" i="19"/>
  <c r="I669" i="19"/>
  <c r="H669" i="19"/>
  <c r="H748" i="19"/>
  <c r="I748" i="19"/>
  <c r="H143" i="19"/>
  <c r="I143" i="19"/>
  <c r="I817" i="19"/>
  <c r="H817" i="19"/>
  <c r="I137" i="19"/>
  <c r="H137" i="19"/>
  <c r="I620" i="19"/>
  <c r="H620" i="19"/>
  <c r="H485" i="19"/>
  <c r="I485" i="19"/>
  <c r="I999" i="19"/>
  <c r="H999" i="19"/>
  <c r="H33" i="19"/>
  <c r="I33" i="19"/>
  <c r="I977" i="19"/>
  <c r="H977" i="19"/>
  <c r="I594" i="19"/>
  <c r="H594" i="19"/>
  <c r="H831" i="19"/>
  <c r="I831" i="19"/>
  <c r="H1007" i="19"/>
  <c r="I1007" i="19"/>
  <c r="H309" i="19"/>
  <c r="I309" i="19"/>
  <c r="I112" i="19"/>
  <c r="H112" i="19"/>
  <c r="H461" i="19"/>
  <c r="I461" i="19"/>
  <c r="I906" i="19"/>
  <c r="H906" i="19"/>
  <c r="H537" i="19"/>
  <c r="I537" i="19"/>
  <c r="H130" i="19"/>
  <c r="I130" i="19"/>
  <c r="H695" i="19"/>
  <c r="I695" i="19"/>
  <c r="I507" i="19"/>
  <c r="H507" i="19"/>
  <c r="I218" i="19"/>
  <c r="H218" i="19"/>
  <c r="I35" i="19"/>
  <c r="H35" i="19"/>
  <c r="J35" i="19" s="1"/>
  <c r="H575" i="19"/>
  <c r="I575" i="19"/>
  <c r="I370" i="19"/>
  <c r="H370" i="19"/>
  <c r="I959" i="19"/>
  <c r="H959" i="19"/>
  <c r="I681" i="19"/>
  <c r="H681" i="19"/>
  <c r="H921" i="19"/>
  <c r="I921" i="19"/>
  <c r="I618" i="19"/>
  <c r="H618" i="19"/>
  <c r="H593" i="19"/>
  <c r="I593" i="19"/>
  <c r="I682" i="19"/>
  <c r="H682" i="19"/>
  <c r="I83" i="19"/>
  <c r="H83" i="19"/>
  <c r="I283" i="19"/>
  <c r="H283" i="19"/>
  <c r="I963" i="19"/>
  <c r="H963" i="19"/>
  <c r="I432" i="19"/>
  <c r="H432" i="19"/>
  <c r="I396" i="19"/>
  <c r="H396" i="19"/>
  <c r="H160" i="19"/>
  <c r="I160" i="19"/>
  <c r="H339" i="19"/>
  <c r="I339" i="19"/>
  <c r="H174" i="19"/>
  <c r="I174" i="19"/>
  <c r="I854" i="19"/>
  <c r="H854" i="19"/>
  <c r="I514" i="19"/>
  <c r="H514" i="19"/>
  <c r="H292" i="19"/>
  <c r="I292" i="19"/>
  <c r="H333" i="19"/>
  <c r="I333" i="19"/>
  <c r="H167" i="19"/>
  <c r="I167" i="19"/>
  <c r="I851" i="19"/>
  <c r="H851" i="19"/>
  <c r="H543" i="19"/>
  <c r="I543" i="19"/>
  <c r="H434" i="19"/>
  <c r="I434" i="19"/>
  <c r="H44" i="19"/>
  <c r="I44" i="19"/>
  <c r="I418" i="19"/>
  <c r="H418" i="19"/>
  <c r="H208" i="19"/>
  <c r="I208" i="19"/>
  <c r="H72" i="19"/>
  <c r="I72" i="19"/>
  <c r="H265" i="19"/>
  <c r="I265" i="19"/>
  <c r="I71" i="19"/>
  <c r="H71" i="19"/>
  <c r="H191" i="19"/>
  <c r="I191" i="19"/>
  <c r="I1029" i="19"/>
  <c r="H1029" i="19"/>
  <c r="H639" i="19"/>
  <c r="I639" i="19"/>
  <c r="H41" i="19"/>
  <c r="I41" i="19"/>
  <c r="H850" i="19"/>
  <c r="I850" i="19"/>
  <c r="I983" i="19"/>
  <c r="H983" i="19"/>
  <c r="AF29" i="7"/>
  <c r="AF33" i="7"/>
  <c r="AF36" i="7" s="1"/>
  <c r="L7" i="9"/>
  <c r="L11" i="9" s="1"/>
  <c r="L13" i="9" s="1"/>
  <c r="H522" i="19"/>
  <c r="I522" i="19"/>
  <c r="H603" i="19"/>
  <c r="I603" i="19"/>
  <c r="H331" i="19"/>
  <c r="I331" i="19"/>
  <c r="I907" i="19"/>
  <c r="H907" i="19"/>
  <c r="I613" i="19"/>
  <c r="H613" i="19"/>
  <c r="I77" i="19"/>
  <c r="H77" i="19"/>
  <c r="I374" i="19"/>
  <c r="H374" i="19"/>
  <c r="I589" i="19"/>
  <c r="H589" i="19"/>
  <c r="I288" i="19"/>
  <c r="H288" i="19"/>
  <c r="H560" i="19"/>
  <c r="I560" i="19"/>
  <c r="I444" i="19"/>
  <c r="H444" i="19"/>
  <c r="H221" i="19"/>
  <c r="I221" i="19"/>
  <c r="I642" i="19"/>
  <c r="H642" i="19"/>
  <c r="I596" i="19"/>
  <c r="H596" i="19"/>
  <c r="H661" i="19"/>
  <c r="I661" i="19"/>
  <c r="H957" i="19"/>
  <c r="I957" i="19"/>
  <c r="H170" i="19"/>
  <c r="I170" i="19"/>
  <c r="H938" i="19"/>
  <c r="I938" i="19"/>
  <c r="H494" i="19"/>
  <c r="I494" i="19"/>
  <c r="I918" i="19"/>
  <c r="H918" i="19"/>
  <c r="H849" i="19"/>
  <c r="I849" i="19"/>
  <c r="H277" i="19"/>
  <c r="I277" i="19"/>
  <c r="H821" i="19"/>
  <c r="I821" i="19"/>
  <c r="I976" i="19"/>
  <c r="H976" i="19"/>
  <c r="I794" i="19"/>
  <c r="H794" i="19"/>
  <c r="I998" i="19"/>
  <c r="H998" i="19"/>
  <c r="I243" i="19"/>
  <c r="H243" i="19"/>
  <c r="H392" i="19"/>
  <c r="I392" i="19"/>
  <c r="H409" i="19"/>
  <c r="I409" i="19"/>
  <c r="I46" i="19"/>
  <c r="H46" i="19"/>
  <c r="I415" i="19"/>
  <c r="H415" i="19"/>
  <c r="I274" i="19"/>
  <c r="H274" i="19"/>
  <c r="H123" i="19"/>
  <c r="I123" i="19"/>
  <c r="H61" i="19"/>
  <c r="I61" i="19"/>
  <c r="H847" i="19"/>
  <c r="I847" i="19"/>
  <c r="I190" i="19"/>
  <c r="H190" i="19"/>
  <c r="H299" i="19"/>
  <c r="I299" i="19"/>
  <c r="I389" i="19"/>
  <c r="H389" i="19"/>
  <c r="H536" i="19"/>
  <c r="I536" i="19"/>
  <c r="I896" i="19"/>
  <c r="H896" i="19"/>
  <c r="H386" i="19"/>
  <c r="I386" i="19"/>
  <c r="H186" i="19"/>
  <c r="I186" i="19"/>
  <c r="I1008" i="19"/>
  <c r="H1008" i="19"/>
  <c r="I813" i="19"/>
  <c r="H813" i="19"/>
  <c r="I803" i="19"/>
  <c r="H803" i="19"/>
  <c r="I364" i="19"/>
  <c r="H364" i="19"/>
  <c r="H113" i="19"/>
  <c r="I113" i="19"/>
  <c r="H512" i="19"/>
  <c r="I512" i="19"/>
  <c r="I358" i="19"/>
  <c r="H358" i="19"/>
  <c r="H730" i="19"/>
  <c r="I730" i="19"/>
  <c r="H124" i="19"/>
  <c r="I124" i="19"/>
  <c r="H558" i="19"/>
  <c r="I558" i="19"/>
  <c r="H280" i="19"/>
  <c r="I280" i="19"/>
  <c r="I421" i="19"/>
  <c r="H421" i="19"/>
  <c r="H911" i="19"/>
  <c r="I911" i="19"/>
  <c r="H600" i="19"/>
  <c r="I600" i="19"/>
  <c r="I125" i="19"/>
  <c r="H125" i="19"/>
  <c r="H148" i="19"/>
  <c r="I148" i="19"/>
  <c r="H62" i="19"/>
  <c r="I62" i="19"/>
  <c r="H722" i="19"/>
  <c r="I722" i="19"/>
  <c r="I818" i="19"/>
  <c r="H818" i="19"/>
  <c r="I355" i="19"/>
  <c r="H355" i="19"/>
  <c r="I1014" i="19"/>
  <c r="H1014" i="19"/>
  <c r="H313" i="19"/>
  <c r="I313" i="19"/>
  <c r="H275" i="19"/>
  <c r="I275" i="19"/>
  <c r="I585" i="19"/>
  <c r="H585" i="19"/>
  <c r="I708" i="19"/>
  <c r="H708" i="19"/>
  <c r="H335" i="19"/>
  <c r="I335" i="19"/>
  <c r="I236" i="19"/>
  <c r="H236" i="19"/>
  <c r="I611" i="19"/>
  <c r="H611" i="19"/>
  <c r="H656" i="19"/>
  <c r="I656" i="19"/>
  <c r="I246" i="19"/>
  <c r="H246" i="19"/>
  <c r="E49" i="18"/>
  <c r="C276" i="4"/>
  <c r="I616" i="19"/>
  <c r="H616" i="19"/>
  <c r="H903" i="19"/>
  <c r="I903" i="19"/>
  <c r="I781" i="19"/>
  <c r="H781" i="19"/>
  <c r="I899" i="19"/>
  <c r="H899" i="19"/>
  <c r="I881" i="19"/>
  <c r="H881" i="19"/>
  <c r="H872" i="19"/>
  <c r="I872" i="19"/>
  <c r="I683" i="19"/>
  <c r="H683" i="19"/>
  <c r="H552" i="19"/>
  <c r="I552" i="19"/>
  <c r="H443" i="19"/>
  <c r="I443" i="19"/>
  <c r="I533" i="19"/>
  <c r="H533" i="19"/>
  <c r="I1024" i="19"/>
  <c r="H1024" i="19"/>
  <c r="H894" i="19"/>
  <c r="I894" i="19"/>
  <c r="H802" i="19"/>
  <c r="I802" i="19"/>
  <c r="I664" i="19"/>
  <c r="H664" i="19"/>
  <c r="I893" i="19"/>
  <c r="H893" i="19"/>
  <c r="H1002" i="19"/>
  <c r="I1002" i="19"/>
  <c r="I271" i="19"/>
  <c r="H271" i="19"/>
  <c r="I456" i="19"/>
  <c r="H456" i="19"/>
  <c r="I652" i="19"/>
  <c r="H652" i="19"/>
  <c r="I297" i="19"/>
  <c r="H297" i="19"/>
  <c r="H988" i="19"/>
  <c r="I988" i="19"/>
  <c r="I928" i="19"/>
  <c r="H928" i="19"/>
  <c r="J928" i="19" s="1"/>
  <c r="I430" i="19"/>
  <c r="H430" i="19"/>
  <c r="I715" i="19"/>
  <c r="H715" i="19"/>
  <c r="I206" i="19"/>
  <c r="H206" i="19"/>
  <c r="H200" i="19"/>
  <c r="I200" i="19"/>
  <c r="H791" i="19"/>
  <c r="I791" i="19"/>
  <c r="I363" i="19"/>
  <c r="H363" i="19"/>
  <c r="H304" i="19"/>
  <c r="I304" i="19"/>
  <c r="I770" i="19"/>
  <c r="H770" i="19"/>
  <c r="I814" i="19"/>
  <c r="H814" i="19"/>
  <c r="I107" i="19"/>
  <c r="H107" i="19"/>
  <c r="H1015" i="19"/>
  <c r="I1015" i="19"/>
  <c r="H744" i="19"/>
  <c r="I744" i="19"/>
  <c r="H278" i="19"/>
  <c r="I278" i="19"/>
  <c r="I66" i="19"/>
  <c r="H66" i="19"/>
  <c r="J66" i="19" s="1"/>
  <c r="I179" i="19"/>
  <c r="H179" i="19"/>
  <c r="H785" i="19"/>
  <c r="I785" i="19"/>
  <c r="I276" i="19"/>
  <c r="H276" i="19"/>
  <c r="H204" i="19"/>
  <c r="I204" i="19"/>
  <c r="H279" i="19"/>
  <c r="I279" i="19"/>
  <c r="H259" i="19"/>
  <c r="I259" i="19"/>
  <c r="H508" i="19"/>
  <c r="I508" i="19"/>
  <c r="H658" i="19"/>
  <c r="I658" i="19"/>
  <c r="H797" i="19"/>
  <c r="I797" i="19"/>
  <c r="I994" i="19"/>
  <c r="H994" i="19"/>
  <c r="H266" i="19"/>
  <c r="I266" i="19"/>
  <c r="I159" i="19"/>
  <c r="H159" i="19"/>
  <c r="H106" i="19"/>
  <c r="I106" i="19"/>
  <c r="H153" i="19"/>
  <c r="I153" i="19"/>
  <c r="AE33" i="7"/>
  <c r="AE34" i="7" s="1"/>
  <c r="AE29" i="7"/>
  <c r="I199" i="19"/>
  <c r="H199" i="19"/>
  <c r="H857" i="19"/>
  <c r="I857" i="19"/>
  <c r="H56" i="19"/>
  <c r="I56" i="19"/>
  <c r="I636" i="19"/>
  <c r="H636" i="19"/>
  <c r="H420" i="19"/>
  <c r="I420" i="19"/>
  <c r="H350" i="19"/>
  <c r="I350" i="19"/>
  <c r="I635" i="19"/>
  <c r="H635" i="19"/>
  <c r="I819" i="19"/>
  <c r="H819" i="19"/>
  <c r="I290" i="19"/>
  <c r="H290" i="19"/>
  <c r="I192" i="19"/>
  <c r="H192" i="19"/>
  <c r="I42" i="19"/>
  <c r="H42" i="19"/>
  <c r="I247" i="19"/>
  <c r="H247" i="19"/>
  <c r="I132" i="19"/>
  <c r="H132" i="19"/>
  <c r="I563" i="19"/>
  <c r="H563" i="19"/>
  <c r="I464" i="19"/>
  <c r="H464" i="19"/>
  <c r="I712" i="19"/>
  <c r="H712" i="19"/>
  <c r="H599" i="19"/>
  <c r="I599" i="19"/>
  <c r="H989" i="19"/>
  <c r="I989" i="19"/>
  <c r="I835" i="19"/>
  <c r="H835" i="19"/>
  <c r="H517" i="19"/>
  <c r="I517" i="19"/>
  <c r="I688" i="19"/>
  <c r="H688" i="19"/>
  <c r="I73" i="19"/>
  <c r="H73" i="19"/>
  <c r="H1022" i="19"/>
  <c r="I1022" i="19"/>
  <c r="H614" i="19"/>
  <c r="I614" i="19"/>
  <c r="H777" i="19"/>
  <c r="I777" i="19"/>
  <c r="H570" i="19"/>
  <c r="I570" i="19"/>
  <c r="I567" i="19"/>
  <c r="H567" i="19"/>
  <c r="H45" i="19"/>
  <c r="I45" i="19"/>
  <c r="I272" i="19"/>
  <c r="H272" i="19"/>
  <c r="I58" i="19"/>
  <c r="H58" i="19"/>
  <c r="I196" i="19"/>
  <c r="H196" i="19"/>
  <c r="I194" i="19"/>
  <c r="H194" i="19"/>
  <c r="I214" i="19"/>
  <c r="H214" i="19"/>
  <c r="H908" i="19"/>
  <c r="I908" i="19"/>
  <c r="H351" i="19"/>
  <c r="I351" i="19"/>
  <c r="H538" i="19"/>
  <c r="I538" i="19"/>
  <c r="H393" i="19"/>
  <c r="I393" i="19"/>
  <c r="H776" i="19"/>
  <c r="I776" i="19"/>
  <c r="H435" i="19"/>
  <c r="I435" i="19"/>
  <c r="H951" i="19"/>
  <c r="I951" i="19"/>
  <c r="H463" i="19"/>
  <c r="I463" i="19"/>
  <c r="I47" i="19"/>
  <c r="H47" i="19"/>
  <c r="I34" i="9"/>
  <c r="J33" i="9"/>
  <c r="I226" i="4"/>
  <c r="I227" i="4" s="1"/>
  <c r="W60" i="7"/>
  <c r="I30" i="8"/>
  <c r="I32" i="8" s="1"/>
  <c r="I1004" i="19"/>
  <c r="H1004" i="19"/>
  <c r="I342" i="19"/>
  <c r="H342" i="19"/>
  <c r="I644" i="19"/>
  <c r="H644" i="19"/>
  <c r="J644" i="19" s="1"/>
  <c r="H659" i="19"/>
  <c r="I659" i="19"/>
  <c r="H727" i="19"/>
  <c r="I727" i="19"/>
  <c r="H116" i="19"/>
  <c r="I116" i="19"/>
  <c r="I621" i="19"/>
  <c r="H621" i="19"/>
  <c r="I690" i="19"/>
  <c r="H690" i="19"/>
  <c r="I942" i="19"/>
  <c r="H942" i="19"/>
  <c r="I391" i="19"/>
  <c r="H391" i="19"/>
  <c r="J391" i="19" s="1"/>
  <c r="I729" i="19"/>
  <c r="H729" i="19"/>
  <c r="H582" i="19"/>
  <c r="I582" i="19"/>
  <c r="H449" i="19"/>
  <c r="I449" i="19"/>
  <c r="H76" i="19"/>
  <c r="I76" i="19"/>
  <c r="I270" i="19"/>
  <c r="H270" i="19"/>
  <c r="I472" i="19"/>
  <c r="H472" i="19"/>
  <c r="H327" i="19"/>
  <c r="I327" i="19"/>
  <c r="I810" i="19"/>
  <c r="H810" i="19"/>
  <c r="I870" i="19"/>
  <c r="H870" i="19"/>
  <c r="H685" i="19"/>
  <c r="I685" i="19"/>
  <c r="I115" i="19"/>
  <c r="H115" i="19"/>
  <c r="F35" i="17"/>
  <c r="D70" i="17"/>
  <c r="D265" i="4" s="1"/>
  <c r="I168" i="19"/>
  <c r="H168" i="19"/>
  <c r="H539" i="19"/>
  <c r="I539" i="19"/>
  <c r="I904" i="19"/>
  <c r="H904" i="19"/>
  <c r="H103" i="19"/>
  <c r="I103" i="19"/>
  <c r="H122" i="19"/>
  <c r="I122" i="19"/>
  <c r="I653" i="19"/>
  <c r="H653" i="19"/>
  <c r="I506" i="19"/>
  <c r="H506" i="19"/>
  <c r="H792" i="19"/>
  <c r="I792" i="19"/>
  <c r="H314" i="19"/>
  <c r="I314" i="19"/>
  <c r="I565" i="19"/>
  <c r="H565" i="19"/>
  <c r="I874" i="19"/>
  <c r="H874" i="19"/>
  <c r="I660" i="19"/>
  <c r="H660" i="19"/>
  <c r="H561" i="19"/>
  <c r="I561" i="19"/>
  <c r="H869" i="19"/>
  <c r="I869" i="19"/>
  <c r="H166" i="19"/>
  <c r="I166" i="19"/>
  <c r="H1018" i="19"/>
  <c r="I1018" i="19"/>
  <c r="H154" i="19"/>
  <c r="I154" i="19"/>
  <c r="H784" i="19"/>
  <c r="I784" i="19"/>
  <c r="H979" i="19"/>
  <c r="I979" i="19"/>
  <c r="I425" i="19"/>
  <c r="H425" i="19"/>
  <c r="I381" i="19"/>
  <c r="H381" i="19"/>
  <c r="H388" i="19"/>
  <c r="I388" i="19"/>
  <c r="H228" i="19"/>
  <c r="I228" i="19"/>
  <c r="I336" i="19"/>
  <c r="H336" i="19"/>
  <c r="H624" i="19"/>
  <c r="I624" i="19"/>
  <c r="H240" i="19"/>
  <c r="I240" i="19"/>
  <c r="H406" i="19"/>
  <c r="I406" i="19"/>
  <c r="H326" i="19"/>
  <c r="I326" i="19"/>
  <c r="I649" i="19"/>
  <c r="H649" i="19"/>
  <c r="H809" i="19"/>
  <c r="I809" i="19"/>
  <c r="H553" i="19"/>
  <c r="I553" i="19"/>
  <c r="I774" i="19"/>
  <c r="H774" i="19"/>
  <c r="I842" i="19"/>
  <c r="H842" i="19"/>
  <c r="H70" i="19"/>
  <c r="I70" i="19"/>
  <c r="I478" i="19"/>
  <c r="H478" i="19"/>
  <c r="I557" i="19"/>
  <c r="H557" i="19"/>
  <c r="H523" i="19"/>
  <c r="I523" i="19"/>
  <c r="I926" i="19"/>
  <c r="H926" i="19"/>
  <c r="I376" i="19"/>
  <c r="H376" i="19"/>
  <c r="I746" i="19"/>
  <c r="H746" i="19"/>
  <c r="H515" i="19"/>
  <c r="I515" i="19"/>
  <c r="H823" i="19"/>
  <c r="I823" i="19"/>
  <c r="I404" i="19"/>
  <c r="H404" i="19"/>
  <c r="H504" i="19"/>
  <c r="I504" i="19"/>
  <c r="H864" i="19"/>
  <c r="I864" i="19"/>
  <c r="H910" i="19"/>
  <c r="I910" i="19"/>
  <c r="I509" i="19"/>
  <c r="H509" i="19"/>
  <c r="I492" i="19"/>
  <c r="H492" i="19"/>
  <c r="H830" i="19"/>
  <c r="I830" i="19"/>
  <c r="H947" i="19"/>
  <c r="I947" i="19"/>
  <c r="I95" i="19"/>
  <c r="H95" i="19"/>
  <c r="H898" i="19"/>
  <c r="I898" i="19"/>
  <c r="H93" i="19"/>
  <c r="I93" i="19"/>
  <c r="H634" i="19"/>
  <c r="I634" i="19"/>
  <c r="I562" i="19"/>
  <c r="H562" i="19"/>
  <c r="H687" i="19"/>
  <c r="I687" i="19"/>
  <c r="H750" i="19"/>
  <c r="I750" i="19"/>
  <c r="I126" i="19"/>
  <c r="H126" i="19"/>
  <c r="I423" i="19"/>
  <c r="H423" i="19"/>
  <c r="I878" i="19"/>
  <c r="H878" i="19"/>
  <c r="I383" i="19"/>
  <c r="H383" i="19"/>
  <c r="I226" i="19"/>
  <c r="H226" i="19"/>
  <c r="I693" i="19"/>
  <c r="H693" i="19"/>
  <c r="G7" i="12"/>
  <c r="G12" i="12" s="1"/>
  <c r="G14" i="12" s="1"/>
  <c r="G18" i="12" s="1"/>
  <c r="AS73" i="7"/>
  <c r="K210" i="4" s="1"/>
  <c r="AC37" i="7"/>
  <c r="AC54" i="7" s="1"/>
  <c r="AC42" i="7"/>
  <c r="H887" i="19"/>
  <c r="I887" i="19"/>
  <c r="H909" i="19"/>
  <c r="I909" i="19"/>
  <c r="I556" i="19"/>
  <c r="H556" i="19"/>
  <c r="I140" i="19"/>
  <c r="H140" i="19"/>
  <c r="I953" i="19"/>
  <c r="H953" i="19"/>
  <c r="I968" i="19"/>
  <c r="H968" i="19"/>
  <c r="I442" i="19"/>
  <c r="H442" i="19"/>
  <c r="I254" i="19"/>
  <c r="H254" i="19"/>
  <c r="I980" i="19"/>
  <c r="H980" i="19"/>
  <c r="H185" i="19"/>
  <c r="I185" i="19"/>
  <c r="H527" i="19"/>
  <c r="I527" i="19"/>
  <c r="I672" i="19"/>
  <c r="H672" i="19"/>
  <c r="H545" i="19"/>
  <c r="I545" i="19"/>
  <c r="H956" i="19"/>
  <c r="I956" i="19"/>
  <c r="I858" i="19"/>
  <c r="H858" i="19"/>
  <c r="H401" i="19"/>
  <c r="I401" i="19"/>
  <c r="H627" i="19"/>
  <c r="I627" i="19"/>
  <c r="H156" i="19"/>
  <c r="I156" i="19"/>
  <c r="H233" i="19"/>
  <c r="I233" i="19"/>
  <c r="I448" i="19"/>
  <c r="H448" i="19"/>
  <c r="H195" i="19"/>
  <c r="I195" i="19"/>
  <c r="I811" i="19"/>
  <c r="H811" i="19"/>
  <c r="H625" i="19"/>
  <c r="I625" i="19"/>
  <c r="I119" i="19"/>
  <c r="H119" i="19"/>
  <c r="H808" i="19"/>
  <c r="I808" i="19"/>
  <c r="I496" i="19"/>
  <c r="H496" i="19"/>
  <c r="H97" i="19"/>
  <c r="I97" i="19"/>
  <c r="I766" i="19"/>
  <c r="H766" i="19"/>
  <c r="H832" i="19"/>
  <c r="I832" i="19"/>
  <c r="I253" i="19"/>
  <c r="H253" i="19"/>
  <c r="H341" i="19"/>
  <c r="I341" i="19"/>
  <c r="I354" i="19"/>
  <c r="H354" i="19"/>
  <c r="H532" i="19"/>
  <c r="I532" i="19"/>
  <c r="I807" i="19"/>
  <c r="H807" i="19"/>
  <c r="I215" i="19"/>
  <c r="H215" i="19"/>
  <c r="H521" i="19"/>
  <c r="I521" i="19"/>
  <c r="H500" i="19"/>
  <c r="I500" i="19"/>
  <c r="H369" i="19"/>
  <c r="I369" i="19"/>
  <c r="I223" i="19"/>
  <c r="H223" i="19"/>
  <c r="H529" i="19"/>
  <c r="I529" i="19"/>
  <c r="H365" i="19"/>
  <c r="I365" i="19"/>
  <c r="H334" i="19"/>
  <c r="I334" i="19"/>
  <c r="H559" i="19"/>
  <c r="I559" i="19"/>
  <c r="I581" i="19"/>
  <c r="H581" i="19"/>
  <c r="H499" i="19"/>
  <c r="I499" i="19"/>
  <c r="H210" i="19"/>
  <c r="I210" i="19"/>
  <c r="H161" i="19"/>
  <c r="I161" i="19"/>
  <c r="H606" i="19"/>
  <c r="I606" i="19"/>
  <c r="I497" i="19"/>
  <c r="H497" i="19"/>
  <c r="I49" i="19"/>
  <c r="H49" i="19"/>
  <c r="I824" i="19"/>
  <c r="H824" i="19"/>
  <c r="H244" i="19"/>
  <c r="I244" i="19"/>
  <c r="H1006" i="19"/>
  <c r="I1006" i="19"/>
  <c r="I779" i="19"/>
  <c r="H779" i="19"/>
  <c r="H702" i="19"/>
  <c r="I702" i="19"/>
  <c r="I516" i="19"/>
  <c r="H516" i="19"/>
  <c r="I53" i="19"/>
  <c r="H53" i="19"/>
  <c r="H361" i="19"/>
  <c r="I361" i="19"/>
  <c r="H940" i="19"/>
  <c r="I940" i="19"/>
  <c r="H571" i="19"/>
  <c r="I571" i="19"/>
  <c r="H609" i="19"/>
  <c r="I609" i="19"/>
  <c r="I1003" i="19"/>
  <c r="H1003" i="19"/>
  <c r="I531" i="19"/>
  <c r="H531" i="19"/>
  <c r="I87" i="19"/>
  <c r="H87" i="19"/>
  <c r="I281" i="19"/>
  <c r="H281" i="19"/>
  <c r="I212" i="19"/>
  <c r="H212" i="19"/>
  <c r="I834" i="19"/>
  <c r="H834" i="19"/>
  <c r="I152" i="19"/>
  <c r="H152" i="19"/>
  <c r="I584" i="19"/>
  <c r="H584" i="19"/>
  <c r="H238" i="19"/>
  <c r="I238" i="19"/>
  <c r="I993" i="19"/>
  <c r="H993" i="19"/>
  <c r="H747" i="19"/>
  <c r="I747" i="19"/>
  <c r="I697" i="19"/>
  <c r="H697" i="19"/>
  <c r="H446" i="19"/>
  <c r="I446" i="19"/>
  <c r="I628" i="19"/>
  <c r="H628" i="19"/>
  <c r="I580" i="19"/>
  <c r="H580" i="19"/>
  <c r="H1011" i="19"/>
  <c r="I1011" i="19"/>
  <c r="I984" i="19"/>
  <c r="H984" i="19"/>
  <c r="H826" i="19"/>
  <c r="I826" i="19"/>
  <c r="I261" i="19"/>
  <c r="H261" i="19"/>
  <c r="H455" i="19"/>
  <c r="I455" i="19"/>
  <c r="I357" i="19"/>
  <c r="H357" i="19"/>
  <c r="I40" i="19"/>
  <c r="H40" i="19"/>
  <c r="I176" i="19"/>
  <c r="H176" i="19"/>
  <c r="I734" i="19"/>
  <c r="H734" i="19"/>
  <c r="I451" i="19"/>
  <c r="H451" i="19"/>
  <c r="H128" i="19"/>
  <c r="I128" i="19"/>
  <c r="I990" i="19"/>
  <c r="H990" i="19"/>
  <c r="I577" i="19"/>
  <c r="H577" i="19"/>
  <c r="H836" i="19"/>
  <c r="I836" i="19"/>
  <c r="I859" i="19"/>
  <c r="H859" i="19"/>
  <c r="H699" i="19"/>
  <c r="I699" i="19"/>
  <c r="I467" i="19"/>
  <c r="H467" i="19"/>
  <c r="I725" i="19"/>
  <c r="H725" i="19"/>
  <c r="I511" i="19"/>
  <c r="H511" i="19"/>
  <c r="H273" i="19"/>
  <c r="I273" i="19"/>
  <c r="I110" i="19"/>
  <c r="H110" i="19"/>
  <c r="H692" i="19"/>
  <c r="I692" i="19"/>
  <c r="H135" i="19"/>
  <c r="I135" i="19"/>
  <c r="I59" i="19"/>
  <c r="H59" i="19"/>
  <c r="H856" i="19"/>
  <c r="I856" i="19"/>
  <c r="I82" i="19"/>
  <c r="H82" i="19"/>
  <c r="H237" i="19"/>
  <c r="I237" i="19"/>
  <c r="H612" i="19"/>
  <c r="I612" i="19"/>
  <c r="H301" i="19"/>
  <c r="I301" i="19"/>
  <c r="H713" i="19"/>
  <c r="I713" i="19"/>
  <c r="I250" i="19"/>
  <c r="H250" i="19"/>
  <c r="I992" i="19"/>
  <c r="H992" i="19"/>
  <c r="I525" i="19"/>
  <c r="H525" i="19"/>
  <c r="H737" i="19"/>
  <c r="I737" i="19"/>
  <c r="I181" i="19"/>
  <c r="H181" i="19"/>
  <c r="H145" i="19"/>
  <c r="I145" i="19"/>
  <c r="H491" i="19"/>
  <c r="I491" i="19"/>
  <c r="I568" i="19"/>
  <c r="H568" i="19"/>
  <c r="I437" i="19"/>
  <c r="H437" i="19"/>
  <c r="H371" i="19"/>
  <c r="I371" i="19"/>
  <c r="I399" i="19"/>
  <c r="H399" i="19"/>
  <c r="H840" i="19"/>
  <c r="I840" i="19"/>
  <c r="I875" i="19"/>
  <c r="H875" i="19"/>
  <c r="I694" i="19"/>
  <c r="H694" i="19"/>
  <c r="I477" i="19"/>
  <c r="H477" i="19"/>
  <c r="H187" i="19"/>
  <c r="I187" i="19"/>
  <c r="H605" i="19"/>
  <c r="I605" i="19"/>
  <c r="H855" i="19"/>
  <c r="I855" i="19"/>
  <c r="I950" i="19"/>
  <c r="H950" i="19"/>
  <c r="H673" i="19"/>
  <c r="I673" i="19"/>
  <c r="H1010" i="19"/>
  <c r="I1010" i="19"/>
  <c r="I222" i="19"/>
  <c r="H222" i="19"/>
  <c r="H324" i="19"/>
  <c r="I324" i="19"/>
  <c r="I608" i="19"/>
  <c r="H608" i="19"/>
  <c r="I452" i="19"/>
  <c r="H452" i="19"/>
  <c r="H440" i="19"/>
  <c r="I440" i="19"/>
  <c r="H880" i="19"/>
  <c r="I880" i="19"/>
  <c r="I733" i="19"/>
  <c r="H733" i="19"/>
  <c r="I691" i="19"/>
  <c r="H691" i="19"/>
  <c r="H877" i="19"/>
  <c r="I877" i="19"/>
  <c r="I913" i="19"/>
  <c r="H913" i="19"/>
  <c r="I510" i="19"/>
  <c r="H510" i="19"/>
  <c r="I385" i="19"/>
  <c r="H385" i="19"/>
  <c r="I838" i="19"/>
  <c r="H838" i="19"/>
  <c r="H935" i="19"/>
  <c r="I935" i="19"/>
  <c r="H487" i="19"/>
  <c r="I487" i="19"/>
  <c r="H981" i="19"/>
  <c r="I981" i="19"/>
  <c r="H902" i="19"/>
  <c r="I902" i="19"/>
  <c r="I141" i="19"/>
  <c r="H141" i="19"/>
  <c r="I100" i="19"/>
  <c r="H100" i="19"/>
  <c r="H825" i="19"/>
  <c r="I825" i="19"/>
  <c r="H753" i="19"/>
  <c r="I753" i="19"/>
  <c r="H316" i="19"/>
  <c r="I316" i="19"/>
  <c r="I569" i="19"/>
  <c r="H569" i="19"/>
  <c r="H104" i="19"/>
  <c r="I104" i="19"/>
  <c r="H629" i="19"/>
  <c r="I629" i="19"/>
  <c r="I312" i="19"/>
  <c r="H312" i="19"/>
  <c r="H812" i="19"/>
  <c r="I812" i="19"/>
  <c r="I498" i="19"/>
  <c r="H498" i="19"/>
  <c r="H962" i="19"/>
  <c r="I962" i="19"/>
  <c r="H689" i="19"/>
  <c r="I689" i="19"/>
  <c r="I373" i="19"/>
  <c r="H373" i="19"/>
  <c r="I783" i="19"/>
  <c r="H783" i="19"/>
  <c r="I96" i="19"/>
  <c r="H96" i="19"/>
  <c r="I317" i="19"/>
  <c r="H317" i="19"/>
  <c r="I503" i="19"/>
  <c r="H503" i="19"/>
  <c r="I698" i="19"/>
  <c r="H698" i="19"/>
  <c r="H648" i="19"/>
  <c r="I648" i="19"/>
  <c r="H719" i="19"/>
  <c r="I719" i="19"/>
  <c r="I294" i="19"/>
  <c r="H294" i="19"/>
  <c r="H146" i="19"/>
  <c r="I146" i="19"/>
  <c r="I929" i="19"/>
  <c r="H929" i="19"/>
  <c r="H716" i="19"/>
  <c r="I716" i="19"/>
  <c r="H466" i="19"/>
  <c r="I466" i="19"/>
  <c r="I844" i="19"/>
  <c r="H844" i="19"/>
  <c r="I108" i="19"/>
  <c r="H108" i="19"/>
  <c r="I217" i="19"/>
  <c r="H217" i="19"/>
  <c r="I630" i="19"/>
  <c r="H630" i="19"/>
  <c r="H322" i="19"/>
  <c r="I322" i="19"/>
  <c r="H796" i="19"/>
  <c r="I796" i="19"/>
  <c r="I597" i="19"/>
  <c r="H597" i="19"/>
  <c r="I939" i="19"/>
  <c r="H939" i="19"/>
  <c r="H721" i="19"/>
  <c r="I721" i="19"/>
  <c r="I63" i="19"/>
  <c r="H63" i="19"/>
  <c r="H889" i="19"/>
  <c r="I889" i="19"/>
  <c r="H1028" i="19"/>
  <c r="I1028" i="19"/>
  <c r="H51" i="19"/>
  <c r="I51" i="19"/>
  <c r="I453" i="19"/>
  <c r="H453" i="19"/>
  <c r="H182" i="19"/>
  <c r="I182" i="19"/>
  <c r="H917" i="19"/>
  <c r="I917" i="19"/>
  <c r="H879" i="19"/>
  <c r="I879" i="19"/>
  <c r="I188" i="19"/>
  <c r="H188" i="19"/>
  <c r="I469" i="19"/>
  <c r="H469" i="19"/>
  <c r="H773" i="19"/>
  <c r="I773" i="19"/>
  <c r="H264" i="19"/>
  <c r="I264" i="19"/>
  <c r="I251" i="19"/>
  <c r="H251" i="19"/>
  <c r="H741" i="19"/>
  <c r="I741" i="19"/>
  <c r="I554" i="19"/>
  <c r="H554" i="19"/>
  <c r="I67" i="19"/>
  <c r="H67" i="19"/>
  <c r="H678" i="19"/>
  <c r="I678" i="19"/>
  <c r="H996" i="19"/>
  <c r="I996" i="19"/>
  <c r="H546" i="19"/>
  <c r="I546" i="19"/>
  <c r="I526" i="19"/>
  <c r="H526" i="19"/>
  <c r="I767" i="19"/>
  <c r="H767" i="19"/>
  <c r="I320" i="19"/>
  <c r="H320" i="19"/>
  <c r="AD33" i="7"/>
  <c r="AD34" i="7" s="1"/>
  <c r="AD29" i="7"/>
  <c r="H780" i="19"/>
  <c r="I780" i="19"/>
  <c r="H958" i="19"/>
  <c r="I958" i="19"/>
  <c r="H827" i="19"/>
  <c r="I827" i="19"/>
  <c r="H447" i="19"/>
  <c r="I447" i="19"/>
  <c r="I105" i="19"/>
  <c r="H105" i="19"/>
  <c r="I379" i="19"/>
  <c r="H379" i="19"/>
  <c r="H641" i="19"/>
  <c r="I641" i="19"/>
  <c r="I476" i="19"/>
  <c r="H476" i="19"/>
  <c r="J476" i="19" s="1"/>
  <c r="H416" i="19"/>
  <c r="I416" i="19"/>
  <c r="H955" i="19"/>
  <c r="I955" i="19"/>
  <c r="I473" i="19"/>
  <c r="H473" i="19"/>
  <c r="I252" i="19"/>
  <c r="H252" i="19"/>
  <c r="I75" i="19"/>
  <c r="H75" i="19"/>
  <c r="I163" i="19"/>
  <c r="H163" i="19"/>
  <c r="H717" i="19"/>
  <c r="I717" i="19"/>
  <c r="I927" i="19"/>
  <c r="H927" i="19"/>
  <c r="I475" i="19"/>
  <c r="H475" i="19"/>
  <c r="H282" i="19"/>
  <c r="I282" i="19"/>
  <c r="I704" i="19"/>
  <c r="H704" i="19"/>
  <c r="I643" i="19"/>
  <c r="H643" i="19"/>
  <c r="I349" i="19"/>
  <c r="H349" i="19"/>
  <c r="H224" i="19"/>
  <c r="I224" i="19"/>
  <c r="I805" i="19"/>
  <c r="H805" i="19"/>
  <c r="I359" i="19"/>
  <c r="H359" i="19"/>
  <c r="H505" i="19"/>
  <c r="I505" i="19"/>
  <c r="F104" i="11"/>
  <c r="I268" i="19"/>
  <c r="H268" i="19"/>
  <c r="I501" i="19"/>
  <c r="H501" i="19"/>
  <c r="I866" i="19"/>
  <c r="H866" i="19"/>
  <c r="J866" i="19" s="1"/>
  <c r="H540" i="19"/>
  <c r="I540" i="19"/>
  <c r="I424" i="19"/>
  <c r="H424" i="19"/>
  <c r="I220" i="19"/>
  <c r="H220" i="19"/>
  <c r="H952" i="19"/>
  <c r="I952" i="19"/>
  <c r="H328" i="19"/>
  <c r="I328" i="19"/>
  <c r="H205" i="19"/>
  <c r="I205" i="19"/>
  <c r="I861" i="19"/>
  <c r="H861" i="19"/>
  <c r="J861" i="19" s="1"/>
  <c r="I828" i="19"/>
  <c r="H828" i="19"/>
  <c r="I366" i="19"/>
  <c r="H366" i="19"/>
  <c r="H1023" i="19"/>
  <c r="I1023" i="19"/>
  <c r="I518" i="19"/>
  <c r="H518" i="19"/>
  <c r="I519" i="19"/>
  <c r="H519" i="19"/>
  <c r="H1001" i="19"/>
  <c r="I1001" i="19"/>
  <c r="I860" i="19"/>
  <c r="H860" i="19"/>
  <c r="J860" i="19" s="1"/>
  <c r="H36" i="19"/>
  <c r="I36" i="19"/>
  <c r="H885" i="19"/>
  <c r="I885" i="19"/>
  <c r="I610" i="19"/>
  <c r="H610" i="19"/>
  <c r="H260" i="19"/>
  <c r="I260" i="19"/>
  <c r="H245" i="19"/>
  <c r="I245" i="19"/>
  <c r="H583" i="19"/>
  <c r="I583" i="19"/>
  <c r="H542" i="19"/>
  <c r="I542" i="19"/>
  <c r="H65" i="19"/>
  <c r="I65" i="19"/>
  <c r="H302" i="19"/>
  <c r="I302" i="19"/>
  <c r="H295" i="19"/>
  <c r="I295" i="19"/>
  <c r="I632" i="19"/>
  <c r="H632" i="19"/>
  <c r="H414" i="19"/>
  <c r="I414" i="19"/>
  <c r="H289" i="19"/>
  <c r="I289" i="19"/>
  <c r="H457" i="19"/>
  <c r="I457" i="19"/>
  <c r="H441" i="19"/>
  <c r="I441" i="19"/>
  <c r="I197" i="19"/>
  <c r="H197" i="19"/>
  <c r="H38" i="19"/>
  <c r="I38" i="19"/>
  <c r="H74" i="19"/>
  <c r="I74" i="19"/>
  <c r="H225" i="19"/>
  <c r="I225" i="19"/>
  <c r="I34" i="19"/>
  <c r="H34" i="19"/>
  <c r="H60" i="19"/>
  <c r="I60" i="19"/>
  <c r="H291" i="19"/>
  <c r="I291" i="19"/>
  <c r="I674" i="19"/>
  <c r="H674" i="19"/>
  <c r="J17" i="8"/>
  <c r="J27" i="8" s="1"/>
  <c r="Z56" i="7"/>
  <c r="AR75" i="7" s="1"/>
  <c r="J212" i="4" s="1"/>
  <c r="Z55" i="7"/>
  <c r="AR76" i="7" s="1"/>
  <c r="J213" i="4" s="1"/>
  <c r="H257" i="19"/>
  <c r="I257" i="19"/>
  <c r="H758" i="19"/>
  <c r="I758" i="19"/>
  <c r="I590" i="19"/>
  <c r="H590" i="19"/>
  <c r="I622" i="19"/>
  <c r="H622" i="19"/>
  <c r="J622" i="19" s="1"/>
  <c r="I398" i="19"/>
  <c r="H398" i="19"/>
  <c r="H655" i="19"/>
  <c r="I655" i="19"/>
  <c r="I90" i="19"/>
  <c r="H90" i="19"/>
  <c r="I759" i="19"/>
  <c r="H759" i="19"/>
  <c r="I843" i="19"/>
  <c r="H843" i="19"/>
  <c r="I1005" i="19"/>
  <c r="H1005" i="19"/>
  <c r="H91" i="19"/>
  <c r="I91" i="19"/>
  <c r="H862" i="19"/>
  <c r="I862" i="19"/>
  <c r="I573" i="19"/>
  <c r="H573" i="19"/>
  <c r="I68" i="19"/>
  <c r="H68" i="19"/>
  <c r="H89" i="19"/>
  <c r="I89" i="19"/>
  <c r="I946" i="19"/>
  <c r="H946" i="19"/>
  <c r="I991" i="19"/>
  <c r="H991" i="19"/>
  <c r="H454" i="19"/>
  <c r="I454" i="19"/>
  <c r="H703" i="19"/>
  <c r="I703" i="19"/>
  <c r="H347" i="19"/>
  <c r="I347" i="19"/>
  <c r="H120" i="19"/>
  <c r="I120" i="19"/>
  <c r="H598" i="19"/>
  <c r="I598" i="19"/>
  <c r="I711" i="19"/>
  <c r="H711" i="19"/>
  <c r="H822" i="19"/>
  <c r="I822" i="19"/>
  <c r="I172" i="19"/>
  <c r="H172" i="19"/>
  <c r="H530" i="19"/>
  <c r="I530" i="19"/>
  <c r="H972" i="19"/>
  <c r="I972" i="19"/>
  <c r="I495" i="19"/>
  <c r="H495" i="19"/>
  <c r="H837" i="19"/>
  <c r="I837" i="19"/>
  <c r="I1025" i="19"/>
  <c r="H1025" i="19"/>
  <c r="I422" i="19"/>
  <c r="H422" i="19"/>
  <c r="H134" i="19"/>
  <c r="I134" i="19"/>
  <c r="I439" i="19"/>
  <c r="H439" i="19"/>
  <c r="I43" i="19"/>
  <c r="H43" i="19"/>
  <c r="H249" i="19"/>
  <c r="I249" i="19"/>
  <c r="H806" i="19"/>
  <c r="I806" i="19"/>
  <c r="I778" i="19"/>
  <c r="H778" i="19"/>
  <c r="I407" i="19"/>
  <c r="H407" i="19"/>
  <c r="H871" i="19"/>
  <c r="I871" i="19"/>
  <c r="H763" i="19"/>
  <c r="I763" i="19"/>
  <c r="I915" i="19"/>
  <c r="H915" i="19"/>
  <c r="H941" i="19"/>
  <c r="I941" i="19"/>
  <c r="H193" i="19"/>
  <c r="I193" i="19"/>
  <c r="I380" i="19"/>
  <c r="H380" i="19"/>
  <c r="H27" i="11"/>
  <c r="H28" i="11" s="1"/>
  <c r="H32" i="11" s="1"/>
  <c r="I966" i="19"/>
  <c r="H966" i="19"/>
  <c r="H474" i="19"/>
  <c r="I474" i="19"/>
  <c r="I129" i="19"/>
  <c r="H129" i="19"/>
  <c r="H338" i="19"/>
  <c r="I338" i="19"/>
  <c r="H458" i="19"/>
  <c r="I458" i="19"/>
  <c r="I489" i="19"/>
  <c r="H489" i="19"/>
  <c r="I768" i="19"/>
  <c r="H768" i="19"/>
  <c r="H412" i="19"/>
  <c r="I412" i="19"/>
  <c r="I592" i="19"/>
  <c r="H592" i="19"/>
  <c r="H604" i="19"/>
  <c r="I604" i="19"/>
  <c r="H890" i="19"/>
  <c r="I890" i="19"/>
  <c r="I588" i="19"/>
  <c r="H588" i="19"/>
  <c r="I329" i="19"/>
  <c r="H329" i="19"/>
  <c r="I367" i="19"/>
  <c r="H367" i="19"/>
  <c r="H745" i="19"/>
  <c r="I745" i="19"/>
  <c r="I886" i="19"/>
  <c r="H886" i="19"/>
  <c r="H57" i="19"/>
  <c r="I57" i="19"/>
  <c r="I657" i="19"/>
  <c r="H657" i="19"/>
  <c r="H710" i="19"/>
  <c r="I710" i="19"/>
  <c r="H520" i="19"/>
  <c r="I520" i="19"/>
  <c r="I662" i="19"/>
  <c r="H662" i="19"/>
  <c r="H360" i="19"/>
  <c r="I360" i="19"/>
  <c r="I631" i="19"/>
  <c r="H631" i="19"/>
  <c r="H490" i="19"/>
  <c r="I490" i="19"/>
  <c r="H64" i="19"/>
  <c r="I64" i="19"/>
  <c r="I934" i="19"/>
  <c r="H934" i="19"/>
  <c r="I31" i="19"/>
  <c r="H31" i="19"/>
  <c r="I564" i="19"/>
  <c r="H564" i="19"/>
  <c r="H786" i="19"/>
  <c r="I786" i="19"/>
  <c r="H754" i="19"/>
  <c r="I754" i="19"/>
  <c r="H901" i="19"/>
  <c r="I901" i="19"/>
  <c r="I633" i="19"/>
  <c r="H633" i="19"/>
  <c r="I760" i="19"/>
  <c r="H760" i="19"/>
  <c r="H94" i="19"/>
  <c r="I94" i="19"/>
  <c r="I1020" i="19"/>
  <c r="H1020" i="19"/>
  <c r="I965" i="19"/>
  <c r="H965" i="19"/>
  <c r="I263" i="19"/>
  <c r="H263" i="19"/>
  <c r="H987" i="19"/>
  <c r="I987" i="19"/>
  <c r="H303" i="19"/>
  <c r="I303" i="19"/>
  <c r="I919" i="19"/>
  <c r="H919" i="19"/>
  <c r="H133" i="19"/>
  <c r="I133" i="19"/>
  <c r="I732" i="19"/>
  <c r="H732" i="19"/>
  <c r="H431" i="19"/>
  <c r="I431" i="19"/>
  <c r="H284" i="19"/>
  <c r="I284" i="19"/>
  <c r="I213" i="19"/>
  <c r="H213" i="19"/>
  <c r="H544" i="19"/>
  <c r="I544" i="19"/>
  <c r="I974" i="19"/>
  <c r="H974" i="19"/>
  <c r="I296" i="19"/>
  <c r="H296" i="19"/>
  <c r="H484" i="19"/>
  <c r="I484" i="19"/>
  <c r="I895" i="19"/>
  <c r="H895" i="19"/>
  <c r="I151" i="19"/>
  <c r="H151" i="19"/>
  <c r="I876" i="19"/>
  <c r="H876" i="19"/>
  <c r="H1012" i="19"/>
  <c r="I1012" i="19"/>
  <c r="I262" i="19"/>
  <c r="H262" i="19"/>
  <c r="I804" i="19"/>
  <c r="H804" i="19"/>
  <c r="H98" i="19"/>
  <c r="I98" i="19"/>
  <c r="I189" i="19"/>
  <c r="H189" i="19"/>
  <c r="H419" i="19"/>
  <c r="I419" i="19"/>
  <c r="I227" i="19"/>
  <c r="H227" i="19"/>
  <c r="H738" i="19"/>
  <c r="I738" i="19"/>
  <c r="H867" i="19"/>
  <c r="I867" i="19"/>
  <c r="H587" i="19"/>
  <c r="I587" i="19"/>
  <c r="H973" i="19"/>
  <c r="I973" i="19"/>
  <c r="H743" i="19"/>
  <c r="I743" i="19"/>
  <c r="I1016" i="19"/>
  <c r="H1016" i="19"/>
  <c r="H550" i="19"/>
  <c r="I550" i="19"/>
  <c r="H720" i="19"/>
  <c r="I720" i="19"/>
  <c r="H755" i="19"/>
  <c r="I755" i="19"/>
  <c r="I158" i="19"/>
  <c r="H158" i="19"/>
  <c r="H481" i="19"/>
  <c r="I481" i="19"/>
  <c r="H258" i="19"/>
  <c r="I258" i="19"/>
  <c r="H184" i="19"/>
  <c r="I184" i="19"/>
  <c r="J526" i="19" l="1"/>
  <c r="J251" i="19"/>
  <c r="J939" i="19"/>
  <c r="J844" i="19"/>
  <c r="J569" i="19"/>
  <c r="J437" i="19"/>
  <c r="J992" i="19"/>
  <c r="J725" i="19"/>
  <c r="J261" i="19"/>
  <c r="J697" i="19"/>
  <c r="J212" i="19"/>
  <c r="J119" i="19"/>
  <c r="J556" i="19"/>
  <c r="J383" i="19"/>
  <c r="J509" i="19"/>
  <c r="J746" i="19"/>
  <c r="J842" i="19"/>
  <c r="J660" i="19"/>
  <c r="J387" i="19"/>
  <c r="J242" i="19"/>
  <c r="J513" i="19"/>
  <c r="J610" i="19"/>
  <c r="J220" i="19"/>
  <c r="J227" i="19"/>
  <c r="J876" i="19"/>
  <c r="J213" i="19"/>
  <c r="J129" i="19"/>
  <c r="J453" i="19"/>
  <c r="J597" i="19"/>
  <c r="J698" i="19"/>
  <c r="J691" i="19"/>
  <c r="J222" i="19"/>
  <c r="J477" i="19"/>
  <c r="J568" i="19"/>
  <c r="J250" i="19"/>
  <c r="J59" i="19"/>
  <c r="J467" i="19"/>
  <c r="J451" i="19"/>
  <c r="J281" i="19"/>
  <c r="J824" i="19"/>
  <c r="J581" i="19"/>
  <c r="J253" i="19"/>
  <c r="J980" i="19"/>
  <c r="J878" i="19"/>
  <c r="J376" i="19"/>
  <c r="J774" i="19"/>
  <c r="J874" i="19"/>
  <c r="J870" i="19"/>
  <c r="AD36" i="7"/>
  <c r="AD37" i="7" s="1"/>
  <c r="J732" i="19"/>
  <c r="J1020" i="19"/>
  <c r="J564" i="19"/>
  <c r="J662" i="19"/>
  <c r="J367" i="19"/>
  <c r="J768" i="19"/>
  <c r="J34" i="19"/>
  <c r="J501" i="19"/>
  <c r="J404" i="19"/>
  <c r="J557" i="19"/>
  <c r="J649" i="19"/>
  <c r="J168" i="19"/>
  <c r="J472" i="19"/>
  <c r="J839" i="19"/>
  <c r="J815" i="19"/>
  <c r="J960" i="19"/>
  <c r="J686" i="19"/>
  <c r="J92" i="19"/>
  <c r="J330" i="19"/>
  <c r="J772" i="19"/>
  <c r="J323" i="19"/>
  <c r="J495" i="19"/>
  <c r="J68" i="19"/>
  <c r="J90" i="19"/>
  <c r="J473" i="19"/>
  <c r="J58" i="19"/>
  <c r="J712" i="19"/>
  <c r="J290" i="19"/>
  <c r="J915" i="19"/>
  <c r="J43" i="19"/>
  <c r="J272" i="19"/>
  <c r="J73" i="19"/>
  <c r="J464" i="19"/>
  <c r="J819" i="19"/>
  <c r="J199" i="19"/>
  <c r="J814" i="19"/>
  <c r="J715" i="19"/>
  <c r="J271" i="19"/>
  <c r="J533" i="19"/>
  <c r="J781" i="19"/>
  <c r="J236" i="19"/>
  <c r="J355" i="19"/>
  <c r="J243" i="19"/>
  <c r="J918" i="19"/>
  <c r="J642" i="19"/>
  <c r="J77" i="19"/>
  <c r="J71" i="19"/>
  <c r="J83" i="19"/>
  <c r="J370" i="19"/>
  <c r="J594" i="19"/>
  <c r="J817" i="19"/>
  <c r="J833" i="19"/>
  <c r="J171" i="19"/>
  <c r="J945" i="19"/>
  <c r="J230" i="19"/>
  <c r="J417" i="19"/>
  <c r="J269" i="19"/>
  <c r="J726" i="19"/>
  <c r="J969" i="19"/>
  <c r="J37" i="19"/>
  <c r="J416" i="19"/>
  <c r="J958" i="19"/>
  <c r="J503" i="19"/>
  <c r="J498" i="19"/>
  <c r="J733" i="19"/>
  <c r="J694" i="19"/>
  <c r="J734" i="19"/>
  <c r="J984" i="19"/>
  <c r="J993" i="19"/>
  <c r="J87" i="19"/>
  <c r="J53" i="19"/>
  <c r="J49" i="19"/>
  <c r="J811" i="19"/>
  <c r="J858" i="19"/>
  <c r="J254" i="19"/>
  <c r="J729" i="19"/>
  <c r="J351" i="19"/>
  <c r="J45" i="19"/>
  <c r="J172" i="19"/>
  <c r="J893" i="19"/>
  <c r="J616" i="19"/>
  <c r="J708" i="19"/>
  <c r="J364" i="19"/>
  <c r="J274" i="19"/>
  <c r="J794" i="19"/>
  <c r="J444" i="19"/>
  <c r="J907" i="19"/>
  <c r="J528" i="19"/>
  <c r="J305" i="19"/>
  <c r="J971" i="19"/>
  <c r="J101" i="19"/>
  <c r="J975" i="19"/>
  <c r="J483" i="19"/>
  <c r="J349" i="19"/>
  <c r="J163" i="19"/>
  <c r="J214" i="19"/>
  <c r="J835" i="19"/>
  <c r="J247" i="19"/>
  <c r="J759" i="19"/>
  <c r="J196" i="19"/>
  <c r="J192" i="19"/>
  <c r="J955" i="19"/>
  <c r="J771" i="19"/>
  <c r="J460" i="19"/>
  <c r="J900" i="19"/>
  <c r="J162" i="19"/>
  <c r="J912" i="19"/>
  <c r="J74" i="19"/>
  <c r="J260" i="19"/>
  <c r="J952" i="19"/>
  <c r="J76" i="19"/>
  <c r="J372" i="19"/>
  <c r="J758" i="19"/>
  <c r="J392" i="19"/>
  <c r="J130" i="19"/>
  <c r="J234" i="19"/>
  <c r="J52" i="19"/>
  <c r="J646" i="19"/>
  <c r="J39" i="19"/>
  <c r="J382" i="19"/>
  <c r="J890" i="19"/>
  <c r="J847" i="19"/>
  <c r="J191" i="19"/>
  <c r="J749" i="19"/>
  <c r="J943" i="19"/>
  <c r="J574" i="19"/>
  <c r="J930" i="19"/>
  <c r="J468" i="19"/>
  <c r="J787" i="19"/>
  <c r="J50" i="19"/>
  <c r="J720" i="19"/>
  <c r="J544" i="19"/>
  <c r="J600" i="19"/>
  <c r="J186" i="19"/>
  <c r="J849" i="19"/>
  <c r="J434" i="19"/>
  <c r="J831" i="19"/>
  <c r="J868" i="19"/>
  <c r="J81" i="19"/>
  <c r="J891" i="19"/>
  <c r="J615" i="19"/>
  <c r="J738" i="19"/>
  <c r="J1012" i="19"/>
  <c r="J303" i="19"/>
  <c r="J64" i="19"/>
  <c r="J338" i="19"/>
  <c r="J573" i="19"/>
  <c r="J449" i="19"/>
  <c r="J116" i="19"/>
  <c r="J262" i="19"/>
  <c r="J974" i="19"/>
  <c r="J919" i="19"/>
  <c r="J760" i="19"/>
  <c r="J934" i="19"/>
  <c r="J588" i="19"/>
  <c r="J767" i="19"/>
  <c r="J108" i="19"/>
  <c r="J373" i="19"/>
  <c r="J913" i="19"/>
  <c r="J608" i="19"/>
  <c r="J525" i="19"/>
  <c r="J82" i="19"/>
  <c r="J511" i="19"/>
  <c r="J990" i="19"/>
  <c r="J834" i="19"/>
  <c r="J223" i="19"/>
  <c r="J354" i="19"/>
  <c r="J140" i="19"/>
  <c r="J226" i="19"/>
  <c r="J562" i="19"/>
  <c r="J492" i="19"/>
  <c r="J425" i="19"/>
  <c r="J653" i="19"/>
  <c r="J115" i="19"/>
  <c r="J266" i="19"/>
  <c r="J204" i="19"/>
  <c r="J1015" i="19"/>
  <c r="J200" i="19"/>
  <c r="J894" i="19"/>
  <c r="J656" i="19"/>
  <c r="J313" i="19"/>
  <c r="J730" i="19"/>
  <c r="J409" i="19"/>
  <c r="J277" i="19"/>
  <c r="J661" i="19"/>
  <c r="J522" i="19"/>
  <c r="J44" i="19"/>
  <c r="J695" i="19"/>
  <c r="J1007" i="19"/>
  <c r="J445" i="19"/>
  <c r="J375" i="19"/>
  <c r="J78" i="19"/>
  <c r="J551" i="19"/>
  <c r="J256" i="19"/>
  <c r="J922" i="19"/>
  <c r="J914" i="19"/>
  <c r="J789" i="19"/>
  <c r="J470" i="19"/>
  <c r="J177" i="19"/>
  <c r="J735" i="19"/>
  <c r="J684" i="19"/>
  <c r="J676" i="19"/>
  <c r="J136" i="19"/>
  <c r="J916" i="19"/>
  <c r="J718" i="19"/>
  <c r="J954" i="19"/>
  <c r="J390" i="19"/>
  <c r="J535" i="19"/>
  <c r="J377" i="19"/>
  <c r="J865" i="19"/>
  <c r="J800" i="19"/>
  <c r="J286" i="19"/>
  <c r="J54" i="19"/>
  <c r="J267" i="19"/>
  <c r="J873" i="19"/>
  <c r="J438" i="19"/>
  <c r="J165" i="19"/>
  <c r="J924" i="19"/>
  <c r="J852" i="19"/>
  <c r="J439" i="19"/>
  <c r="J398" i="19"/>
  <c r="J302" i="19"/>
  <c r="J885" i="19"/>
  <c r="J179" i="19"/>
  <c r="J770" i="19"/>
  <c r="J430" i="19"/>
  <c r="J818" i="19"/>
  <c r="J421" i="19"/>
  <c r="J896" i="19"/>
  <c r="J998" i="19"/>
  <c r="J613" i="19"/>
  <c r="J983" i="19"/>
  <c r="J851" i="19"/>
  <c r="J682" i="19"/>
  <c r="J906" i="19"/>
  <c r="J977" i="19"/>
  <c r="J345" i="19"/>
  <c r="J863" i="19"/>
  <c r="J816" i="19"/>
  <c r="J139" i="19"/>
  <c r="J344" i="19"/>
  <c r="J356" i="19"/>
  <c r="J548" i="19"/>
  <c r="J219" i="19"/>
  <c r="J650" i="19"/>
  <c r="J740" i="19"/>
  <c r="J566" i="19"/>
  <c r="J429" i="19"/>
  <c r="J427" i="19"/>
  <c r="J178" i="19"/>
  <c r="J300" i="19"/>
  <c r="J586" i="19"/>
  <c r="J337" i="19"/>
  <c r="J419" i="19"/>
  <c r="J754" i="19"/>
  <c r="J441" i="19"/>
  <c r="J36" i="19"/>
  <c r="J864" i="19"/>
  <c r="J154" i="19"/>
  <c r="J936" i="19"/>
  <c r="J428" i="19"/>
  <c r="J572" i="19"/>
  <c r="J463" i="19"/>
  <c r="J517" i="19"/>
  <c r="J743" i="19"/>
  <c r="J360" i="19"/>
  <c r="J412" i="19"/>
  <c r="J322" i="19"/>
  <c r="J825" i="19"/>
  <c r="J673" i="19"/>
  <c r="J301" i="19"/>
  <c r="J238" i="19"/>
  <c r="J334" i="19"/>
  <c r="J956" i="19"/>
  <c r="J523" i="19"/>
  <c r="J228" i="19"/>
  <c r="J314" i="19"/>
  <c r="J327" i="19"/>
  <c r="J259" i="19"/>
  <c r="J988" i="19"/>
  <c r="J558" i="19"/>
  <c r="J560" i="19"/>
  <c r="J41" i="19"/>
  <c r="J333" i="19"/>
  <c r="J752" i="19"/>
  <c r="J736" i="19"/>
  <c r="J1027" i="19"/>
  <c r="J795" i="19"/>
  <c r="J731" i="19"/>
  <c r="J502" i="19"/>
  <c r="J933" i="19"/>
  <c r="J801" i="19"/>
  <c r="J709" i="19"/>
  <c r="J1030" i="19"/>
  <c r="J647" i="19"/>
  <c r="J643" i="19"/>
  <c r="J75" i="19"/>
  <c r="J379" i="19"/>
  <c r="J889" i="19"/>
  <c r="J146" i="19"/>
  <c r="J440" i="19"/>
  <c r="J840" i="19"/>
  <c r="J612" i="19"/>
  <c r="J836" i="19"/>
  <c r="J702" i="19"/>
  <c r="J606" i="19"/>
  <c r="J365" i="19"/>
  <c r="J97" i="19"/>
  <c r="J545" i="19"/>
  <c r="J194" i="19"/>
  <c r="J42" i="19"/>
  <c r="J636" i="19"/>
  <c r="J159" i="19"/>
  <c r="J297" i="19"/>
  <c r="J246" i="19"/>
  <c r="J813" i="19"/>
  <c r="J46" i="19"/>
  <c r="J288" i="19"/>
  <c r="J418" i="19"/>
  <c r="J432" i="19"/>
  <c r="J507" i="19"/>
  <c r="J591" i="19"/>
  <c r="J173" i="19"/>
  <c r="J248" i="19"/>
  <c r="J897" i="19"/>
  <c r="J88" i="19"/>
  <c r="J549" i="19"/>
  <c r="J827" i="19"/>
  <c r="J184" i="19"/>
  <c r="J284" i="19"/>
  <c r="J474" i="19"/>
  <c r="J291" i="19"/>
  <c r="J65" i="19"/>
  <c r="J540" i="19"/>
  <c r="J898" i="19"/>
  <c r="J553" i="19"/>
  <c r="J985" i="19"/>
  <c r="J888" i="19"/>
  <c r="J1013" i="19"/>
  <c r="J346" i="19"/>
  <c r="J908" i="19"/>
  <c r="J350" i="19"/>
  <c r="J258" i="19"/>
  <c r="J431" i="19"/>
  <c r="J786" i="19"/>
  <c r="J745" i="19"/>
  <c r="J678" i="19"/>
  <c r="J1028" i="19"/>
  <c r="J812" i="19"/>
  <c r="J880" i="19"/>
  <c r="J145" i="19"/>
  <c r="J692" i="19"/>
  <c r="J1011" i="19"/>
  <c r="J195" i="19"/>
  <c r="J504" i="19"/>
  <c r="J809" i="19"/>
  <c r="J1018" i="19"/>
  <c r="J539" i="19"/>
  <c r="J822" i="19"/>
  <c r="J106" i="19"/>
  <c r="J278" i="19"/>
  <c r="J62" i="19"/>
  <c r="J170" i="19"/>
  <c r="J331" i="19"/>
  <c r="J208" i="19"/>
  <c r="J203" i="19"/>
  <c r="J155" i="19"/>
  <c r="J728" i="19"/>
  <c r="J343" i="19"/>
  <c r="J788" i="19"/>
  <c r="J99" i="19"/>
  <c r="J925" i="19"/>
  <c r="J308" i="19"/>
  <c r="J617" i="19"/>
  <c r="J310" i="19"/>
  <c r="J607" i="19"/>
  <c r="J158" i="19"/>
  <c r="J804" i="19"/>
  <c r="J296" i="19"/>
  <c r="J31" i="19"/>
  <c r="J329" i="19"/>
  <c r="J489" i="19"/>
  <c r="J519" i="19"/>
  <c r="J268" i="19"/>
  <c r="J320" i="19"/>
  <c r="J554" i="19"/>
  <c r="J63" i="19"/>
  <c r="J217" i="19"/>
  <c r="J294" i="19"/>
  <c r="J783" i="19"/>
  <c r="J141" i="19"/>
  <c r="J510" i="19"/>
  <c r="J452" i="19"/>
  <c r="J399" i="19"/>
  <c r="J577" i="19"/>
  <c r="J357" i="19"/>
  <c r="J628" i="19"/>
  <c r="J152" i="19"/>
  <c r="J779" i="19"/>
  <c r="J496" i="19"/>
  <c r="J672" i="19"/>
  <c r="J953" i="19"/>
  <c r="J693" i="19"/>
  <c r="J478" i="19"/>
  <c r="J381" i="19"/>
  <c r="J506" i="19"/>
  <c r="J270" i="19"/>
  <c r="J690" i="19"/>
  <c r="J1004" i="19"/>
  <c r="J138" i="19"/>
  <c r="J211" i="19"/>
  <c r="J761" i="19"/>
  <c r="C41" i="11"/>
  <c r="C44" i="11" s="1"/>
  <c r="H34" i="11"/>
  <c r="J225" i="19"/>
  <c r="J850" i="19"/>
  <c r="J249" i="19"/>
  <c r="J741" i="19"/>
  <c r="J458" i="19"/>
  <c r="J153" i="19"/>
  <c r="J167" i="19"/>
  <c r="J941" i="19"/>
  <c r="J571" i="19"/>
  <c r="J189" i="19"/>
  <c r="J895" i="19"/>
  <c r="J965" i="19"/>
  <c r="J966" i="19"/>
  <c r="J763" i="19"/>
  <c r="J530" i="19"/>
  <c r="J703" i="19"/>
  <c r="J862" i="19"/>
  <c r="J828" i="19"/>
  <c r="J805" i="19"/>
  <c r="J927" i="19"/>
  <c r="J546" i="19"/>
  <c r="J264" i="19"/>
  <c r="J466" i="19"/>
  <c r="J962" i="19"/>
  <c r="J316" i="19"/>
  <c r="J487" i="19"/>
  <c r="J826" i="19"/>
  <c r="J747" i="19"/>
  <c r="J361" i="19"/>
  <c r="J500" i="19"/>
  <c r="J625" i="19"/>
  <c r="J401" i="19"/>
  <c r="J909" i="19"/>
  <c r="J634" i="19"/>
  <c r="J240" i="19"/>
  <c r="J979" i="19"/>
  <c r="J122" i="19"/>
  <c r="J685" i="19"/>
  <c r="J393" i="19"/>
  <c r="J1022" i="19"/>
  <c r="J857" i="19"/>
  <c r="J994" i="19"/>
  <c r="J276" i="19"/>
  <c r="J107" i="19"/>
  <c r="J206" i="19"/>
  <c r="J456" i="19"/>
  <c r="J1024" i="19"/>
  <c r="J899" i="19"/>
  <c r="J611" i="19"/>
  <c r="J1014" i="19"/>
  <c r="J358" i="19"/>
  <c r="J596" i="19"/>
  <c r="J374" i="19"/>
  <c r="J854" i="19"/>
  <c r="J283" i="19"/>
  <c r="J959" i="19"/>
  <c r="J137" i="19"/>
  <c r="J706" i="19"/>
  <c r="J576" i="19"/>
  <c r="J978" i="19"/>
  <c r="J995" i="19"/>
  <c r="J932" i="19"/>
  <c r="J459" i="19"/>
  <c r="J884" i="19"/>
  <c r="J578" i="19"/>
  <c r="J765" i="19"/>
  <c r="J410" i="19"/>
  <c r="J997" i="19"/>
  <c r="J668" i="19"/>
  <c r="J666" i="19"/>
  <c r="J663" i="19"/>
  <c r="J378" i="19"/>
  <c r="J707" i="19"/>
  <c r="J480" i="19"/>
  <c r="J724" i="19"/>
  <c r="J114" i="19"/>
  <c r="J362" i="19"/>
  <c r="J751" i="19"/>
  <c r="J773" i="19"/>
  <c r="J51" i="19"/>
  <c r="J796" i="19"/>
  <c r="J716" i="19"/>
  <c r="J753" i="19"/>
  <c r="J935" i="19"/>
  <c r="J1010" i="19"/>
  <c r="J491" i="19"/>
  <c r="J713" i="19"/>
  <c r="J135" i="19"/>
  <c r="J699" i="19"/>
  <c r="J559" i="19"/>
  <c r="J521" i="19"/>
  <c r="J832" i="19"/>
  <c r="J887" i="19"/>
  <c r="J93" i="19"/>
  <c r="J910" i="19"/>
  <c r="J624" i="19"/>
  <c r="J784" i="19"/>
  <c r="J103" i="19"/>
  <c r="J538" i="19"/>
  <c r="AF34" i="7"/>
  <c r="L37" i="9" s="1"/>
  <c r="L14" i="9"/>
  <c r="L15" i="9" s="1"/>
  <c r="J1026" i="19"/>
  <c r="J640" i="19"/>
  <c r="J402" i="19"/>
  <c r="J793" i="19"/>
  <c r="J534" i="19"/>
  <c r="J848" i="19"/>
  <c r="J798" i="19"/>
  <c r="J481" i="19"/>
  <c r="J973" i="19"/>
  <c r="J98" i="19"/>
  <c r="J484" i="19"/>
  <c r="J407" i="19"/>
  <c r="J422" i="19"/>
  <c r="J991" i="19"/>
  <c r="J1005" i="19"/>
  <c r="J590" i="19"/>
  <c r="J60" i="19"/>
  <c r="J457" i="19"/>
  <c r="J542" i="19"/>
  <c r="J224" i="19"/>
  <c r="J717" i="19"/>
  <c r="J780" i="19"/>
  <c r="J469" i="19"/>
  <c r="J929" i="19"/>
  <c r="J317" i="19"/>
  <c r="J838" i="19"/>
  <c r="J875" i="19"/>
  <c r="J859" i="19"/>
  <c r="J176" i="19"/>
  <c r="J531" i="19"/>
  <c r="J516" i="19"/>
  <c r="J497" i="19"/>
  <c r="J215" i="19"/>
  <c r="J766" i="19"/>
  <c r="J442" i="19"/>
  <c r="J423" i="19"/>
  <c r="J926" i="19"/>
  <c r="J336" i="19"/>
  <c r="J565" i="19"/>
  <c r="J904" i="19"/>
  <c r="J810" i="19"/>
  <c r="J582" i="19"/>
  <c r="J727" i="19"/>
  <c r="J47" i="19"/>
  <c r="J688" i="19"/>
  <c r="J563" i="19"/>
  <c r="J635" i="19"/>
  <c r="J797" i="19"/>
  <c r="J785" i="19"/>
  <c r="J911" i="19"/>
  <c r="J512" i="19"/>
  <c r="J386" i="19"/>
  <c r="J61" i="19"/>
  <c r="J543" i="19"/>
  <c r="J174" i="19"/>
  <c r="J537" i="19"/>
  <c r="J705" i="19"/>
  <c r="J723" i="19"/>
  <c r="J150" i="19"/>
  <c r="J198" i="19"/>
  <c r="J169" i="19"/>
  <c r="J403" i="19"/>
  <c r="J164" i="19"/>
  <c r="J920" i="19"/>
  <c r="J400" i="19"/>
  <c r="J426" i="19"/>
  <c r="J949" i="19"/>
  <c r="J579" i="19"/>
  <c r="J321" i="19"/>
  <c r="J315" i="19"/>
  <c r="J700" i="19"/>
  <c r="J486" i="19"/>
  <c r="J742" i="19"/>
  <c r="J319" i="19"/>
  <c r="J961" i="19"/>
  <c r="J937" i="19"/>
  <c r="J769" i="19"/>
  <c r="J117" i="19"/>
  <c r="J665" i="19"/>
  <c r="J241" i="19"/>
  <c r="J397" i="19"/>
  <c r="J714" i="19"/>
  <c r="J134" i="19"/>
  <c r="J587" i="19"/>
  <c r="J133" i="19"/>
  <c r="J94" i="19"/>
  <c r="J520" i="19"/>
  <c r="J380" i="19"/>
  <c r="J778" i="19"/>
  <c r="J1025" i="19"/>
  <c r="J711" i="19"/>
  <c r="J946" i="19"/>
  <c r="J843" i="19"/>
  <c r="J289" i="19"/>
  <c r="J583" i="19"/>
  <c r="J1001" i="19"/>
  <c r="J205" i="19"/>
  <c r="J641" i="19"/>
  <c r="J67" i="19"/>
  <c r="J188" i="19"/>
  <c r="J630" i="19"/>
  <c r="J96" i="19"/>
  <c r="J312" i="19"/>
  <c r="J100" i="19"/>
  <c r="J385" i="19"/>
  <c r="J950" i="19"/>
  <c r="J181" i="19"/>
  <c r="J110" i="19"/>
  <c r="J40" i="19"/>
  <c r="J580" i="19"/>
  <c r="J584" i="19"/>
  <c r="J1003" i="19"/>
  <c r="J807" i="19"/>
  <c r="J448" i="19"/>
  <c r="J968" i="19"/>
  <c r="J126" i="19"/>
  <c r="J95" i="19"/>
  <c r="J659" i="19"/>
  <c r="J567" i="19"/>
  <c r="J132" i="19"/>
  <c r="AE36" i="7"/>
  <c r="J658" i="19"/>
  <c r="J1002" i="19"/>
  <c r="J443" i="19"/>
  <c r="J903" i="19"/>
  <c r="J335" i="19"/>
  <c r="J113" i="19"/>
  <c r="J123" i="19"/>
  <c r="J494" i="19"/>
  <c r="J221" i="19"/>
  <c r="J265" i="19"/>
  <c r="J339" i="19"/>
  <c r="J575" i="19"/>
  <c r="J143" i="19"/>
  <c r="J970" i="19"/>
  <c r="J352" i="19"/>
  <c r="J986" i="19"/>
  <c r="J905" i="19"/>
  <c r="J846" i="19"/>
  <c r="J180" i="19"/>
  <c r="J353" i="19"/>
  <c r="J102" i="19"/>
  <c r="J109" i="19"/>
  <c r="J436" i="19"/>
  <c r="J651" i="19"/>
  <c r="J201" i="19"/>
  <c r="J465" i="19"/>
  <c r="J679" i="19"/>
  <c r="J1017" i="19"/>
  <c r="J175" i="19"/>
  <c r="J670" i="19"/>
  <c r="J675" i="19"/>
  <c r="J595" i="19"/>
  <c r="J149" i="19"/>
  <c r="J637" i="19"/>
  <c r="J964" i="19"/>
  <c r="J32" i="19"/>
  <c r="J414" i="19"/>
  <c r="J508" i="19"/>
  <c r="J938" i="19"/>
  <c r="J72" i="19"/>
  <c r="J593" i="19"/>
  <c r="J461" i="19"/>
  <c r="J33" i="19"/>
  <c r="J748" i="19"/>
  <c r="J1019" i="19"/>
  <c r="J69" i="19"/>
  <c r="J298" i="19"/>
  <c r="J841" i="19"/>
  <c r="J757" i="19"/>
  <c r="J626" i="19"/>
  <c r="J944" i="19"/>
  <c r="J967" i="19"/>
  <c r="J287" i="19"/>
  <c r="J853" i="19"/>
  <c r="J318" i="19"/>
  <c r="J654" i="19"/>
  <c r="J86" i="19"/>
  <c r="J408" i="19"/>
  <c r="J820" i="19"/>
  <c r="J471" i="19"/>
  <c r="J756" i="19"/>
  <c r="J157" i="19"/>
  <c r="J202" i="19"/>
  <c r="J368" i="19"/>
  <c r="J121" i="19"/>
  <c r="J633" i="19"/>
  <c r="J657" i="19"/>
  <c r="J193" i="19"/>
  <c r="J806" i="19"/>
  <c r="J837" i="19"/>
  <c r="J598" i="19"/>
  <c r="J89" i="19"/>
  <c r="J257" i="19"/>
  <c r="J632" i="19"/>
  <c r="J518" i="19"/>
  <c r="J704" i="19"/>
  <c r="J252" i="19"/>
  <c r="J105" i="19"/>
  <c r="J879" i="19"/>
  <c r="J629" i="19"/>
  <c r="J855" i="19"/>
  <c r="J737" i="19"/>
  <c r="J237" i="19"/>
  <c r="J273" i="19"/>
  <c r="J609" i="19"/>
  <c r="J161" i="19"/>
  <c r="J529" i="19"/>
  <c r="J532" i="19"/>
  <c r="J233" i="19"/>
  <c r="J750" i="19"/>
  <c r="J947" i="19"/>
  <c r="J388" i="19"/>
  <c r="J166" i="19"/>
  <c r="J792" i="19"/>
  <c r="J942" i="19"/>
  <c r="J342" i="19"/>
  <c r="J951" i="19"/>
  <c r="J570" i="19"/>
  <c r="J420" i="19"/>
  <c r="J363" i="19"/>
  <c r="J664" i="19"/>
  <c r="J683" i="19"/>
  <c r="J585" i="19"/>
  <c r="J803" i="19"/>
  <c r="J389" i="19"/>
  <c r="J415" i="19"/>
  <c r="J976" i="19"/>
  <c r="J396" i="19"/>
  <c r="J618" i="19"/>
  <c r="J218" i="19"/>
  <c r="J112" i="19"/>
  <c r="J999" i="19"/>
  <c r="J669" i="19"/>
  <c r="J285" i="19"/>
  <c r="J982" i="19"/>
  <c r="J144" i="19"/>
  <c r="J931" i="19"/>
  <c r="J405" i="19"/>
  <c r="J923" i="19"/>
  <c r="J623" i="19"/>
  <c r="J394" i="19"/>
  <c r="J207" i="19"/>
  <c r="J555" i="19"/>
  <c r="J775" i="19"/>
  <c r="J216" i="19"/>
  <c r="J55" i="19"/>
  <c r="J433" i="19"/>
  <c r="J883" i="19"/>
  <c r="J762" i="19"/>
  <c r="J696" i="19"/>
  <c r="J232" i="19"/>
  <c r="AF37" i="7"/>
  <c r="AF54" i="7" s="1"/>
  <c r="AT73" i="7"/>
  <c r="L210" i="4" s="1"/>
  <c r="H7" i="12"/>
  <c r="H12" i="12" s="1"/>
  <c r="AF42" i="7"/>
  <c r="J454" i="19"/>
  <c r="J755" i="19"/>
  <c r="J710" i="19"/>
  <c r="J245" i="19"/>
  <c r="J552" i="19"/>
  <c r="J280" i="19"/>
  <c r="J160" i="19"/>
  <c r="J120" i="19"/>
  <c r="J721" i="19"/>
  <c r="J902" i="19"/>
  <c r="J371" i="19"/>
  <c r="J446" i="19"/>
  <c r="J1006" i="19"/>
  <c r="J808" i="19"/>
  <c r="J527" i="19"/>
  <c r="J830" i="19"/>
  <c r="J326" i="19"/>
  <c r="J435" i="19"/>
  <c r="J989" i="19"/>
  <c r="J488" i="19"/>
  <c r="J845" i="19"/>
  <c r="J550" i="19"/>
  <c r="J901" i="19"/>
  <c r="J57" i="19"/>
  <c r="J38" i="19"/>
  <c r="J1023" i="19"/>
  <c r="J282" i="19"/>
  <c r="J791" i="19"/>
  <c r="J802" i="19"/>
  <c r="J148" i="19"/>
  <c r="J299" i="19"/>
  <c r="J821" i="19"/>
  <c r="J603" i="19"/>
  <c r="J921" i="19"/>
  <c r="J309" i="19"/>
  <c r="J183" i="19"/>
  <c r="J948" i="19"/>
  <c r="J85" i="19"/>
  <c r="J667" i="19"/>
  <c r="J239" i="19"/>
  <c r="J384" i="19"/>
  <c r="J882" i="19"/>
  <c r="J395" i="19"/>
  <c r="J306" i="19"/>
  <c r="J493" i="19"/>
  <c r="J332" i="19"/>
  <c r="J111" i="19"/>
  <c r="J479" i="19"/>
  <c r="J79" i="19"/>
  <c r="J645" i="19"/>
  <c r="J348" i="19"/>
  <c r="J524" i="19"/>
  <c r="J547" i="19"/>
  <c r="J871" i="19"/>
  <c r="J91" i="19"/>
  <c r="J996" i="19"/>
  <c r="AS74" i="7"/>
  <c r="K211" i="4" s="1"/>
  <c r="AC43" i="7"/>
  <c r="AC45" i="7" s="1"/>
  <c r="J867" i="19"/>
  <c r="J328" i="19"/>
  <c r="J304" i="19"/>
  <c r="J722" i="19"/>
  <c r="J536" i="19"/>
  <c r="J917" i="19"/>
  <c r="J719" i="19"/>
  <c r="J104" i="19"/>
  <c r="J605" i="19"/>
  <c r="J455" i="19"/>
  <c r="J210" i="19"/>
  <c r="J156" i="19"/>
  <c r="J687" i="19"/>
  <c r="J823" i="19"/>
  <c r="J869" i="19"/>
  <c r="J777" i="19"/>
  <c r="J84" i="19"/>
  <c r="J307" i="19"/>
  <c r="J142" i="19"/>
  <c r="J764" i="19"/>
  <c r="J671" i="19"/>
  <c r="J413" i="19"/>
  <c r="J987" i="19"/>
  <c r="J490" i="19"/>
  <c r="J604" i="19"/>
  <c r="J34" i="9"/>
  <c r="K33" i="9"/>
  <c r="J226" i="4"/>
  <c r="J227" i="4" s="1"/>
  <c r="Z60" i="7"/>
  <c r="J30" i="8"/>
  <c r="J32" i="8" s="1"/>
  <c r="J295" i="19"/>
  <c r="J505" i="19"/>
  <c r="J447" i="19"/>
  <c r="J279" i="19"/>
  <c r="J744" i="19"/>
  <c r="J872" i="19"/>
  <c r="J275" i="19"/>
  <c r="J124" i="19"/>
  <c r="J957" i="19"/>
  <c r="J639" i="19"/>
  <c r="J292" i="19"/>
  <c r="J485" i="19"/>
  <c r="J48" i="19"/>
  <c r="J1016" i="19"/>
  <c r="J151" i="19"/>
  <c r="J263" i="19"/>
  <c r="J631" i="19"/>
  <c r="J886" i="19"/>
  <c r="J592" i="19"/>
  <c r="J972" i="19"/>
  <c r="J347" i="19"/>
  <c r="J655" i="19"/>
  <c r="J674" i="19"/>
  <c r="J197" i="19"/>
  <c r="J366" i="19"/>
  <c r="J424" i="19"/>
  <c r="J359" i="19"/>
  <c r="J475" i="19"/>
  <c r="J182" i="19"/>
  <c r="J648" i="19"/>
  <c r="J689" i="19"/>
  <c r="J981" i="19"/>
  <c r="J877" i="19"/>
  <c r="J324" i="19"/>
  <c r="J187" i="19"/>
  <c r="J856" i="19"/>
  <c r="J128" i="19"/>
  <c r="J940" i="19"/>
  <c r="J244" i="19"/>
  <c r="J499" i="19"/>
  <c r="J369" i="19"/>
  <c r="J341" i="19"/>
  <c r="J627" i="19"/>
  <c r="J185" i="19"/>
  <c r="J515" i="19"/>
  <c r="J70" i="19"/>
  <c r="J406" i="19"/>
  <c r="J561" i="19"/>
  <c r="J621" i="19"/>
  <c r="I33" i="8"/>
  <c r="W58" i="7"/>
  <c r="W57" i="7"/>
  <c r="J776" i="19"/>
  <c r="J614" i="19"/>
  <c r="J599" i="19"/>
  <c r="J56" i="19"/>
  <c r="J652" i="19"/>
  <c r="J881" i="19"/>
  <c r="J125" i="19"/>
  <c r="J1008" i="19"/>
  <c r="J190" i="19"/>
  <c r="J589" i="19"/>
  <c r="J1029" i="19"/>
  <c r="J514" i="19"/>
  <c r="J963" i="19"/>
  <c r="J681" i="19"/>
  <c r="J620" i="19"/>
  <c r="J293" i="19"/>
  <c r="J541" i="19"/>
  <c r="J147" i="19"/>
  <c r="J799" i="19"/>
  <c r="J892" i="19"/>
  <c r="J311" i="19"/>
  <c r="J131" i="19"/>
  <c r="J701" i="19"/>
  <c r="J231" i="19"/>
  <c r="J601" i="19"/>
  <c r="J790" i="19"/>
  <c r="J127" i="19"/>
  <c r="J680" i="19"/>
  <c r="J118" i="19"/>
  <c r="J1021" i="19"/>
  <c r="J411" i="19"/>
  <c r="J462" i="19"/>
  <c r="J1000" i="19"/>
  <c r="AD42" i="7" l="1"/>
  <c r="C21" i="19"/>
  <c r="C23" i="19"/>
  <c r="C26" i="19"/>
  <c r="L40" i="9"/>
  <c r="L224" i="4"/>
  <c r="C17" i="19"/>
  <c r="J33" i="8"/>
  <c r="Z58" i="7"/>
  <c r="Z57" i="7"/>
  <c r="C18" i="19"/>
  <c r="K27" i="9"/>
  <c r="K29" i="9" s="1"/>
  <c r="K32" i="9" s="1"/>
  <c r="K9" i="8"/>
  <c r="H14" i="12"/>
  <c r="H18" i="12" s="1"/>
  <c r="C23" i="12" s="1"/>
  <c r="C21" i="12"/>
  <c r="C22" i="12" s="1"/>
  <c r="AT74" i="7"/>
  <c r="L211" i="4" s="1"/>
  <c r="AF43" i="7"/>
  <c r="AF45" i="7" s="1"/>
  <c r="L27" i="9" s="1"/>
  <c r="L29" i="9" s="1"/>
  <c r="L32" i="9" s="1"/>
  <c r="C25" i="19"/>
  <c r="C20" i="19"/>
  <c r="L39" i="9"/>
  <c r="L38" i="9"/>
  <c r="L225" i="4"/>
  <c r="C19" i="19"/>
  <c r="C22" i="19"/>
  <c r="G103" i="11"/>
  <c r="H37" i="11"/>
  <c r="AE42" i="7"/>
  <c r="AE37" i="7"/>
  <c r="C52" i="11"/>
  <c r="C46" i="11"/>
  <c r="C69" i="11" s="1"/>
  <c r="C25" i="12" l="1"/>
  <c r="C26" i="12" s="1"/>
  <c r="D30" i="17" s="1"/>
  <c r="C42" i="17" s="1"/>
  <c r="E42" i="17" s="1"/>
  <c r="E30" i="17"/>
  <c r="C51" i="12"/>
  <c r="L9" i="8"/>
  <c r="L11" i="8" s="1"/>
  <c r="K11" i="8"/>
  <c r="G104" i="11"/>
  <c r="C68" i="11"/>
  <c r="C70" i="11" s="1"/>
  <c r="L44" i="19"/>
  <c r="L37" i="19"/>
  <c r="L49" i="19"/>
  <c r="L50" i="19"/>
  <c r="L48" i="19"/>
  <c r="L47" i="19"/>
  <c r="L40" i="19"/>
  <c r="L42" i="19"/>
  <c r="L35" i="19"/>
  <c r="L41" i="19"/>
  <c r="L34" i="19"/>
  <c r="L33" i="19"/>
  <c r="L39" i="19"/>
  <c r="L43" i="19"/>
  <c r="L32" i="19"/>
  <c r="L45" i="19"/>
  <c r="L31" i="19"/>
  <c r="L36" i="19"/>
  <c r="L38" i="19"/>
  <c r="L46" i="19"/>
  <c r="C30" i="17" l="1"/>
  <c r="C65" i="17" s="1"/>
  <c r="C260" i="4" s="1"/>
  <c r="M38" i="19"/>
  <c r="D289" i="4" s="1"/>
  <c r="C289" i="4"/>
  <c r="C288" i="4"/>
  <c r="M37" i="19"/>
  <c r="D288" i="4" s="1"/>
  <c r="M32" i="19"/>
  <c r="D283" i="4" s="1"/>
  <c r="C283" i="4"/>
  <c r="C295" i="4"/>
  <c r="M44" i="19"/>
  <c r="D295" i="4" s="1"/>
  <c r="M43" i="19"/>
  <c r="D294" i="4" s="1"/>
  <c r="C294" i="4"/>
  <c r="C92" i="11"/>
  <c r="C7" i="17"/>
  <c r="C11" i="17" s="1"/>
  <c r="C81" i="11"/>
  <c r="C83" i="11" s="1"/>
  <c r="C73" i="11"/>
  <c r="C93" i="11"/>
  <c r="C91" i="11"/>
  <c r="C95" i="11"/>
  <c r="M41" i="19"/>
  <c r="D292" i="4" s="1"/>
  <c r="C292" i="4"/>
  <c r="M48" i="19"/>
  <c r="D299" i="4" s="1"/>
  <c r="C299" i="4"/>
  <c r="M49" i="19"/>
  <c r="D300" i="4" s="1"/>
  <c r="C300" i="4"/>
  <c r="M39" i="19"/>
  <c r="D290" i="4" s="1"/>
  <c r="C290" i="4"/>
  <c r="M34" i="19"/>
  <c r="D285" i="4" s="1"/>
  <c r="C285" i="4"/>
  <c r="M35" i="19"/>
  <c r="D286" i="4" s="1"/>
  <c r="C286" i="4"/>
  <c r="M42" i="19"/>
  <c r="D293" i="4" s="1"/>
  <c r="C293" i="4"/>
  <c r="M36" i="19"/>
  <c r="D287" i="4" s="1"/>
  <c r="C287" i="4"/>
  <c r="M40" i="19"/>
  <c r="D291" i="4" s="1"/>
  <c r="C291" i="4"/>
  <c r="D65" i="17"/>
  <c r="D260" i="4" s="1"/>
  <c r="M50" i="19"/>
  <c r="D301" i="4" s="1"/>
  <c r="C301" i="4"/>
  <c r="M31" i="19"/>
  <c r="D282" i="4" s="1"/>
  <c r="C282" i="4"/>
  <c r="M45" i="19"/>
  <c r="D296" i="4" s="1"/>
  <c r="C296" i="4"/>
  <c r="M33" i="19"/>
  <c r="D284" i="4" s="1"/>
  <c r="C284" i="4"/>
  <c r="K17" i="8"/>
  <c r="K27" i="8" s="1"/>
  <c r="AC56" i="7"/>
  <c r="AS75" i="7" s="1"/>
  <c r="K212" i="4" s="1"/>
  <c r="AC55" i="7"/>
  <c r="AS76" i="7" s="1"/>
  <c r="K213" i="4" s="1"/>
  <c r="L17" i="8"/>
  <c r="L27" i="8" s="1"/>
  <c r="AF56" i="7"/>
  <c r="AT75" i="7" s="1"/>
  <c r="L212" i="4" s="1"/>
  <c r="AF55" i="7"/>
  <c r="AT76" i="7" s="1"/>
  <c r="L213" i="4" s="1"/>
  <c r="M46" i="19"/>
  <c r="D297" i="4" s="1"/>
  <c r="C297" i="4"/>
  <c r="M47" i="19"/>
  <c r="D298" i="4" s="1"/>
  <c r="C298" i="4"/>
  <c r="C71" i="11"/>
  <c r="F30" i="17" l="1"/>
  <c r="C73" i="17"/>
  <c r="C269" i="4" s="1"/>
  <c r="C22" i="17"/>
  <c r="D11" i="17"/>
  <c r="L33" i="9"/>
  <c r="K34" i="9"/>
  <c r="AC60" i="7"/>
  <c r="K226" i="4"/>
  <c r="K227" i="4" s="1"/>
  <c r="K30" i="8"/>
  <c r="K32" i="8" s="1"/>
  <c r="C75" i="11"/>
  <c r="C94" i="11"/>
  <c r="L34" i="9"/>
  <c r="AF60" i="7"/>
  <c r="L226" i="4"/>
  <c r="L227" i="4" s="1"/>
  <c r="L30" i="8"/>
  <c r="L32" i="8" s="1"/>
  <c r="K33" i="8" l="1"/>
  <c r="AC58" i="7"/>
  <c r="AC57" i="7"/>
  <c r="C24" i="17"/>
  <c r="E22" i="17"/>
  <c r="D22" i="17"/>
  <c r="E15" i="17"/>
  <c r="E13" i="17"/>
  <c r="C79" i="11"/>
  <c r="C33" i="17"/>
  <c r="C68" i="17" s="1"/>
  <c r="C263" i="4" s="1"/>
  <c r="C97" i="11"/>
  <c r="C50" i="12"/>
  <c r="E33" i="17"/>
  <c r="D33" i="17"/>
  <c r="C45" i="17" s="1"/>
  <c r="E45" i="17" s="1"/>
  <c r="C21" i="2"/>
  <c r="L33" i="8"/>
  <c r="AF58" i="7"/>
  <c r="AF57" i="7"/>
  <c r="E11" i="17"/>
  <c r="D68" i="17" l="1"/>
  <c r="D263" i="4" s="1"/>
  <c r="F33" i="17"/>
  <c r="C85" i="11"/>
  <c r="C84" i="11"/>
  <c r="C21" i="18"/>
  <c r="C22" i="18" s="1"/>
  <c r="D29" i="17"/>
  <c r="C41" i="17" s="1"/>
  <c r="E41" i="17" s="1"/>
  <c r="C50" i="17" s="1"/>
  <c r="C29" i="17"/>
  <c r="C64" i="17" s="1"/>
  <c r="C259" i="4" s="1"/>
  <c r="E29" i="17"/>
  <c r="C23" i="2"/>
  <c r="D64" i="17" l="1"/>
  <c r="D259" i="4" s="1"/>
  <c r="F29" i="17"/>
  <c r="F69" i="17"/>
  <c r="F264" i="4" s="1"/>
  <c r="F64" i="17"/>
  <c r="F259" i="4" s="1"/>
  <c r="F67" i="17"/>
  <c r="F262" i="4" s="1"/>
  <c r="F70" i="17"/>
  <c r="F265" i="4" s="1"/>
  <c r="F65" i="17"/>
  <c r="F260" i="4" s="1"/>
  <c r="F68" i="17"/>
  <c r="F263" i="4" s="1"/>
  <c r="F66" i="17"/>
  <c r="F261" i="4" s="1"/>
  <c r="C52" i="17"/>
  <c r="C24" i="2"/>
  <c r="C26" i="2" l="1"/>
  <c r="C53" i="17"/>
  <c r="C2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C7" authorId="0" shapeId="0" xr:uid="{00000000-0006-0000-0100-000001000000}">
      <text>
        <r>
          <rPr>
            <b/>
            <sz val="9"/>
            <color indexed="81"/>
            <rFont val="Tahoma"/>
            <family val="2"/>
          </rPr>
          <t xml:space="preserve">Niranjan Desai:
</t>
        </r>
        <r>
          <rPr>
            <sz val="9"/>
            <color indexed="81"/>
            <rFont val="Tahoma"/>
            <family val="2"/>
          </rPr>
          <t>The conservative case runs higher raw-material and capex intensity with volume growth at 0.70x the base rates; aggressive runs the reverse at 1.25x. Both feed the Revenue Segments, Income Statement, Balance Sheet and every valuation output downstream.</t>
        </r>
      </text>
    </comment>
    <comment ref="C14" authorId="0" shapeId="0" xr:uid="{00000000-0006-0000-0100-000002000000}">
      <text>
        <r>
          <rPr>
            <b/>
            <sz val="9"/>
            <color indexed="81"/>
            <rFont val="Tahoma"/>
            <family val="2"/>
          </rPr>
          <t xml:space="preserve">Niranjan Desai:
</t>
        </r>
        <r>
          <rPr>
            <sz val="9"/>
            <color indexed="81"/>
            <rFont val="Tahoma"/>
            <family val="2"/>
          </rPr>
          <t>DCF-led leans on intrinsic value, market-led leans on trading comparables. The asset-based and DDM legs carry zero weight in all three schemes — they bound the range, they do not set the answer.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B19" authorId="0" shapeId="0" xr:uid="{00000000-0006-0000-0700-000001000000}">
      <text>
        <r>
          <rPr>
            <b/>
            <sz val="9"/>
            <color indexed="81"/>
            <rFont val="Tahoma"/>
            <family val="2"/>
          </rPr>
          <t xml:space="preserve">Niranjan Desai:
</t>
        </r>
        <r>
          <rPr>
            <sz val="9"/>
            <color indexed="81"/>
            <rFont val="Tahoma"/>
            <family val="2"/>
          </rPr>
          <t>Source: audited standalone balance sheets via Screener.in / BSE XBRL. The split of the reported other-assets and investments totals into components is an analyst estimate that sums back to the reported totals exactly.</t>
        </r>
      </text>
    </comment>
    <comment ref="B27" authorId="0" shapeId="0" xr:uid="{00000000-0006-0000-0700-000002000000}">
      <text>
        <r>
          <rPr>
            <b/>
            <sz val="9"/>
            <color indexed="81"/>
            <rFont val="Tahoma"/>
            <family val="2"/>
          </rPr>
          <t xml:space="preserve">Niranjan Desai:
</t>
        </r>
        <r>
          <rPr>
            <sz val="9"/>
            <color indexed="81"/>
            <rFont val="Tahoma"/>
            <family val="2"/>
          </rPr>
          <t>Cash accumulates through the forecast because payout is held at 18–22% with no buyback or acquisition assumed. Surplus cash does not enter FCFF so it has no effect on the DCF; it does depress forecast ROE, which is the honest consequence of an idle balance sheet.</t>
        </r>
      </text>
    </comment>
    <comment ref="C27" authorId="0" shapeId="0" xr:uid="{00000000-0006-0000-0700-000005000000}">
      <text>
        <r>
          <rPr>
            <b/>
            <sz val="9"/>
            <color indexed="81"/>
            <rFont val="Tahoma"/>
            <family val="2"/>
          </rPr>
          <t xml:space="preserve">Niranjan Desai:
</t>
        </r>
        <r>
          <rPr>
            <sz val="9"/>
            <color indexed="81"/>
            <rFont val="Tahoma"/>
            <family val="2"/>
          </rPr>
          <t>Cash is the balancing figure in forecast years, so the sheet balances by construction; the check row proves it. Borrowings are held flat after FY26 — the core auto business is close to net cash and self-funds its capex.</t>
        </r>
      </text>
    </comment>
    <comment ref="B33" authorId="0" shapeId="0" xr:uid="{00000000-0006-0000-0700-000003000000}">
      <text>
        <r>
          <rPr>
            <b/>
            <sz val="9"/>
            <color indexed="81"/>
            <rFont val="Tahoma"/>
            <family val="2"/>
          </rPr>
          <t xml:space="preserve">Niranjan Desai:
</t>
        </r>
        <r>
          <rPr>
            <sz val="9"/>
            <color indexed="81"/>
            <rFont val="Tahoma"/>
            <family val="2"/>
          </rPr>
          <t>FY22–FY25 show a ±₹1–2 cr balance residual because the published source rounds each line independently — under 0.02% of total assets, shown rather than plugged.</t>
        </r>
      </text>
    </comment>
    <comment ref="B39" authorId="0" shapeId="0" xr:uid="{00000000-0006-0000-0700-000004000000}">
      <text>
        <r>
          <rPr>
            <b/>
            <sz val="9"/>
            <color indexed="81"/>
            <rFont val="Tahoma"/>
            <family val="2"/>
          </rPr>
          <t xml:space="preserve">Niranjan Desai:
</t>
        </r>
        <r>
          <rPr>
            <sz val="9"/>
            <color indexed="81"/>
            <rFont val="Tahoma"/>
            <family val="2"/>
          </rPr>
          <t>A structurally negative cash conversion cycle of −50 to −60 days means suppliers fund working capital: growth releases cash rather than absorbing it, which lifts FCFF.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B10" authorId="0" shapeId="0" xr:uid="{00000000-0006-0000-0600-000001000000}">
      <text>
        <r>
          <rPr>
            <b/>
            <sz val="9"/>
            <color indexed="81"/>
            <rFont val="Tahoma"/>
            <family val="2"/>
          </rPr>
          <t xml:space="preserve">Niranjan Desai:
</t>
        </r>
        <r>
          <rPr>
            <sz val="9"/>
            <color indexed="81"/>
            <rFont val="Tahoma"/>
            <family val="2"/>
          </rPr>
          <t>Screener / BSE publish a single total-expenses line for the standalone entity. Material and employee cost are analyst estimates as a % of sales; other expenses is the balancing figure, so the three lines sum exactly to reported total expenditure and EBITDA ties to audited operating profit.</t>
        </r>
      </text>
    </comment>
    <comment ref="B33" authorId="0" shapeId="0" xr:uid="{00000000-0006-0000-0600-000002000000}">
      <text>
        <r>
          <rPr>
            <b/>
            <sz val="9"/>
            <color indexed="81"/>
            <rFont val="Tahoma"/>
            <family val="2"/>
          </rPr>
          <t xml:space="preserve">Niranjan Desai:
</t>
        </r>
        <r>
          <rPr>
            <sz val="9"/>
            <color indexed="81"/>
            <rFont val="Tahoma"/>
            <family val="2"/>
          </rPr>
          <t>FY22–FY26 tax expense is the difference between audited PBT and audited PAT.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B16" authorId="0" shapeId="0" xr:uid="{00000000-0006-0000-0800-000001000000}">
      <text>
        <r>
          <rPr>
            <b/>
            <sz val="9"/>
            <color indexed="81"/>
            <rFont val="Tahoma"/>
            <family val="2"/>
          </rPr>
          <t xml:space="preserve">Niranjan Desai:
</t>
        </r>
        <r>
          <rPr>
            <sz val="9"/>
            <color indexed="81"/>
            <rFont val="Tahoma"/>
            <family val="2"/>
          </rPr>
          <t>The indirect build-up is reconciled to audited CFO; the residual line captures non-cash items and timing differences the published summary does not disclose separately.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C7" authorId="0" shapeId="0" xr:uid="{00000000-0006-0000-0200-000001000000}">
      <text>
        <r>
          <rPr>
            <b/>
            <sz val="9"/>
            <color indexed="81"/>
            <rFont val="Tahoma"/>
            <family val="2"/>
          </rPr>
          <t xml:space="preserve">Niranjan Desai:
</t>
        </r>
        <r>
          <rPr>
            <sz val="9"/>
            <color indexed="81"/>
            <rFont val="Tahoma"/>
            <family val="2"/>
          </rPr>
          <t>Annual sales release, 1 Apr 2026</t>
        </r>
      </text>
    </comment>
    <comment ref="C8" authorId="0" shapeId="0" xr:uid="{00000000-0006-0000-0200-000002000000}">
      <text>
        <r>
          <rPr>
            <b/>
            <sz val="9"/>
            <color indexed="81"/>
            <rFont val="Tahoma"/>
            <family val="2"/>
          </rPr>
          <t xml:space="preserve">Niranjan Desai:
</t>
        </r>
        <r>
          <rPr>
            <sz val="9"/>
            <color indexed="81"/>
            <rFont val="Tahoma"/>
            <family val="2"/>
          </rPr>
          <t>Annual sales release, 1 Apr 2026</t>
        </r>
      </text>
    </comment>
    <comment ref="C9" authorId="0" shapeId="0" xr:uid="{00000000-0006-0000-0200-000003000000}">
      <text>
        <r>
          <rPr>
            <b/>
            <sz val="9"/>
            <color indexed="81"/>
            <rFont val="Tahoma"/>
            <family val="2"/>
          </rPr>
          <t xml:space="preserve">Niranjan Desai:
</t>
        </r>
        <r>
          <rPr>
            <sz val="9"/>
            <color indexed="81"/>
            <rFont val="Tahoma"/>
            <family val="2"/>
          </rPr>
          <t>Q4 FY26 release; +33% YoY in FY26</t>
        </r>
      </text>
    </comment>
    <comment ref="C10" authorId="0" shapeId="0" xr:uid="{00000000-0006-0000-0200-000004000000}">
      <text>
        <r>
          <rPr>
            <b/>
            <sz val="9"/>
            <color indexed="81"/>
            <rFont val="Tahoma"/>
            <family val="2"/>
          </rPr>
          <t xml:space="preserve">Niranjan Desai:
</t>
        </r>
        <r>
          <rPr>
            <sz val="9"/>
            <color indexed="81"/>
            <rFont val="Tahoma"/>
            <family val="2"/>
          </rPr>
          <t>Annual sales release; +33% YoY</t>
        </r>
      </text>
    </comment>
    <comment ref="C11" authorId="0" shapeId="0" xr:uid="{00000000-0006-0000-0200-000005000000}">
      <text>
        <r>
          <rPr>
            <b/>
            <sz val="9"/>
            <color indexed="81"/>
            <rFont val="Tahoma"/>
            <family val="2"/>
          </rPr>
          <t xml:space="preserve">Niranjan Desai:
</t>
        </r>
        <r>
          <rPr>
            <sz val="9"/>
            <color indexed="81"/>
            <rFont val="Tahoma"/>
            <family val="2"/>
          </rPr>
          <t>SIAM / company disclosure, FY26</t>
        </r>
      </text>
    </comment>
    <comment ref="C12" authorId="0" shapeId="0" xr:uid="{00000000-0006-0000-0200-000006000000}">
      <text>
        <r>
          <rPr>
            <b/>
            <sz val="9"/>
            <color indexed="81"/>
            <rFont val="Tahoma"/>
            <family val="2"/>
          </rPr>
          <t xml:space="preserve">Niranjan Desai:
</t>
        </r>
        <r>
          <rPr>
            <sz val="9"/>
            <color indexed="81"/>
            <rFont val="Tahoma"/>
            <family val="2"/>
          </rPr>
          <t>Q4 FY26 release; management targets 14–15% by FY28</t>
        </r>
      </text>
    </comment>
    <comment ref="C13" authorId="0" shapeId="0" xr:uid="{00000000-0006-0000-0200-000007000000}">
      <text>
        <r>
          <rPr>
            <b/>
            <sz val="9"/>
            <color indexed="81"/>
            <rFont val="Tahoma"/>
            <family val="2"/>
          </rPr>
          <t xml:space="preserve">Niranjan Desai:
</t>
        </r>
        <r>
          <rPr>
            <sz val="9"/>
            <color indexed="81"/>
            <rFont val="Tahoma"/>
            <family val="2"/>
          </rPr>
          <t>Company capex disclosure: +15 lakh units planned</t>
        </r>
      </text>
    </comment>
    <comment ref="C14" authorId="0" shapeId="0" xr:uid="{00000000-0006-0000-0200-000008000000}">
      <text>
        <r>
          <rPr>
            <b/>
            <sz val="9"/>
            <color indexed="81"/>
            <rFont val="Tahoma"/>
            <family val="2"/>
          </rPr>
          <t xml:space="preserve">Niranjan Desai:
</t>
        </r>
        <r>
          <rPr>
            <sz val="9"/>
            <color indexed="81"/>
            <rFont val="Tahoma"/>
            <family val="2"/>
          </rPr>
          <t>Sec 115BAA concessional regime (22% plus surcharge and cess)</t>
        </r>
      </text>
    </comment>
    <comment ref="C15" authorId="0" shapeId="0" xr:uid="{00000000-0006-0000-0200-000009000000}">
      <text>
        <r>
          <rPr>
            <b/>
            <sz val="9"/>
            <color indexed="81"/>
            <rFont val="Tahoma"/>
            <family val="2"/>
          </rPr>
          <t xml:space="preserve">Niranjan Desai:
</t>
        </r>
        <r>
          <rPr>
            <sz val="9"/>
            <color indexed="81"/>
            <rFont val="Tahoma"/>
            <family val="2"/>
          </rPr>
          <t>TVS Credit FY26 results release, 12 May 2026</t>
        </r>
      </text>
    </comment>
    <comment ref="C16" authorId="0" shapeId="0" xr:uid="{00000000-0006-0000-0200-00000A000000}">
      <text>
        <r>
          <rPr>
            <b/>
            <sz val="9"/>
            <color indexed="81"/>
            <rFont val="Tahoma"/>
            <family val="2"/>
          </rPr>
          <t xml:space="preserve">Niranjan Desai:
</t>
        </r>
        <r>
          <rPr>
            <sz val="9"/>
            <color indexed="81"/>
            <rFont val="Tahoma"/>
            <family val="2"/>
          </rPr>
          <t>BSE Reg-30 filing, 27 Jul 2026 (up from 80.76%)</t>
        </r>
      </text>
    </comment>
    <comment ref="C20" authorId="0" shapeId="0" xr:uid="{00000000-0006-0000-0200-00000B000000}">
      <text>
        <r>
          <rPr>
            <b/>
            <sz val="9"/>
            <color indexed="81"/>
            <rFont val="Tahoma"/>
            <family val="2"/>
          </rPr>
          <t xml:space="preserve">Niranjan Desai:
</t>
        </r>
        <r>
          <rPr>
            <sz val="9"/>
            <color indexed="81"/>
            <rFont val="Tahoma"/>
            <family val="2"/>
          </rPr>
          <t>FBIL benchmark, 12 Aug 2026</t>
        </r>
      </text>
    </comment>
    <comment ref="C21" authorId="0" shapeId="0" xr:uid="{00000000-0006-0000-0200-00000C000000}">
      <text>
        <r>
          <rPr>
            <b/>
            <sz val="9"/>
            <color indexed="81"/>
            <rFont val="Tahoma"/>
            <family val="2"/>
          </rPr>
          <t xml:space="preserve">Niranjan Desai:
</t>
        </r>
        <r>
          <rPr>
            <sz val="9"/>
            <color indexed="81"/>
            <rFont val="Tahoma"/>
            <family val="2"/>
          </rPr>
          <t>Damodaran country risk premiums — India total ERP. Used as a single total figure; no additional country premium is stacked on top.</t>
        </r>
      </text>
    </comment>
    <comment ref="C22" authorId="0" shapeId="0" xr:uid="{00000000-0006-0000-0200-00000D000000}">
      <text>
        <r>
          <rPr>
            <b/>
            <sz val="9"/>
            <color indexed="81"/>
            <rFont val="Tahoma"/>
            <family val="2"/>
          </rPr>
          <t xml:space="preserve">Niranjan Desai:
</t>
        </r>
        <r>
          <rPr>
            <sz val="9"/>
            <color indexed="81"/>
            <rFont val="Tahoma"/>
            <family val="2"/>
          </rPr>
          <t>~5% real plus ~4.5% inflation; g must sit below this and below WACC</t>
        </r>
      </text>
    </comment>
    <comment ref="C23" authorId="0" shapeId="0" xr:uid="{00000000-0006-0000-0200-00000E000000}">
      <text>
        <r>
          <rPr>
            <b/>
            <sz val="9"/>
            <color indexed="81"/>
            <rFont val="Tahoma"/>
            <family val="2"/>
          </rPr>
          <t xml:space="preserve">Niranjan Desai:
</t>
        </r>
        <r>
          <rPr>
            <sz val="9"/>
            <color indexed="81"/>
            <rFont val="Tahoma"/>
            <family val="2"/>
          </rPr>
          <t>SIAM trend plus rural demand recovery post GST 2.0</t>
        </r>
      </text>
    </comment>
    <comment ref="C24" authorId="0" shapeId="0" xr:uid="{00000000-0006-0000-0200-00000F000000}">
      <text>
        <r>
          <rPr>
            <b/>
            <sz val="9"/>
            <color indexed="81"/>
            <rFont val="Tahoma"/>
            <family val="2"/>
          </rPr>
          <t xml:space="preserve">Niranjan Desai:
</t>
        </r>
        <r>
          <rPr>
            <sz val="9"/>
            <color indexed="81"/>
            <rFont val="Tahoma"/>
            <family val="2"/>
          </rPr>
          <t>Policy trajectory and OEM capacity commitments</t>
        </r>
      </text>
    </comment>
    <comment ref="C25" authorId="0" shapeId="0" xr:uid="{00000000-0006-0000-0200-000010000000}">
      <text>
        <r>
          <rPr>
            <b/>
            <sz val="9"/>
            <color indexed="81"/>
            <rFont val="Tahoma"/>
            <family val="2"/>
          </rPr>
          <t xml:space="preserve">Niranjan Desai:
</t>
        </r>
        <r>
          <rPr>
            <sz val="9"/>
            <color indexed="81"/>
            <rFont val="Tahoma"/>
            <family val="2"/>
          </rPr>
          <t>Spot, Aug 2026</t>
        </r>
      </text>
    </comment>
    <comment ref="C26" authorId="0" shapeId="0" xr:uid="{00000000-0006-0000-0200-000011000000}">
      <text>
        <r>
          <rPr>
            <b/>
            <sz val="9"/>
            <color indexed="81"/>
            <rFont val="Tahoma"/>
            <family val="2"/>
          </rPr>
          <t xml:space="preserve">Niranjan Desai:
</t>
        </r>
        <r>
          <rPr>
            <sz val="9"/>
            <color indexed="81"/>
            <rFont val="Tahoma"/>
            <family val="2"/>
          </rPr>
          <t>Feeds the raw-material glide path on the Cost tab</t>
        </r>
      </text>
    </comment>
    <comment ref="C27" authorId="0" shapeId="0" xr:uid="{00000000-0006-0000-0200-000012000000}">
      <text>
        <r>
          <rPr>
            <b/>
            <sz val="9"/>
            <color indexed="81"/>
            <rFont val="Tahoma"/>
            <family val="2"/>
          </rPr>
          <t xml:space="preserve">Niranjan Desai:
</t>
        </r>
        <r>
          <rPr>
            <sz val="9"/>
            <color indexed="81"/>
            <rFont val="Tahoma"/>
            <family val="2"/>
          </rPr>
          <t>Calibrated to the FY22–FY26 gross-margin expansion despite input inflation</t>
        </r>
      </text>
    </comment>
    <comment ref="C31" authorId="0" shapeId="0" xr:uid="{00000000-0006-0000-0200-000013000000}">
      <text>
        <r>
          <rPr>
            <b/>
            <sz val="9"/>
            <color indexed="81"/>
            <rFont val="Tahoma"/>
            <family val="2"/>
          </rPr>
          <t xml:space="preserve">Niranjan Desai:
</t>
        </r>
        <r>
          <rPr>
            <sz val="9"/>
            <color indexed="81"/>
            <rFont val="Tahoma"/>
            <family val="2"/>
          </rPr>
          <t>Glide path; largest single swing factor on EV
Working-capital days and the fixed-asset schedule are driven from the Balance Sheet tab. Cost-of-capital inputs sit on the Debt &amp; Cost of Capital tab. Commodity basket weights and hedge coverage sit on the Cost Structure &amp; Hedging tab.
Largest swing factor on EBITDA and therefore on EV. Decomposed and stress-tested on the Cost tab.</t>
        </r>
      </text>
    </comment>
    <comment ref="C32" authorId="0" shapeId="0" xr:uid="{00000000-0006-0000-0200-000014000000}">
      <text>
        <r>
          <rPr>
            <b/>
            <sz val="9"/>
            <color indexed="81"/>
            <rFont val="Tahoma"/>
            <family val="2"/>
          </rPr>
          <t xml:space="preserve">Niranjan Desai:
</t>
        </r>
        <r>
          <rPr>
            <sz val="9"/>
            <color indexed="81"/>
            <rFont val="Tahoma"/>
            <family val="2"/>
          </rPr>
          <t>Held flat — operating leverage on a fixed base</t>
        </r>
      </text>
    </comment>
    <comment ref="C33" authorId="0" shapeId="0" xr:uid="{00000000-0006-0000-0200-000015000000}">
      <text>
        <r>
          <rPr>
            <b/>
            <sz val="9"/>
            <color indexed="81"/>
            <rFont val="Tahoma"/>
            <family val="2"/>
          </rPr>
          <t xml:space="preserve">Niranjan Desai:
</t>
        </r>
        <r>
          <rPr>
            <sz val="9"/>
            <color indexed="81"/>
            <rFont val="Tahoma"/>
            <family val="2"/>
          </rPr>
          <t>Includes freight, power, marketing and warranty</t>
        </r>
      </text>
    </comment>
    <comment ref="C34" authorId="0" shapeId="0" xr:uid="{00000000-0006-0000-0200-000016000000}">
      <text>
        <r>
          <rPr>
            <b/>
            <sz val="9"/>
            <color indexed="81"/>
            <rFont val="Tahoma"/>
            <family val="2"/>
          </rPr>
          <t xml:space="preserve">Niranjan Desai:
</t>
        </r>
        <r>
          <rPr>
            <sz val="9"/>
            <color indexed="81"/>
            <rFont val="Tahoma"/>
            <family val="2"/>
          </rPr>
          <t>Funds the +15 lakh unit capacity addition
Drives both the D&amp;A charge and the FCFF reinvestment drag.</t>
        </r>
      </text>
    </comment>
    <comment ref="C35" authorId="0" shapeId="0" xr:uid="{00000000-0006-0000-0200-000017000000}">
      <text>
        <r>
          <rPr>
            <b/>
            <sz val="9"/>
            <color indexed="81"/>
            <rFont val="Tahoma"/>
            <family val="2"/>
          </rPr>
          <t xml:space="preserve">Niranjan Desai:
</t>
        </r>
        <r>
          <rPr>
            <sz val="9"/>
            <color indexed="81"/>
            <rFont val="Tahoma"/>
            <family val="2"/>
          </rPr>
          <t>Sec 115BAA</t>
        </r>
      </text>
    </comment>
    <comment ref="C36" authorId="0" shapeId="0" xr:uid="{00000000-0006-0000-0200-000018000000}">
      <text>
        <r>
          <rPr>
            <b/>
            <sz val="9"/>
            <color indexed="81"/>
            <rFont val="Tahoma"/>
            <family val="2"/>
          </rPr>
          <t xml:space="preserve">Niranjan Desai:
</t>
        </r>
        <r>
          <rPr>
            <sz val="9"/>
            <color indexed="81"/>
            <rFont val="Tahoma"/>
            <family val="2"/>
          </rPr>
          <t>Stable at the FY26 level</t>
        </r>
      </text>
    </comment>
    <comment ref="C37" authorId="0" shapeId="0" xr:uid="{00000000-0006-0000-0200-000019000000}">
      <text>
        <r>
          <rPr>
            <b/>
            <sz val="9"/>
            <color indexed="81"/>
            <rFont val="Tahoma"/>
            <family val="2"/>
          </rPr>
          <t xml:space="preserve">Niranjan Desai:
</t>
        </r>
        <r>
          <rPr>
            <sz val="9"/>
            <color indexed="81"/>
            <rFont val="Tahoma"/>
            <family val="2"/>
          </rPr>
          <t>FY24–FY26 average</t>
        </r>
      </text>
    </comment>
    <comment ref="C38" authorId="0" shapeId="0" xr:uid="{00000000-0006-0000-0200-00001A000000}">
      <text>
        <r>
          <rPr>
            <b/>
            <sz val="9"/>
            <color indexed="81"/>
            <rFont val="Tahoma"/>
            <family val="2"/>
          </rPr>
          <t xml:space="preserve">Niranjan Desai:
</t>
        </r>
        <r>
          <rPr>
            <sz val="9"/>
            <color indexed="81"/>
            <rFont val="Tahoma"/>
            <family val="2"/>
          </rPr>
          <t>Held at nil — negative in FY25–FY26 on FX translation</t>
        </r>
      </text>
    </comment>
    <comment ref="C39" authorId="0" shapeId="0" xr:uid="{00000000-0006-0000-0200-00001B000000}">
      <text>
        <r>
          <rPr>
            <b/>
            <sz val="9"/>
            <color indexed="81"/>
            <rFont val="Tahoma"/>
            <family val="2"/>
          </rPr>
          <t xml:space="preserve">Niranjan Desai:
</t>
        </r>
        <r>
          <rPr>
            <sz val="9"/>
            <color indexed="81"/>
            <rFont val="Tahoma"/>
            <family val="2"/>
          </rPr>
          <t>Gradual step-up from the FY26 level</t>
        </r>
      </text>
    </comment>
    <comment ref="C40" authorId="0" shapeId="0" xr:uid="{00000000-0006-0000-0200-00001C000000}">
      <text>
        <r>
          <rPr>
            <b/>
            <sz val="9"/>
            <color indexed="81"/>
            <rFont val="Tahoma"/>
            <family val="2"/>
          </rPr>
          <t xml:space="preserve">Niranjan Desai:
</t>
        </r>
        <r>
          <rPr>
            <sz val="9"/>
            <color indexed="81"/>
            <rFont val="Tahoma"/>
            <family val="2"/>
          </rPr>
          <t>Sets the FCFF numerator. Motorcycles and EVs carry the growth; mopeds are modelled ex-growth.
Separates price-led from volume-led growth. EV ASP declines as entry variants scale.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B21" authorId="0" shapeId="0" xr:uid="{00000000-0006-0000-0400-000001000000}">
      <text>
        <r>
          <rPr>
            <b/>
            <sz val="9"/>
            <color indexed="81"/>
            <rFont val="Tahoma"/>
            <family val="2"/>
          </rPr>
          <t xml:space="preserve">Niranjan Desai:
</t>
        </r>
        <r>
          <rPr>
            <sz val="9"/>
            <color indexed="81"/>
            <rFont val="Tahoma"/>
            <family val="2"/>
          </rPr>
          <t>Electric two-wheelers get their own segment rather than sitting inside scooters because the unit economics, the ASP trajectory and the bill of material are all different. ASP is modelled down as entry variants scale, which is the opposite of every other segment here.</t>
        </r>
      </text>
    </comment>
    <comment ref="B42" authorId="0" shapeId="0" xr:uid="{00000000-0006-0000-0400-000002000000}">
      <text>
        <r>
          <rPr>
            <b/>
            <sz val="9"/>
            <color indexed="81"/>
            <rFont val="Tahoma"/>
            <family val="2"/>
          </rPr>
          <t xml:space="preserve">Niranjan Desai:
</t>
        </r>
        <r>
          <rPr>
            <sz val="9"/>
            <color indexed="81"/>
            <rFont val="Tahoma"/>
            <family val="2"/>
          </rPr>
          <t>H1 volumes for FY22–FY23 are apportioned at the FY24–FY26 average H1 share; full-year figures are reported actuals.</t>
        </r>
      </text>
    </comment>
    <comment ref="B44" authorId="0" shapeId="0" xr:uid="{00000000-0006-0000-0400-000003000000}">
      <text>
        <r>
          <rPr>
            <b/>
            <sz val="9"/>
            <color indexed="81"/>
            <rFont val="Tahoma"/>
            <family val="2"/>
          </rPr>
          <t xml:space="preserve">Niranjan Desai:
</t>
        </r>
        <r>
          <rPr>
            <sz val="9"/>
            <color indexed="81"/>
            <rFont val="Tahoma"/>
            <family val="2"/>
          </rPr>
          <t>ASP is an analyst estimate calibrated so vehicle revenue plus the spares residual ties exactly to the audited top line; the residual holds a stable 9.6–11.3% of vehicle revenue across FY22–FY26.</t>
        </r>
      </text>
    </comment>
    <comment ref="B50" authorId="0" shapeId="0" xr:uid="{00000000-0006-0000-0400-000004000000}">
      <text>
        <r>
          <rPr>
            <b/>
            <sz val="9"/>
            <color indexed="81"/>
            <rFont val="Tahoma"/>
            <family val="2"/>
          </rPr>
          <t xml:space="preserve">Niranjan Desai:
</t>
        </r>
        <r>
          <rPr>
            <sz val="9"/>
            <color indexed="81"/>
            <rFont val="Tahoma"/>
            <family val="2"/>
          </rPr>
          <t>Volumes: TVS Motor monthly and annual sales releases (BSE/NSE). Reported revenue: audited standalone results via Screener.in / BSE XBRL.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B22" authorId="0" shapeId="0" xr:uid="{00000000-0006-0000-0500-000001000000}">
      <text>
        <r>
          <rPr>
            <b/>
            <sz val="9"/>
            <color indexed="81"/>
            <rFont val="Tahoma"/>
            <family val="2"/>
          </rPr>
          <t xml:space="preserve">Niranjan Desai:
</t>
        </r>
        <r>
          <rPr>
            <sz val="9"/>
            <color indexed="81"/>
            <rFont val="Tahoma"/>
            <family val="2"/>
          </rPr>
          <t>Contribution per vehicle is revenue less bought-in material only — the cleanest read on pricing power net of input cost, before the fixed-cost base.</t>
        </r>
      </text>
    </comment>
    <comment ref="B30" authorId="0" shapeId="0" xr:uid="{00000000-0006-0000-0500-000002000000}">
      <text>
        <r>
          <rPr>
            <b/>
            <sz val="9"/>
            <color indexed="81"/>
            <rFont val="Tahoma"/>
            <family val="2"/>
          </rPr>
          <t xml:space="preserve">Niranjan Desai:
</t>
        </r>
        <r>
          <rPr>
            <sz val="9"/>
            <color indexed="81"/>
            <rFont val="Tahoma"/>
            <family val="2"/>
          </rPr>
          <t>Quarterly price negotiation with vendors; index-linked contracts on ~half the tonnage</t>
        </r>
      </text>
    </comment>
    <comment ref="B31" authorId="0" shapeId="0" xr:uid="{00000000-0006-0000-0500-000003000000}">
      <text>
        <r>
          <rPr>
            <b/>
            <sz val="9"/>
            <color indexed="81"/>
            <rFont val="Tahoma"/>
            <family val="2"/>
          </rPr>
          <t xml:space="preserve">Niranjan Desai:
</t>
        </r>
        <r>
          <rPr>
            <sz val="9"/>
            <color indexed="81"/>
            <rFont val="Tahoma"/>
            <family val="2"/>
          </rPr>
          <t>LME-linked pass-through clauses; no exchange hedge taken directly by the OEM</t>
        </r>
      </text>
    </comment>
    <comment ref="B32" authorId="0" shapeId="0" xr:uid="{00000000-0006-0000-0500-000004000000}">
      <text>
        <r>
          <rPr>
            <b/>
            <sz val="9"/>
            <color indexed="81"/>
            <rFont val="Tahoma"/>
            <family val="2"/>
          </rPr>
          <t xml:space="preserve">Niranjan Desai:
</t>
        </r>
        <r>
          <rPr>
            <sz val="9"/>
            <color indexed="81"/>
            <rFont val="Tahoma"/>
            <family val="2"/>
          </rPr>
          <t>Crude pass-through lags one quarter; partly offset by VAVE and localisation</t>
        </r>
      </text>
    </comment>
    <comment ref="B33" authorId="0" shapeId="0" xr:uid="{00000000-0006-0000-0500-000005000000}">
      <text>
        <r>
          <rPr>
            <b/>
            <sz val="9"/>
            <color indexed="81"/>
            <rFont val="Tahoma"/>
            <family val="2"/>
          </rPr>
          <t xml:space="preserve">Niranjan Desai:
</t>
        </r>
        <r>
          <rPr>
            <sz val="9"/>
            <color indexed="81"/>
            <rFont val="Tahoma"/>
            <family val="2"/>
          </rPr>
          <t>Bought-out assemblies; supplier absorbs the first move, OEM the second</t>
        </r>
      </text>
    </comment>
    <comment ref="B34" authorId="0" shapeId="0" xr:uid="{00000000-0006-0000-0500-000006000000}">
      <text>
        <r>
          <rPr>
            <b/>
            <sz val="9"/>
            <color indexed="81"/>
            <rFont val="Tahoma"/>
            <family val="2"/>
          </rPr>
          <t xml:space="preserve">Niranjan Desai:
</t>
        </r>
        <r>
          <rPr>
            <sz val="9"/>
            <color indexed="81"/>
            <rFont val="Tahoma"/>
            <family val="2"/>
          </rPr>
          <t>Dual sourcing and localisation programme; USD exposure sits in the FX block below</t>
        </r>
      </text>
    </comment>
    <comment ref="B35" authorId="0" shapeId="0" xr:uid="{00000000-0006-0000-0500-000007000000}">
      <text>
        <r>
          <rPr>
            <b/>
            <sz val="9"/>
            <color indexed="81"/>
            <rFont val="Tahoma"/>
            <family val="2"/>
          </rPr>
          <t xml:space="preserve">Niranjan Desai:
</t>
        </r>
        <r>
          <rPr>
            <sz val="9"/>
            <color indexed="81"/>
            <rFont val="Tahoma"/>
            <family val="2"/>
          </rPr>
          <t>Long-term supply agreements; PLI-linked domestic cell sourcing from FY28</t>
        </r>
      </text>
    </comment>
    <comment ref="B36" authorId="0" shapeId="0" xr:uid="{00000000-0006-0000-0500-000008000000}">
      <text>
        <r>
          <rPr>
            <b/>
            <sz val="9"/>
            <color indexed="81"/>
            <rFont val="Tahoma"/>
            <family val="2"/>
          </rPr>
          <t xml:space="preserve">Niranjan Desai:
</t>
        </r>
        <r>
          <rPr>
            <sz val="9"/>
            <color indexed="81"/>
            <rFont val="Tahoma"/>
            <family val="2"/>
          </rPr>
          <t>Small basket weight; declines structurally as the EV mix rises</t>
        </r>
      </text>
    </comment>
    <comment ref="B37" authorId="0" shapeId="0" xr:uid="{00000000-0006-0000-0500-000009000000}">
      <text>
        <r>
          <rPr>
            <b/>
            <sz val="9"/>
            <color indexed="81"/>
            <rFont val="Tahoma"/>
            <family val="2"/>
          </rPr>
          <t xml:space="preserve">Niranjan Desai:
</t>
        </r>
        <r>
          <rPr>
            <sz val="9"/>
            <color indexed="81"/>
            <rFont val="Tahoma"/>
            <family val="2"/>
          </rPr>
          <t>Absorbed in annual vendor rate settlements</t>
        </r>
      </text>
    </comment>
    <comment ref="D38" authorId="0" shapeId="0" xr:uid="{00000000-0006-0000-0500-000015000000}">
      <text>
        <r>
          <rPr>
            <b/>
            <sz val="9"/>
            <color indexed="81"/>
            <rFont val="Tahoma"/>
            <family val="2"/>
          </rPr>
          <t xml:space="preserve">Niranjan Desai:
</t>
        </r>
        <r>
          <rPr>
            <sz val="9"/>
            <color indexed="81"/>
            <rFont val="Tahoma"/>
            <family val="2"/>
          </rPr>
          <t>Basket weights are analyst estimates benchmarked to Indian two-wheeler bill-of-material norms and scaled to the reported FY26 material cost. They are amber inputs — replace with the segment disclosure from the annual report if available.</t>
        </r>
      </text>
    </comment>
    <comment ref="D52" authorId="0" shapeId="0" xr:uid="{00000000-0006-0000-0500-000016000000}">
      <text>
        <r>
          <rPr>
            <b/>
            <sz val="9"/>
            <color indexed="81"/>
            <rFont val="Tahoma"/>
            <family val="2"/>
          </rPr>
          <t xml:space="preserve">Niranjan Desai:
</t>
        </r>
        <r>
          <rPr>
            <sz val="9"/>
            <color indexed="81"/>
            <rFont val="Tahoma"/>
            <family val="2"/>
          </rPr>
          <t>Read-across to the valuation: commodity risk is the single largest EBITDA swing factor (±10% on the whole basket moves FY27E EBITDA by roughly the same amount as a 400 bp margin change), but roughly 70% of it has historically been recovered in price. FX is a net long position, not a short one. Neither justifies a risk premium on the discount rate; both are handled where they belong — in the margin path and its sensitivity table.</t>
        </r>
      </text>
    </comment>
    <comment ref="F52" authorId="0" shapeId="0" xr:uid="{00000000-0006-0000-0500-000017000000}">
      <text>
        <r>
          <rPr>
            <b/>
            <sz val="9"/>
            <color indexed="81"/>
            <rFont val="Tahoma"/>
            <family val="2"/>
          </rPr>
          <t xml:space="preserve">Niranjan Desai:
</t>
        </r>
        <r>
          <rPr>
            <sz val="9"/>
            <color indexed="81"/>
            <rFont val="Tahoma"/>
            <family val="2"/>
          </rPr>
          <t>Value impact treats the margin change as permanent and capitalises it at (WACC − g); it is therefore an upper bound on a shock that is in practice cyclical.</t>
        </r>
      </text>
    </comment>
    <comment ref="C54" authorId="0" shapeId="0" xr:uid="{00000000-0006-0000-0500-000013000000}">
      <text>
        <r>
          <rPr>
            <b/>
            <sz val="9"/>
            <color indexed="81"/>
            <rFont val="Tahoma"/>
            <family val="2"/>
          </rPr>
          <t xml:space="preserve">Niranjan Desai:
</t>
        </r>
        <r>
          <rPr>
            <sz val="9"/>
            <color indexed="81"/>
            <rFont val="Tahoma"/>
            <family val="2"/>
          </rPr>
          <t>Set on the Control Panel. Weak assumes the company eats most of a commodity move; strong assumes it is recovered in price within two quarters. History supports something close to the base case.</t>
        </r>
      </text>
    </comment>
    <comment ref="B60" authorId="0" shapeId="0" xr:uid="{00000000-0006-0000-0500-00000A000000}">
      <text>
        <r>
          <rPr>
            <b/>
            <sz val="9"/>
            <color indexed="81"/>
            <rFont val="Tahoma"/>
            <family val="2"/>
          </rPr>
          <t xml:space="preserve">Niranjan Desai:
</t>
        </r>
        <r>
          <rPr>
            <sz val="9"/>
            <color indexed="81"/>
            <rFont val="Tahoma"/>
            <family val="2"/>
          </rPr>
          <t>Material cost fell from 74.5% of sales in FY22 to 71.6% in FY26 while the commodity basket rose — contribution per vehicle rose from roughly ₹16,500 to ₹22,800. Pricing plus mix plus VAVE more than covered input inflation over the cycle, which is the empirical basis for the 70% pass-through assumption used above.</t>
        </r>
      </text>
    </comment>
    <comment ref="B73" authorId="0" shapeId="0" xr:uid="{00000000-0006-0000-0500-00000B000000}">
      <text>
        <r>
          <rPr>
            <b/>
            <sz val="9"/>
            <color indexed="81"/>
            <rFont val="Tahoma"/>
            <family val="2"/>
          </rPr>
          <t xml:space="preserve">Niranjan Desai:
</t>
        </r>
        <r>
          <rPr>
            <sz val="9"/>
            <color indexed="81"/>
            <rFont val="Tahoma"/>
            <family val="2"/>
          </rPr>
          <t>Roughly 27% of volumes are exported against an estimated 22% imported content in the material basket, so the group runs a structural foreign-currency surplus: a weaker rupee is net positive at the EBITDA line. This is the hedge that matters — it is operational, not contractual.</t>
        </r>
      </text>
    </comment>
    <comment ref="B83" authorId="0" shapeId="0" xr:uid="{00000000-0006-0000-0500-00000C000000}">
      <text>
        <r>
          <rPr>
            <b/>
            <sz val="9"/>
            <color indexed="81"/>
            <rFont val="Tahoma"/>
            <family val="2"/>
          </rPr>
          <t xml:space="preserve">Niranjan Desai:
</t>
        </r>
        <r>
          <rPr>
            <sz val="9"/>
            <color indexed="81"/>
            <rFont val="Tahoma"/>
            <family val="2"/>
          </rPr>
          <t>Timing mismatch on unhedged tail; INR appreciation compresses export realisation</t>
        </r>
      </text>
    </comment>
    <comment ref="C83" authorId="0" shapeId="0" xr:uid="{00000000-0006-0000-0500-000014000000}">
      <text>
        <r>
          <rPr>
            <b/>
            <sz val="9"/>
            <color indexed="81"/>
            <rFont val="Tahoma"/>
            <family val="2"/>
          </rPr>
          <t xml:space="preserve">Niranjan Desai:
</t>
        </r>
        <r>
          <rPr>
            <sz val="9"/>
            <color indexed="81"/>
            <rFont val="Tahoma"/>
            <family val="2"/>
          </rPr>
          <t>Coverage ratios are analyst estimates. The disclosed notionals sit in the financial-instruments note of the FY26 annual report (hedged and unhedged foreign-currency exposure, and the cash-flow hedge reserve movement) — overwrite the amber cells from that note before submission.</t>
        </r>
      </text>
    </comment>
    <comment ref="B84" authorId="0" shapeId="0" xr:uid="{00000000-0006-0000-0500-00000D000000}">
      <text>
        <r>
          <rPr>
            <b/>
            <sz val="9"/>
            <color indexed="81"/>
            <rFont val="Tahoma"/>
            <family val="2"/>
          </rPr>
          <t xml:space="preserve">Niranjan Desai:
</t>
        </r>
        <r>
          <rPr>
            <sz val="9"/>
            <color indexed="81"/>
            <rFont val="Tahoma"/>
            <family val="2"/>
          </rPr>
          <t>Net exposure is a surplus, so a weaker INR is on balance positive</t>
        </r>
      </text>
    </comment>
    <comment ref="B85" authorId="0" shapeId="0" xr:uid="{00000000-0006-0000-0500-00000E000000}">
      <text>
        <r>
          <rPr>
            <b/>
            <sz val="9"/>
            <color indexed="81"/>
            <rFont val="Tahoma"/>
            <family val="2"/>
          </rPr>
          <t xml:space="preserve">Niranjan Desai:
</t>
        </r>
        <r>
          <rPr>
            <sz val="9"/>
            <color indexed="81"/>
            <rFont val="Tahoma"/>
            <family val="2"/>
          </rPr>
          <t>Drove the negative standalone other income in FY25–FY26; modelled at nil going forward</t>
        </r>
      </text>
    </comment>
    <comment ref="B86" authorId="0" shapeId="0" xr:uid="{00000000-0006-0000-0500-00000F000000}">
      <text>
        <r>
          <rPr>
            <b/>
            <sz val="9"/>
            <color indexed="81"/>
            <rFont val="Tahoma"/>
            <family val="2"/>
          </rPr>
          <t xml:space="preserve">Niranjan Desai:
</t>
        </r>
        <r>
          <rPr>
            <sz val="9"/>
            <color indexed="81"/>
            <rFont val="Tahoma"/>
            <family val="2"/>
          </rPr>
          <t>A sharp move is absorbed for one quarter before pricing action; see the pass-through test below</t>
        </r>
      </text>
    </comment>
    <comment ref="B87" authorId="0" shapeId="0" xr:uid="{00000000-0006-0000-0500-000010000000}">
      <text>
        <r>
          <rPr>
            <b/>
            <sz val="9"/>
            <color indexed="81"/>
            <rFont val="Tahoma"/>
            <family val="2"/>
          </rPr>
          <t xml:space="preserve">Niranjan Desai:
</t>
        </r>
        <r>
          <rPr>
            <sz val="9"/>
            <color indexed="81"/>
            <rFont val="Tahoma"/>
            <family val="2"/>
          </rPr>
          <t>Cell cost is the single largest EV BOM item; ASP is already assumed to fall, so cost relief is needed</t>
        </r>
      </text>
    </comment>
    <comment ref="B88" authorId="0" shapeId="0" xr:uid="{00000000-0006-0000-0500-000011000000}">
      <text>
        <r>
          <rPr>
            <b/>
            <sz val="9"/>
            <color indexed="81"/>
            <rFont val="Tahoma"/>
            <family val="2"/>
          </rPr>
          <t xml:space="preserve">Niranjan Desai:
</t>
        </r>
        <r>
          <rPr>
            <sz val="9"/>
            <color indexed="81"/>
            <rFont val="Tahoma"/>
            <family val="2"/>
          </rPr>
          <t>Immaterial at 3% of the basket</t>
        </r>
      </text>
    </comment>
    <comment ref="B89" authorId="0" shapeId="0" xr:uid="{00000000-0006-0000-0500-000012000000}">
      <text>
        <r>
          <rPr>
            <b/>
            <sz val="9"/>
            <color indexed="81"/>
            <rFont val="Tahoma"/>
            <family val="2"/>
          </rPr>
          <t xml:space="preserve">Niranjan Desai:
</t>
        </r>
        <r>
          <rPr>
            <sz val="9"/>
            <color indexed="81"/>
            <rFont val="Tahoma"/>
            <family val="2"/>
          </rPr>
          <t>Refinancing risk only; AAA rating keeps the spread near 50 bp over the sovereign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B7" authorId="0" shapeId="0" xr:uid="{00000000-0006-0000-0900-000001000000}">
      <text>
        <r>
          <rPr>
            <b/>
            <sz val="9"/>
            <color indexed="81"/>
            <rFont val="Tahoma"/>
            <family val="2"/>
          </rPr>
          <t xml:space="preserve">Niranjan Desai:
</t>
        </r>
        <r>
          <rPr>
            <sz val="9"/>
            <color indexed="81"/>
            <rFont val="Tahoma"/>
            <family val="2"/>
          </rPr>
          <t>BSE Reg-30 allotment: 1,00,000 NCDs of ₹1 lakh each</t>
        </r>
      </text>
    </comment>
    <comment ref="B8" authorId="0" shapeId="0" xr:uid="{00000000-0006-0000-0900-000002000000}">
      <text>
        <r>
          <rPr>
            <b/>
            <sz val="9"/>
            <color indexed="81"/>
            <rFont val="Tahoma"/>
            <family val="2"/>
          </rPr>
          <t xml:space="preserve">Niranjan Desai:
</t>
        </r>
        <r>
          <rPr>
            <sz val="9"/>
            <color indexed="81"/>
            <rFont val="Tahoma"/>
            <family val="2"/>
          </rPr>
          <t>Estimated from the standalone borrowings roll-forward</t>
        </r>
      </text>
    </comment>
    <comment ref="B9" authorId="0" shapeId="0" xr:uid="{00000000-0006-0000-0900-000003000000}">
      <text>
        <r>
          <rPr>
            <b/>
            <sz val="9"/>
            <color indexed="81"/>
            <rFont val="Tahoma"/>
            <family val="2"/>
          </rPr>
          <t xml:space="preserve">Niranjan Desai:
</t>
        </r>
        <r>
          <rPr>
            <sz val="9"/>
            <color indexed="81"/>
            <rFont val="Tahoma"/>
            <family val="2"/>
          </rPr>
          <t>Estimate</t>
        </r>
      </text>
    </comment>
    <comment ref="B10" authorId="0" shapeId="0" xr:uid="{00000000-0006-0000-0900-000004000000}">
      <text>
        <r>
          <rPr>
            <b/>
            <sz val="9"/>
            <color indexed="81"/>
            <rFont val="Tahoma"/>
            <family val="2"/>
          </rPr>
          <t xml:space="preserve">Niranjan Desai:
</t>
        </r>
        <r>
          <rPr>
            <sz val="9"/>
            <color indexed="81"/>
            <rFont val="Tahoma"/>
            <family val="2"/>
          </rPr>
          <t>Estimate; naturally hedged by export receipts</t>
        </r>
      </text>
    </comment>
    <comment ref="B11" authorId="0" shapeId="0" xr:uid="{00000000-0006-0000-0900-000005000000}">
      <text>
        <r>
          <rPr>
            <b/>
            <sz val="9"/>
            <color indexed="81"/>
            <rFont val="Tahoma"/>
            <family val="2"/>
          </rPr>
          <t xml:space="preserve">Niranjan Desai:
</t>
        </r>
        <r>
          <rPr>
            <sz val="9"/>
            <color indexed="81"/>
            <rFont val="Tahoma"/>
            <family val="2"/>
          </rPr>
          <t>Estimate</t>
        </r>
      </text>
    </comment>
    <comment ref="B12" authorId="0" shapeId="0" xr:uid="{00000000-0006-0000-0900-000006000000}">
      <text>
        <r>
          <rPr>
            <b/>
            <sz val="9"/>
            <color indexed="81"/>
            <rFont val="Tahoma"/>
            <family val="2"/>
          </rPr>
          <t xml:space="preserve">Niranjan Desai:
</t>
        </r>
        <r>
          <rPr>
            <sz val="9"/>
            <color indexed="81"/>
            <rFont val="Tahoma"/>
            <family val="2"/>
          </rPr>
          <t>Being redeemed — record date 21 Aug 2026 (BSE, 11 Aug 2026)</t>
        </r>
      </text>
    </comment>
    <comment ref="C13" authorId="0" shapeId="0" xr:uid="{00000000-0006-0000-0900-000007000000}">
      <text>
        <r>
          <rPr>
            <b/>
            <sz val="9"/>
            <color indexed="81"/>
            <rFont val="Tahoma"/>
            <family val="2"/>
          </rPr>
          <t xml:space="preserve">Niranjan Desai:
</t>
        </r>
        <r>
          <rPr>
            <sz val="9"/>
            <color indexed="81"/>
            <rFont val="Tahoma"/>
            <family val="2"/>
          </rPr>
          <t>Only the Aug-2026 NCD tranche and the NCRPS redemption are publicly itemised. The remaining instruments allocate the reported ₹3,733 cr standalone balance across the facility types named in the CARE and CRISIL rationales.</t>
        </r>
      </text>
    </comment>
    <comment ref="C19" authorId="0" shapeId="0" xr:uid="{00000000-0006-0000-0900-000008000000}">
      <text>
        <r>
          <rPr>
            <b/>
            <sz val="9"/>
            <color indexed="81"/>
            <rFont val="Tahoma"/>
            <family val="2"/>
          </rPr>
          <t xml:space="preserve">Niranjan Desai:
</t>
        </r>
        <r>
          <rPr>
            <sz val="9"/>
            <color indexed="81"/>
            <rFont val="Tahoma"/>
            <family val="2"/>
          </rPr>
          <t>CARE Ratings, 23 Jul 2026</t>
        </r>
      </text>
    </comment>
    <comment ref="C20" authorId="0" shapeId="0" xr:uid="{00000000-0006-0000-0900-000009000000}">
      <text>
        <r>
          <rPr>
            <b/>
            <sz val="9"/>
            <color indexed="81"/>
            <rFont val="Tahoma"/>
            <family val="2"/>
          </rPr>
          <t xml:space="preserve">Niranjan Desai:
</t>
        </r>
        <r>
          <rPr>
            <sz val="9"/>
            <color indexed="81"/>
            <rFont val="Tahoma"/>
            <family val="2"/>
          </rPr>
          <t>CARE Ratings, 3 Jul 2026</t>
        </r>
      </text>
    </comment>
    <comment ref="C21" authorId="0" shapeId="0" xr:uid="{00000000-0006-0000-0900-00000A000000}">
      <text>
        <r>
          <rPr>
            <b/>
            <sz val="9"/>
            <color indexed="81"/>
            <rFont val="Tahoma"/>
            <family val="2"/>
          </rPr>
          <t xml:space="preserve">Niranjan Desai:
</t>
        </r>
        <r>
          <rPr>
            <sz val="9"/>
            <color indexed="81"/>
            <rFont val="Tahoma"/>
            <family val="2"/>
          </rPr>
          <t>NCD allotment disclosure, 10 Aug 2026</t>
        </r>
      </text>
    </comment>
    <comment ref="C22" authorId="0" shapeId="0" xr:uid="{00000000-0006-0000-0900-00000B000000}">
      <text>
        <r>
          <rPr>
            <b/>
            <sz val="9"/>
            <color indexed="81"/>
            <rFont val="Tahoma"/>
            <family val="2"/>
          </rPr>
          <t xml:space="preserve">Niranjan Desai:
</t>
        </r>
        <r>
          <rPr>
            <sz val="9"/>
            <color indexed="81"/>
            <rFont val="Tahoma"/>
            <family val="2"/>
          </rPr>
          <t>ICRA rating rationale</t>
        </r>
      </text>
    </comment>
    <comment ref="C26" authorId="0" shapeId="0" xr:uid="{00000000-0006-0000-0900-00000C000000}">
      <text>
        <r>
          <rPr>
            <b/>
            <sz val="9"/>
            <color indexed="81"/>
            <rFont val="Tahoma"/>
            <family val="2"/>
          </rPr>
          <t xml:space="preserve">Niranjan Desai:
</t>
        </r>
        <r>
          <rPr>
            <sz val="9"/>
            <color indexed="81"/>
            <rFont val="Tahoma"/>
            <family val="2"/>
          </rPr>
          <t>A AAA domestic rating is why the marginal cost of debt of 7.28% sits only ~50 bp above the 10-year sovereign. That is a real competitive advantage and is carried explicitly into the WACC rather than plugged with a generic corporate borrowing rate.</t>
        </r>
      </text>
    </comment>
    <comment ref="C38" authorId="0" shapeId="0" xr:uid="{00000000-0006-0000-0900-00000D000000}">
      <text>
        <r>
          <rPr>
            <b/>
            <sz val="9"/>
            <color indexed="81"/>
            <rFont val="Tahoma"/>
            <family val="2"/>
          </rPr>
          <t xml:space="preserve">Niranjan Desai:
</t>
        </r>
        <r>
          <rPr>
            <sz val="9"/>
            <color indexed="81"/>
            <rFont val="Tahoma"/>
            <family val="2"/>
          </rPr>
          <t>FBIL benchmark yield, 12 Aug 2026</t>
        </r>
      </text>
    </comment>
    <comment ref="C39" authorId="0" shapeId="0" xr:uid="{00000000-0006-0000-0900-00000E000000}">
      <text>
        <r>
          <rPr>
            <b/>
            <sz val="9"/>
            <color indexed="81"/>
            <rFont val="Tahoma"/>
            <family val="2"/>
          </rPr>
          <t xml:space="preserve">Niranjan Desai:
</t>
        </r>
        <r>
          <rPr>
            <sz val="9"/>
            <color indexed="81"/>
            <rFont val="Tahoma"/>
            <family val="2"/>
          </rPr>
          <t>Damodaran India total ERP of 7.08%. This is already a total premium for an Indian company — no separate country risk premium is added.</t>
        </r>
      </text>
    </comment>
    <comment ref="C40" authorId="0" shapeId="0" xr:uid="{00000000-0006-0000-0900-00000F000000}">
      <text>
        <r>
          <rPr>
            <b/>
            <sz val="9"/>
            <color indexed="81"/>
            <rFont val="Tahoma"/>
            <family val="2"/>
          </rPr>
          <t xml:space="preserve">Niranjan Desai:
</t>
        </r>
        <r>
          <rPr>
            <sz val="9"/>
            <color indexed="81"/>
            <rFont val="Tahoma"/>
            <family val="2"/>
          </rPr>
          <t>Levered beta of TVSMOTOR</t>
        </r>
      </text>
    </comment>
    <comment ref="C41" authorId="0" shapeId="0" xr:uid="{00000000-0006-0000-0900-000010000000}">
      <text>
        <r>
          <rPr>
            <b/>
            <sz val="9"/>
            <color indexed="81"/>
            <rFont val="Tahoma"/>
            <family val="2"/>
          </rPr>
          <t xml:space="preserve">Niranjan Desai:
</t>
        </r>
        <r>
          <rPr>
            <sz val="9"/>
            <color indexed="81"/>
            <rFont val="Tahoma"/>
            <family val="2"/>
          </rPr>
          <t>Bajaj Auto, Hero MotoCorp, Eicher Motors</t>
        </r>
      </text>
    </comment>
    <comment ref="C42" authorId="0" shapeId="0" xr:uid="{00000000-0006-0000-0900-000011000000}">
      <text>
        <r>
          <rPr>
            <b/>
            <sz val="9"/>
            <color indexed="81"/>
            <rFont val="Tahoma"/>
            <family val="2"/>
          </rPr>
          <t xml:space="preserve">Niranjan Desai:
</t>
        </r>
        <r>
          <rPr>
            <sz val="9"/>
            <color indexed="81"/>
            <rFont val="Tahoma"/>
            <family val="2"/>
          </rPr>
          <t>Standalone borrowings over market capitalisation</t>
        </r>
      </text>
    </comment>
    <comment ref="C43" authorId="0" shapeId="0" xr:uid="{00000000-0006-0000-0900-000012000000}">
      <text>
        <r>
          <rPr>
            <b/>
            <sz val="9"/>
            <color indexed="81"/>
            <rFont val="Tahoma"/>
            <family val="2"/>
          </rPr>
          <t xml:space="preserve">Niranjan Desai:
</t>
        </r>
        <r>
          <rPr>
            <sz val="9"/>
            <color indexed="81"/>
            <rFont val="Tahoma"/>
            <family val="2"/>
          </rPr>
          <t>Hamada relevering at TVS’s own capital structure</t>
        </r>
      </text>
    </comment>
    <comment ref="C44" authorId="0" shapeId="0" xr:uid="{00000000-0006-0000-0900-000013000000}">
      <text>
        <r>
          <rPr>
            <b/>
            <sz val="9"/>
            <color indexed="81"/>
            <rFont val="Tahoma"/>
            <family val="2"/>
          </rPr>
          <t xml:space="preserve">Niranjan Desai:
</t>
        </r>
        <r>
          <rPr>
            <sz val="9"/>
            <color indexed="81"/>
            <rFont val="Tahoma"/>
            <family val="2"/>
          </rPr>
          <t>Average of regression and bottom-up — reduces single-estimate error</t>
        </r>
      </text>
    </comment>
    <comment ref="C45" authorId="0" shapeId="0" xr:uid="{00000000-0006-0000-0900-000014000000}">
      <text>
        <r>
          <rPr>
            <b/>
            <sz val="9"/>
            <color indexed="81"/>
            <rFont val="Tahoma"/>
            <family val="2"/>
          </rPr>
          <t xml:space="preserve">Niranjan Desai:
</t>
        </r>
        <r>
          <rPr>
            <sz val="9"/>
            <color indexed="81"/>
            <rFont val="Tahoma"/>
            <family val="2"/>
          </rPr>
          <t>CAPM</t>
        </r>
      </text>
    </comment>
    <comment ref="C48" authorId="0" shapeId="0" xr:uid="{00000000-0006-0000-0900-000015000000}">
      <text>
        <r>
          <rPr>
            <b/>
            <sz val="9"/>
            <color indexed="81"/>
            <rFont val="Tahoma"/>
            <family val="2"/>
          </rPr>
          <t xml:space="preserve">Niranjan Desai:
</t>
        </r>
        <r>
          <rPr>
            <sz val="9"/>
            <color indexed="81"/>
            <rFont val="Tahoma"/>
            <family val="2"/>
          </rPr>
          <t>NSE closing price on the valuation date. Every upside/downside figure in the model is measured against this number, so it must be dated the same day as the net debt bridge on the DCF tab.</t>
        </r>
      </text>
    </comment>
    <comment ref="C57" authorId="0" shapeId="0" xr:uid="{00000000-0006-0000-0900-000016000000}">
      <text>
        <r>
          <rPr>
            <b/>
            <sz val="9"/>
            <color indexed="81"/>
            <rFont val="Tahoma"/>
            <family val="2"/>
          </rPr>
          <t xml:space="preserve">Niranjan Desai:
</t>
        </r>
        <r>
          <rPr>
            <sz val="9"/>
            <color indexed="81"/>
            <rFont val="Tahoma"/>
            <family val="2"/>
          </rPr>
          <t>Debt is only ~1.8% of the capital structure of the core auto business, so WACC sits very close to the cost of equity. The AAA rating matters more for the NBFC leg than for the OEM discount rate.</t>
        </r>
      </text>
    </comment>
    <comment ref="C64" authorId="0" shapeId="0" xr:uid="{00000000-0006-0000-0900-000017000000}">
      <text>
        <r>
          <rPr>
            <b/>
            <sz val="9"/>
            <color indexed="81"/>
            <rFont val="Tahoma"/>
            <family val="2"/>
          </rPr>
          <t xml:space="preserve">Niranjan Desai:
</t>
        </r>
        <r>
          <rPr>
            <sz val="9"/>
            <color indexed="81"/>
            <rFont val="Tahoma"/>
            <family val="2"/>
          </rPr>
          <t>Damodaran’s constraint: no firm outgrows its economy forever, so g is capped at the risk-free rate, which itself proxies long-run nominal growth. 5.5% is a real-growth-plus-inflation blend, not an extrapolation of FY26’s 24% volume growth.
Terminal growth and WACC together set roughly two-thirds of the DCF value, which is why they get their own two-way table on the Sensitivity tab. The case shown here is driven by the Control Panel switch.</t>
        </r>
      </text>
    </comment>
    <comment ref="C75" authorId="0" shapeId="0" xr:uid="{00000000-0006-0000-0900-000018000000}">
      <text>
        <r>
          <rPr>
            <b/>
            <sz val="9"/>
            <color indexed="81"/>
            <rFont val="Tahoma"/>
            <family val="2"/>
          </rPr>
          <t xml:space="preserve">Niranjan Desai:
</t>
        </r>
        <r>
          <rPr>
            <sz val="9"/>
            <color indexed="81"/>
            <rFont val="Tahoma"/>
            <family val="2"/>
          </rPr>
          <t>No maturity bucket exceeds 5% of one year’s EBITDA. Refinancing risk is not a valuation issue here; it is stated so the reader does not have to assume it.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C15" authorId="0" shapeId="0" xr:uid="{00000000-0006-0000-0A00-000001000000}">
      <text>
        <r>
          <rPr>
            <b/>
            <sz val="9"/>
            <color indexed="81"/>
            <rFont val="Tahoma"/>
            <family val="2"/>
          </rPr>
          <t xml:space="preserve">Niranjan Desai:
</t>
        </r>
        <r>
          <rPr>
            <sz val="9"/>
            <color indexed="81"/>
            <rFont val="Tahoma"/>
            <family val="2"/>
          </rPr>
          <t>Change this date and the stub factor, the discount periods and the net debt roll-forward all move with it. Nothing else needs touching.</t>
        </r>
      </text>
    </comment>
    <comment ref="C17" authorId="0" shapeId="0" xr:uid="{00000000-0006-0000-0A00-000002000000}">
      <text>
        <r>
          <rPr>
            <b/>
            <sz val="9"/>
            <color indexed="81"/>
            <rFont val="Tahoma"/>
            <family val="2"/>
          </rPr>
          <t xml:space="preserve">Niranjan Desai:
</t>
        </r>
        <r>
          <rPr>
            <sz val="9"/>
            <color indexed="81"/>
            <rFont val="Tahoma"/>
            <family val="2"/>
          </rPr>
          <t>The valuation date sits 134 days inside FY2027, so two adjustments are required for internal consistency. First, only the 231 days of FY2027 that fall AFTER 12 August are discounted — counting the full year would value cash the company has already earned and spent. Second, net debt is rolled forward from the 31 March 2026 balance sheet to the valuation date in section D, because the equity bridge must deduct the debt that exists on the day you are pricing the share, not four and a half months earlier. Section F quantifies what ignoring both would have done to the answer.</t>
        </r>
      </text>
    </comment>
    <comment ref="D34" authorId="0" shapeId="0" xr:uid="{00000000-0006-0000-0A00-000009000000}">
      <text>
        <r>
          <rPr>
            <b/>
            <sz val="9"/>
            <color indexed="81"/>
            <rFont val="Tahoma"/>
            <family val="2"/>
          </rPr>
          <t xml:space="preserve">Niranjan Desai:
</t>
        </r>
        <r>
          <rPr>
            <sz val="9"/>
            <color indexed="81"/>
            <rFont val="Tahoma"/>
            <family val="2"/>
          </rPr>
          <t>FY2027E carries only 63.3% of its full-year FCFF because the first 134 days of the year had already elapsed on the valuation date. That cash is not lost — it is picked up in the net debt roll-forward in section D.</t>
        </r>
      </text>
    </comment>
    <comment ref="C52" authorId="0" shapeId="0" xr:uid="{00000000-0006-0000-0A00-000003000000}">
      <text>
        <r>
          <rPr>
            <b/>
            <sz val="9"/>
            <color indexed="81"/>
            <rFont val="Tahoma"/>
            <family val="2"/>
          </rPr>
          <t xml:space="preserve">Niranjan Desai:
</t>
        </r>
        <r>
          <rPr>
            <sz val="9"/>
            <color indexed="81"/>
            <rFont val="Tahoma"/>
            <family val="2"/>
          </rPr>
          <t>The Gordon terminal value implies roughly 8x FY31E EBITDA — below where mature 2W OEMs trade (Hero ~16x, Bajaj ~26x). The terminal assumption is conservative, not aggressive. The football field shows that tension rather than averaging it away.</t>
        </r>
      </text>
    </comment>
    <comment ref="C62" authorId="0" shapeId="0" xr:uid="{00000000-0006-0000-0A00-000004000000}">
      <text>
        <r>
          <rPr>
            <b/>
            <sz val="9"/>
            <color indexed="81"/>
            <rFont val="Tahoma"/>
            <family val="2"/>
          </rPr>
          <t xml:space="preserve">Niranjan Desai:
</t>
        </r>
        <r>
          <rPr>
            <sz val="9"/>
            <color indexed="81"/>
            <rFont val="Tahoma"/>
            <family val="2"/>
          </rPr>
          <t>The ₹711 cr paid for the additional TVS Credit stake is deducted here because the SOTP values the enlarged 85.15% holding. Leaving it out would count the stake twice.</t>
        </r>
      </text>
    </comment>
    <comment ref="C63" authorId="0" shapeId="0" xr:uid="{00000000-0006-0000-0A00-000005000000}">
      <text>
        <r>
          <rPr>
            <b/>
            <sz val="9"/>
            <color indexed="81"/>
            <rFont val="Tahoma"/>
            <family val="2"/>
          </rPr>
          <t xml:space="preserve">Niranjan Desai:
</t>
        </r>
        <r>
          <rPr>
            <sz val="9"/>
            <color indexed="81"/>
            <rFont val="Tahoma"/>
            <family val="2"/>
          </rPr>
          <t>Memo, no net effect: the ₹1,000 cr NCD issued on 10 Aug 2026 raises gross debt and cash by the same amount. The NCRPS redemption has a 21 Aug record date and therefore falls after the valuation date.</t>
        </r>
      </text>
    </comment>
    <comment ref="C70" authorId="0" shapeId="0" xr:uid="{00000000-0006-0000-0A00-000006000000}">
      <text>
        <r>
          <rPr>
            <b/>
            <sz val="9"/>
            <color indexed="81"/>
            <rFont val="Tahoma"/>
            <family val="2"/>
          </rPr>
          <t xml:space="preserve">Niranjan Desai:
</t>
        </r>
        <r>
          <rPr>
            <sz val="9"/>
            <color indexed="81"/>
            <rFont val="Tahoma"/>
            <family val="2"/>
          </rPr>
          <t>Investments in subsidiaries (₹10,650 cr at FY26) are deliberately excluded here. TVS Credit and the other subsidiaries are valued on their own economics on the SOTP tab; adding carrying value as well would double-count them.</t>
        </r>
      </text>
    </comment>
    <comment ref="C75" authorId="0" shapeId="0" xr:uid="{00000000-0006-0000-0A00-000007000000}">
      <text>
        <r>
          <rPr>
            <b/>
            <sz val="9"/>
            <color indexed="81"/>
            <rFont val="Tahoma"/>
            <family val="2"/>
          </rPr>
          <t xml:space="preserve">Niranjan Desai:
</t>
        </r>
        <r>
          <rPr>
            <sz val="9"/>
            <color indexed="81"/>
            <rFont val="Tahoma"/>
            <family val="2"/>
          </rPr>
          <t>Core-auto value per share is not comparable to the market price on its own — the listed share also carries TVS Credit and the other subsidiaries. See the SOTP tab for the like-for-like comparison.</t>
        </r>
      </text>
    </comment>
    <comment ref="C79" authorId="0" shapeId="0" xr:uid="{00000000-0006-0000-0A00-000008000000}">
      <text>
        <r>
          <rPr>
            <b/>
            <sz val="9"/>
            <color indexed="81"/>
            <rFont val="Tahoma"/>
            <family val="2"/>
          </rPr>
          <t xml:space="preserve">Niranjan Desai:
</t>
        </r>
        <r>
          <rPr>
            <sz val="9"/>
            <color indexed="81"/>
            <rFont val="Tahoma"/>
            <family val="2"/>
          </rPr>
          <t>Short answer: yes, and for two separate reasons. The mechanical one is small here — the two errors partly offset, because counting a full year of FY27 cash flow overstates value while using a stale, higher net debt understates it. The methodological one is not small. A valuation is a statement about what the equity is worth on a specific day, and every input has to be dated to that day: the share count, the market price you compare against, the debt you deduct, and the first cash flow you discount. Mixing a 31 March balance sheet with a 12 August price means the upside or downside you quote is not measured against a like-for-like base. Where it bites hardest is a company with heavy seasonal working capital, a large interim dividend, or an acquisition inside the stub — TVS has the last two, which is exactly why the ₹711 cr stake purchase and the FY26 final dividend appear in section 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C26" authorId="0" shapeId="0" xr:uid="{00000000-0006-0000-0B00-000001000000}">
      <text>
        <r>
          <rPr>
            <b/>
            <sz val="9"/>
            <color indexed="81"/>
            <rFont val="Tahoma"/>
            <family val="2"/>
          </rPr>
          <t xml:space="preserve">Niranjan Desai:
</t>
        </r>
        <r>
          <rPr>
            <sz val="9"/>
            <color indexed="81"/>
            <rFont val="Tahoma"/>
            <family val="2"/>
          </rPr>
          <t>FCFE is levered so it is discounted at Ke, not WACC. With borrowings flat and the core auto business close to net cash, FCFE tracks FCFF less after-tax interest — the two intrinsic approaches should, and do, land close together.</t>
        </r>
      </text>
    </comment>
    <comment ref="C46" authorId="0" shapeId="0" xr:uid="{00000000-0006-0000-0B00-000002000000}">
      <text>
        <r>
          <rPr>
            <b/>
            <sz val="9"/>
            <color indexed="81"/>
            <rFont val="Tahoma"/>
            <family val="2"/>
          </rPr>
          <t xml:space="preserve">Niranjan Desai:
</t>
        </r>
        <r>
          <rPr>
            <sz val="9"/>
            <color indexed="81"/>
            <rFont val="Tahoma"/>
            <family val="2"/>
          </rPr>
          <t>The DDM is included because the syllabus requires it, but it is the weakest lens on TVS: payout is only 16–18%, so the model captures a fraction of the cash generated and will systematically undervalue the equity. Treated as a floor sanity-check, not a decision input.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B12" authorId="0" shapeId="0" xr:uid="{00000000-0006-0000-0C00-000001000000}">
      <text>
        <r>
          <rPr>
            <b/>
            <sz val="9"/>
            <color indexed="81"/>
            <rFont val="Tahoma"/>
            <family val="2"/>
          </rPr>
          <t xml:space="preserve">Niranjan Desai:
</t>
        </r>
        <r>
          <rPr>
            <sz val="9"/>
            <color indexed="81"/>
            <rFont val="Tahoma"/>
            <family val="2"/>
          </rPr>
          <t>Source: TVS Credit Services results releases. FY26 net worth of ₹6,067.63 cr and PAT of ₹913.17 cr are from TVS Motor’s BSE Reg-30 disclosure of 27 July 2026.</t>
        </r>
      </text>
    </comment>
    <comment ref="C26" authorId="0" shapeId="0" xr:uid="{00000000-0006-0000-0C00-000002000000}">
      <text>
        <r>
          <rPr>
            <b/>
            <sz val="9"/>
            <color indexed="81"/>
            <rFont val="Tahoma"/>
            <family val="2"/>
          </rPr>
          <t xml:space="preserve">Niranjan Desai:
</t>
        </r>
        <r>
          <rPr>
            <sz val="9"/>
            <color indexed="81"/>
            <rFont val="Tahoma"/>
            <family val="2"/>
          </rPr>
          <t>TVS Credit is an RBI-registered non-deposit-taking NBFC with a ₹30,639 cr loan book. For a lender, debt is raw material rather than leverage: a DCF that treats its borrowings as a claim on enterprise value, or runs its interest income through an OEM EBITDA margin, is simply wrong. Lenders are valued on the equity they deploy and the return they earn on it — hence P/B, cross-checked against an excess-return model and against the price TVS Motor itself paid for a stake in July 2026.</t>
        </r>
      </text>
    </comment>
    <comment ref="C29" authorId="0" shapeId="0" xr:uid="{00000000-0006-0000-0C00-000003000000}">
      <text>
        <r>
          <rPr>
            <b/>
            <sz val="9"/>
            <color indexed="81"/>
            <rFont val="Tahoma"/>
            <family val="2"/>
          </rPr>
          <t xml:space="preserve">Niranjan Desai:
</t>
        </r>
        <r>
          <rPr>
            <sz val="9"/>
            <color indexed="81"/>
            <rFont val="Tahoma"/>
            <family val="2"/>
          </rPr>
          <t>TVS Credit’s 15% ROE sits below Bajaj Finance and Cholamandalam at 19–21%, so it should trade at a discount to the best-in-class NBFC multiple.</t>
        </r>
      </text>
    </comment>
    <comment ref="C44" authorId="0" shapeId="0" xr:uid="{00000000-0006-0000-0C00-000004000000}">
      <text>
        <r>
          <rPr>
            <b/>
            <sz val="9"/>
            <color indexed="81"/>
            <rFont val="Tahoma"/>
            <family val="2"/>
          </rPr>
          <t xml:space="preserve">Niranjan Desai:
</t>
        </r>
        <r>
          <rPr>
            <sz val="9"/>
            <color indexed="81"/>
            <rFont val="Tahoma"/>
            <family val="2"/>
          </rPr>
          <t>The single most relevant data point available: an arm’s-length price paid for this exact asset three weeks before the valuation date.</t>
        </r>
      </text>
    </comment>
    <comment ref="C54" authorId="0" shapeId="0" xr:uid="{00000000-0006-0000-0C00-000005000000}">
      <text>
        <r>
          <rPr>
            <b/>
            <sz val="9"/>
            <color indexed="81"/>
            <rFont val="Tahoma"/>
            <family val="2"/>
          </rPr>
          <t xml:space="preserve">Niranjan Desai:
</t>
        </r>
        <r>
          <rPr>
            <sz val="9"/>
            <color indexed="81"/>
            <rFont val="Tahoma"/>
            <family val="2"/>
          </rPr>
          <t>Averaging the three keeps the warranted-P/B result in the answer: it is the only one grounded in the return the book actually earns, and it pulls the valuation below what the transaction alone would suggest. The press estimate is shown but not averaged in.</t>
        </r>
      </text>
    </comment>
    <comment ref="C55" authorId="0" shapeId="0" xr:uid="{00000000-0006-0000-0C00-000006000000}">
      <text>
        <r>
          <rPr>
            <b/>
            <sz val="9"/>
            <color indexed="81"/>
            <rFont val="Tahoma"/>
            <family val="2"/>
          </rPr>
          <t xml:space="preserve">Niranjan Desai:
</t>
        </r>
        <r>
          <rPr>
            <sz val="9"/>
            <color indexed="81"/>
            <rFont val="Tahoma"/>
            <family val="2"/>
          </rPr>
          <t>Live risk: the August 2026 composite amalgamation of TVS Credit with Home Credit India, TVS Housing Finance and STPL will change the combined book and ROE if completed.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I8" authorId="0" shapeId="0" xr:uid="{00000000-0006-0000-0D00-000006000000}">
      <text>
        <r>
          <rPr>
            <b/>
            <sz val="9"/>
            <color indexed="81"/>
            <rFont val="Tahoma"/>
            <family val="2"/>
          </rPr>
          <t xml:space="preserve">Niranjan Desai:
</t>
        </r>
        <r>
          <rPr>
            <sz val="9"/>
            <color indexed="81"/>
            <rFont val="Tahoma"/>
            <family val="2"/>
          </rPr>
          <t>As with the DCF this is the automotive business only. Peer net debt is estimated (amber); market caps and reported financials are from Screener.in as at 12 Aug 2026.</t>
        </r>
      </text>
    </comment>
    <comment ref="C20" authorId="0" shapeId="0" xr:uid="{00000000-0006-0000-0D00-000005000000}">
      <text>
        <r>
          <rPr>
            <b/>
            <sz val="9"/>
            <color indexed="81"/>
            <rFont val="Tahoma"/>
            <family val="2"/>
          </rPr>
          <t xml:space="preserve">Niranjan Desai:
</t>
        </r>
        <r>
          <rPr>
            <sz val="9"/>
            <color indexed="81"/>
            <rFont val="Tahoma"/>
            <family val="2"/>
          </rPr>
          <t>TVS screens expensive on every multiple, but its market cap carries an NBFC and five other subsidiaries that generate none of the standalone EBITDA in the denominator. That is the whole argument for SOTP.</t>
        </r>
      </text>
    </comment>
    <comment ref="B24" authorId="0" shapeId="0" xr:uid="{00000000-0006-0000-0D00-000001000000}">
      <text>
        <r>
          <rPr>
            <b/>
            <sz val="9"/>
            <color indexed="81"/>
            <rFont val="Tahoma"/>
            <family val="2"/>
          </rPr>
          <t xml:space="preserve">Niranjan Desai:
</t>
        </r>
        <r>
          <rPr>
            <sz val="9"/>
            <color indexed="81"/>
            <rFont val="Tahoma"/>
            <family val="2"/>
          </rPr>
          <t>Capital structures differ sharply: Bajaj and Eicher hold large net cash, TVS’s listed entity carries an NBFC. EV/EBITDA neutralises leverage and depreciation policy.</t>
        </r>
      </text>
    </comment>
    <comment ref="B25" authorId="0" shapeId="0" xr:uid="{00000000-0006-0000-0D00-000002000000}">
      <text>
        <r>
          <rPr>
            <b/>
            <sz val="9"/>
            <color indexed="81"/>
            <rFont val="Tahoma"/>
            <family val="2"/>
          </rPr>
          <t xml:space="preserve">Niranjan Desai:
</t>
        </r>
        <r>
          <rPr>
            <sz val="9"/>
            <color indexed="81"/>
            <rFont val="Tahoma"/>
            <family val="2"/>
          </rPr>
          <t>Widely quoted but distorted here — Eicher’s earnings include ₹2,260 cr of other income and TVS’s consolidated EPS is dragged by NBFC interest and minorities.</t>
        </r>
      </text>
    </comment>
    <comment ref="B26" authorId="0" shapeId="0" xr:uid="{00000000-0006-0000-0D00-000003000000}">
      <text>
        <r>
          <rPr>
            <b/>
            <sz val="9"/>
            <color indexed="81"/>
            <rFont val="Tahoma"/>
            <family val="2"/>
          </rPr>
          <t xml:space="preserve">Niranjan Desai:
</t>
        </r>
        <r>
          <rPr>
            <sz val="9"/>
            <color indexed="81"/>
            <rFont val="Tahoma"/>
            <family val="2"/>
          </rPr>
          <t>Ignores the 13% versus 20% margin gap between TVS and Bajaj. Informative on scale, misleading on value.</t>
        </r>
      </text>
    </comment>
    <comment ref="B27" authorId="0" shapeId="0" xr:uid="{00000000-0006-0000-0D00-000004000000}">
      <text>
        <r>
          <rPr>
            <b/>
            <sz val="9"/>
            <color indexed="81"/>
            <rFont val="Tahoma"/>
            <family val="2"/>
          </rPr>
          <t xml:space="preserve">Niranjan Desai:
</t>
        </r>
        <r>
          <rPr>
            <sz val="9"/>
            <color indexed="81"/>
            <rFont val="Tahoma"/>
            <family val="2"/>
          </rPr>
          <t>Book value is meaningless for an asset-light manufacturer with negative working capital. It is the right multiple for TVS Credit and is used there.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F8" authorId="0" shapeId="0" xr:uid="{00000000-0006-0000-0E00-000002000000}">
      <text>
        <r>
          <rPr>
            <b/>
            <sz val="9"/>
            <color indexed="81"/>
            <rFont val="Tahoma"/>
            <family val="2"/>
          </rPr>
          <t xml:space="preserve">Niranjan Desai:
</t>
        </r>
        <r>
          <rPr>
            <sz val="9"/>
            <color indexed="81"/>
            <rFont val="Tahoma"/>
            <family val="2"/>
          </rPr>
          <t>Consideration is as reported at announcement, converted at contemporaneous exchange rates where relevant. Sources: BSE/NSE Reg-30 filings, company releases, IPO prospectuses.</t>
        </r>
      </text>
    </comment>
    <comment ref="B22" authorId="0" shapeId="0" xr:uid="{00000000-0006-0000-0E00-000001000000}">
      <text>
        <r>
          <rPr>
            <b/>
            <sz val="9"/>
            <color indexed="81"/>
            <rFont val="Tahoma"/>
            <family val="2"/>
          </rPr>
          <t xml:space="preserve">Niranjan Desai:
</t>
        </r>
        <r>
          <rPr>
            <sz val="9"/>
            <color indexed="81"/>
            <rFont val="Tahoma"/>
            <family val="2"/>
          </rPr>
          <t>There is no clean control-premium precedent for a listed Indian 2W OEM. Bajaj/KTM was a distressed restructuring and the EV listings are loss-making pure-plays on very different economics. Precedent transactions therefore inform the EV and NBFC legs but do not set the core automotive multiple, which is anchored on trading comparables. Saying so is more useful than manufacturing a spurious control premium from non-comparable deals.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C23" authorId="0" shapeId="0" xr:uid="{00000000-0006-0000-0F00-000001000000}">
      <text>
        <r>
          <rPr>
            <b/>
            <sz val="9"/>
            <color indexed="81"/>
            <rFont val="Tahoma"/>
            <family val="2"/>
          </rPr>
          <t xml:space="preserve">Niranjan Desai:
</t>
        </r>
        <r>
          <rPr>
            <sz val="9"/>
            <color indexed="81"/>
            <rFont val="Tahoma"/>
            <family val="2"/>
          </rPr>
          <t>TVS trades at roughly 18x standalone book. The gap is the point, not an anomaly: value sits in brand equity, a 4,000-plus touchpoint distribution network and the ability to earn a 32% return on a small equity base, none of which appears on the balance sheet. The asset-based approach is a genuine floor — what a liquidator would recover — and nothing more. It bounds the downside on the football field and carries zero weight in the concluded value.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B7" authorId="0" shapeId="0" xr:uid="{00000000-0006-0000-1000-000001000000}">
      <text>
        <r>
          <rPr>
            <b/>
            <sz val="9"/>
            <color indexed="81"/>
            <rFont val="Tahoma"/>
            <family val="2"/>
          </rPr>
          <t xml:space="preserve">Niranjan Desai:
</t>
        </r>
        <r>
          <rPr>
            <sz val="9"/>
            <color indexed="81"/>
            <rFont val="Tahoma"/>
            <family val="2"/>
          </rPr>
          <t>FCFF / DCF on standalone financials, stub-adjusted from 12 Aug 2026</t>
        </r>
      </text>
    </comment>
    <comment ref="B8" authorId="0" shapeId="0" xr:uid="{00000000-0006-0000-1000-000002000000}">
      <text>
        <r>
          <rPr>
            <b/>
            <sz val="9"/>
            <color indexed="81"/>
            <rFont val="Tahoma"/>
            <family val="2"/>
          </rPr>
          <t xml:space="preserve">Niranjan Desai:
</t>
        </r>
        <r>
          <rPr>
            <sz val="9"/>
            <color indexed="81"/>
            <rFont val="Tahoma"/>
            <family val="2"/>
          </rPr>
          <t>Rolled forward from the 31 Mar 2026 balance sheet — see DCF section D</t>
        </r>
      </text>
    </comment>
    <comment ref="B13" authorId="0" shapeId="0" xr:uid="{00000000-0006-0000-1000-000003000000}">
      <text>
        <r>
          <rPr>
            <b/>
            <sz val="9"/>
            <color indexed="81"/>
            <rFont val="Tahoma"/>
            <family val="2"/>
          </rPr>
          <t xml:space="preserve">Niranjan Desai:
</t>
        </r>
        <r>
          <rPr>
            <sz val="9"/>
            <color indexed="81"/>
            <rFont val="Tahoma"/>
            <family val="2"/>
          </rPr>
          <t>Average of peer P/B, warranted P/B and the Jul-2026 transaction</t>
        </r>
      </text>
    </comment>
    <comment ref="B16" authorId="0" shapeId="0" xr:uid="{00000000-0006-0000-1000-000004000000}">
      <text>
        <r>
          <rPr>
            <b/>
            <sz val="9"/>
            <color indexed="81"/>
            <rFont val="Tahoma"/>
            <family val="2"/>
          </rPr>
          <t xml:space="preserve">Niranjan Desai:
</t>
        </r>
        <r>
          <rPr>
            <sz val="9"/>
            <color indexed="81"/>
            <rFont val="Tahoma"/>
            <family val="2"/>
          </rPr>
          <t>Carrying value plus development spend; pre-relaunch, loss-making</t>
        </r>
      </text>
    </comment>
    <comment ref="B17" authorId="0" shapeId="0" xr:uid="{00000000-0006-0000-1000-000005000000}">
      <text>
        <r>
          <rPr>
            <b/>
            <sz val="9"/>
            <color indexed="81"/>
            <rFont val="Tahoma"/>
            <family val="2"/>
          </rPr>
          <t xml:space="preserve">Niranjan Desai:
</t>
        </r>
        <r>
          <rPr>
            <sz val="9"/>
            <color indexed="81"/>
            <rFont val="Tahoma"/>
            <family val="2"/>
          </rPr>
          <t>International manufacturing and distribution</t>
        </r>
      </text>
    </comment>
    <comment ref="B18" authorId="0" shapeId="0" xr:uid="{00000000-0006-0000-1000-000006000000}">
      <text>
        <r>
          <rPr>
            <b/>
            <sz val="9"/>
            <color indexed="81"/>
            <rFont val="Tahoma"/>
            <family val="2"/>
          </rPr>
          <t xml:space="preserve">Niranjan Desai:
</t>
        </r>
        <r>
          <rPr>
            <sz val="9"/>
            <color indexed="81"/>
            <rFont val="Tahoma"/>
            <family val="2"/>
          </rPr>
          <t>Carried near cost; strategic optionality, no earnings</t>
        </r>
      </text>
    </comment>
    <comment ref="B19" authorId="0" shapeId="0" xr:uid="{00000000-0006-0000-1000-000007000000}">
      <text>
        <r>
          <rPr>
            <b/>
            <sz val="9"/>
            <color indexed="81"/>
            <rFont val="Tahoma"/>
            <family val="2"/>
          </rPr>
          <t xml:space="preserve">Niranjan Desai:
</t>
        </r>
        <r>
          <rPr>
            <sz val="9"/>
            <color indexed="81"/>
            <rFont val="Tahoma"/>
            <family val="2"/>
          </rPr>
          <t>Majority stake; scaling retail format</t>
        </r>
      </text>
    </comment>
    <comment ref="B20" authorId="0" shapeId="0" xr:uid="{00000000-0006-0000-1000-000008000000}">
      <text>
        <r>
          <rPr>
            <b/>
            <sz val="9"/>
            <color indexed="81"/>
            <rFont val="Tahoma"/>
            <family val="2"/>
          </rPr>
          <t xml:space="preserve">Niranjan Desai:
</t>
        </r>
        <r>
          <rPr>
            <sz val="9"/>
            <color indexed="81"/>
            <rFont val="Tahoma"/>
            <family val="2"/>
          </rPr>
          <t>Rapido stake has appreciated materially since acquisition</t>
        </r>
      </text>
    </comment>
    <comment ref="C22" authorId="0" shapeId="0" xr:uid="{00000000-0006-0000-1000-000017000000}">
      <text>
        <r>
          <rPr>
            <b/>
            <sz val="9"/>
            <color indexed="81"/>
            <rFont val="Tahoma"/>
            <family val="2"/>
          </rPr>
          <t xml:space="preserve">Niranjan Desai:
</t>
        </r>
        <r>
          <rPr>
            <sz val="9"/>
            <color indexed="81"/>
            <rFont val="Tahoma"/>
            <family val="2"/>
          </rPr>
          <t>Legs 2 and 3 replace the ₹10,650 cr carrying value of subsidiary investments stripped out of the Leg 1 bridge — valued on their own economics rather than at historical cost. No double-count.</t>
        </r>
      </text>
    </comment>
    <comment ref="C24" authorId="0" shapeId="0" xr:uid="{00000000-0006-0000-1000-000018000000}">
      <text>
        <r>
          <rPr>
            <b/>
            <sz val="9"/>
            <color indexed="81"/>
            <rFont val="Tahoma"/>
            <family val="2"/>
          </rPr>
          <t xml:space="preserve">Niranjan Desai:
</t>
        </r>
        <r>
          <rPr>
            <sz val="9"/>
            <color indexed="81"/>
            <rFont val="Tahoma"/>
            <family val="2"/>
          </rPr>
          <t>This is the like-for-like comparison against the market price: all three legs, one share count. The core-auto DCF figure on its own is not comparable because the listed share also carries TVS Credit and the strategic subsidiaries.</t>
        </r>
      </text>
    </comment>
    <comment ref="B29" authorId="0" shapeId="0" xr:uid="{00000000-0006-0000-1000-000009000000}">
      <text>
        <r>
          <rPr>
            <b/>
            <sz val="9"/>
            <color indexed="81"/>
            <rFont val="Tahoma"/>
            <family val="2"/>
          </rPr>
          <t xml:space="preserve">Niranjan Desai:
</t>
        </r>
        <r>
          <rPr>
            <sz val="9"/>
            <color indexed="81"/>
            <rFont val="Tahoma"/>
            <family val="2"/>
          </rPr>
          <t>WACC ±100 bp and terminal growth ±50 bp</t>
        </r>
      </text>
    </comment>
    <comment ref="B30" authorId="0" shapeId="0" xr:uid="{00000000-0006-0000-1000-00000A000000}">
      <text>
        <r>
          <rPr>
            <b/>
            <sz val="9"/>
            <color indexed="81"/>
            <rFont val="Tahoma"/>
            <family val="2"/>
          </rPr>
          <t xml:space="preserve">Niranjan Desai:
</t>
        </r>
        <r>
          <rPr>
            <sz val="9"/>
            <color indexed="81"/>
            <rFont val="Tahoma"/>
            <family val="2"/>
          </rPr>
          <t>Cost of equity ±75 bp</t>
        </r>
      </text>
    </comment>
    <comment ref="B31" authorId="0" shapeId="0" xr:uid="{00000000-0006-0000-1000-00000B000000}">
      <text>
        <r>
          <rPr>
            <b/>
            <sz val="9"/>
            <color indexed="81"/>
            <rFont val="Tahoma"/>
            <family val="2"/>
          </rPr>
          <t xml:space="preserve">Niranjan Desai:
</t>
        </r>
        <r>
          <rPr>
            <sz val="9"/>
            <color indexed="81"/>
            <rFont val="Tahoma"/>
            <family val="2"/>
          </rPr>
          <t>Peer low (Hero ~16x) to peer high (Eicher ~31x)</t>
        </r>
      </text>
    </comment>
    <comment ref="B32" authorId="0" shapeId="0" xr:uid="{00000000-0006-0000-1000-00000C000000}">
      <text>
        <r>
          <rPr>
            <b/>
            <sz val="9"/>
            <color indexed="81"/>
            <rFont val="Tahoma"/>
            <family val="2"/>
          </rPr>
          <t xml:space="preserve">Niranjan Desai:
</t>
        </r>
        <r>
          <rPr>
            <sz val="9"/>
            <color indexed="81"/>
            <rFont val="Tahoma"/>
            <family val="2"/>
          </rPr>
          <t>Peer P/E range on FY26A standalone earnings</t>
        </r>
      </text>
    </comment>
    <comment ref="B33" authorId="0" shapeId="0" xr:uid="{00000000-0006-0000-1000-00000D000000}">
      <text>
        <r>
          <rPr>
            <b/>
            <sz val="9"/>
            <color indexed="81"/>
            <rFont val="Tahoma"/>
            <family val="2"/>
          </rPr>
          <t xml:space="preserve">Niranjan Desai:
</t>
        </r>
        <r>
          <rPr>
            <sz val="9"/>
            <color indexed="81"/>
            <rFont val="Tahoma"/>
            <family val="2"/>
          </rPr>
          <t>Core auto on DCF; TVS Credit at the Jul-2026 price ±15%</t>
        </r>
      </text>
    </comment>
    <comment ref="B34" authorId="0" shapeId="0" xr:uid="{00000000-0006-0000-1000-00000E000000}">
      <text>
        <r>
          <rPr>
            <b/>
            <sz val="9"/>
            <color indexed="81"/>
            <rFont val="Tahoma"/>
            <family val="2"/>
          </rPr>
          <t xml:space="preserve">Niranjan Desai:
</t>
        </r>
        <r>
          <rPr>
            <sz val="9"/>
            <color indexed="81"/>
            <rFont val="Tahoma"/>
            <family val="2"/>
          </rPr>
          <t>Liquidation floor — zero weight</t>
        </r>
      </text>
    </comment>
    <comment ref="B35" authorId="0" shapeId="0" xr:uid="{00000000-0006-0000-1000-00000F000000}">
      <text>
        <r>
          <rPr>
            <b/>
            <sz val="9"/>
            <color indexed="81"/>
            <rFont val="Tahoma"/>
            <family val="2"/>
          </rPr>
          <t xml:space="preserve">Niranjan Desai:
</t>
        </r>
        <r>
          <rPr>
            <sz val="9"/>
            <color indexed="81"/>
            <rFont val="Tahoma"/>
            <family val="2"/>
          </rPr>
          <t>Low payout makes it structurally low</t>
        </r>
      </text>
    </comment>
    <comment ref="B41" authorId="0" shapeId="0" xr:uid="{00000000-0006-0000-1000-000010000000}">
      <text>
        <r>
          <rPr>
            <b/>
            <sz val="9"/>
            <color indexed="81"/>
            <rFont val="Tahoma"/>
            <family val="2"/>
          </rPr>
          <t xml:space="preserve">Niranjan Desai:
</t>
        </r>
        <r>
          <rPr>
            <sz val="9"/>
            <color indexed="81"/>
            <rFont val="Tahoma"/>
            <family val="2"/>
          </rPr>
          <t>Values each leg on its own cash-flow economics</t>
        </r>
      </text>
    </comment>
    <comment ref="B42" authorId="0" shapeId="0" xr:uid="{00000000-0006-0000-1000-000011000000}">
      <text>
        <r>
          <rPr>
            <b/>
            <sz val="9"/>
            <color indexed="81"/>
            <rFont val="Tahoma"/>
            <family val="2"/>
          </rPr>
          <t xml:space="preserve">Niranjan Desai:
</t>
        </r>
        <r>
          <rPr>
            <sz val="9"/>
            <color indexed="81"/>
            <rFont val="Tahoma"/>
            <family val="2"/>
          </rPr>
          <t>Confirms the FCFF result from the equity side</t>
        </r>
      </text>
    </comment>
    <comment ref="B43" authorId="0" shapeId="0" xr:uid="{00000000-0006-0000-1000-000012000000}">
      <text>
        <r>
          <rPr>
            <b/>
            <sz val="9"/>
            <color indexed="81"/>
            <rFont val="Tahoma"/>
            <family val="2"/>
          </rPr>
          <t xml:space="preserve">Niranjan Desai:
</t>
        </r>
        <r>
          <rPr>
            <sz val="9"/>
            <color indexed="81"/>
            <rFont val="Tahoma"/>
            <family val="2"/>
          </rPr>
          <t>Capital-structure-neutral — right for a capital-intensive OEM</t>
        </r>
      </text>
    </comment>
    <comment ref="B44" authorId="0" shapeId="0" xr:uid="{00000000-0006-0000-1000-000013000000}">
      <text>
        <r>
          <rPr>
            <b/>
            <sz val="9"/>
            <color indexed="81"/>
            <rFont val="Tahoma"/>
            <family val="2"/>
          </rPr>
          <t xml:space="preserve">Niranjan Desai:
</t>
        </r>
        <r>
          <rPr>
            <sz val="9"/>
            <color indexed="81"/>
            <rFont val="Tahoma"/>
            <family val="2"/>
          </rPr>
          <t>Widely quoted but distorted by peer other income and NBFC interest</t>
        </r>
      </text>
    </comment>
    <comment ref="B45" authorId="0" shapeId="0" xr:uid="{00000000-0006-0000-1000-000014000000}">
      <text>
        <r>
          <rPr>
            <b/>
            <sz val="9"/>
            <color indexed="81"/>
            <rFont val="Tahoma"/>
            <family val="2"/>
          </rPr>
          <t xml:space="preserve">Niranjan Desai:
</t>
        </r>
        <r>
          <rPr>
            <sz val="9"/>
            <color indexed="81"/>
            <rFont val="Tahoma"/>
            <family val="2"/>
          </rPr>
          <t>Genuinely comparable only for the NBFC leg</t>
        </r>
      </text>
    </comment>
    <comment ref="B46" authorId="0" shapeId="0" xr:uid="{00000000-0006-0000-1000-000015000000}">
      <text>
        <r>
          <rPr>
            <b/>
            <sz val="9"/>
            <color indexed="81"/>
            <rFont val="Tahoma"/>
            <family val="2"/>
          </rPr>
          <t xml:space="preserve">Niranjan Desai:
</t>
        </r>
        <r>
          <rPr>
            <sz val="9"/>
            <color indexed="81"/>
            <rFont val="Tahoma"/>
            <family val="2"/>
          </rPr>
          <t>Floor case; irrelevant to a going concern earning 32% ROE</t>
        </r>
      </text>
    </comment>
    <comment ref="B47" authorId="0" shapeId="0" xr:uid="{00000000-0006-0000-1000-000016000000}">
      <text>
        <r>
          <rPr>
            <b/>
            <sz val="9"/>
            <color indexed="81"/>
            <rFont val="Tahoma"/>
            <family val="2"/>
          </rPr>
          <t xml:space="preserve">Niranjan Desai:
</t>
        </r>
        <r>
          <rPr>
            <sz val="9"/>
            <color indexed="81"/>
            <rFont val="Tahoma"/>
            <family val="2"/>
          </rPr>
          <t>Captures only ~16% of the cash generated</t>
        </r>
      </text>
    </comment>
    <comment ref="C52" authorId="0" shapeId="0" xr:uid="{00000000-0006-0000-1000-000019000000}">
      <text>
        <r>
          <rPr>
            <b/>
            <sz val="9"/>
            <color indexed="81"/>
            <rFont val="Tahoma"/>
            <family val="2"/>
          </rPr>
          <t xml:space="preserve">Niranjan Desai:
</t>
        </r>
        <r>
          <rPr>
            <sz val="9"/>
            <color indexed="81"/>
            <rFont val="Tahoma"/>
            <family val="2"/>
          </rPr>
          <t>The gap to the market price is not a modelling error — it is the market capitalising a trajectory this model does not extrapolate. To reach the current price on the same WACC, the core auto business needs either a terminal growth rate close to the risk-free rate, or roughly 300–400 bp more terminal EBITDA margin than the 14.5% assumed, or FY27–FY31 volume growth sustained near the FY26 rate of 24% rather than decaying to high single digits. Each is possible; none is the base case. The reverse DCF on the Sensitivity tab quantifies which combination is required.</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C20" authorId="0" shapeId="0" xr:uid="{00000000-0006-0000-1100-000007000000}">
      <text>
        <r>
          <rPr>
            <b/>
            <sz val="9"/>
            <color indexed="81"/>
            <rFont val="Tahoma"/>
            <family val="2"/>
          </rPr>
          <t xml:space="preserve">Niranjan Desai:
</t>
        </r>
        <r>
          <rPr>
            <sz val="9"/>
            <color indexed="81"/>
            <rFont val="Tahoma"/>
            <family val="2"/>
          </rPr>
          <t>The engine reproduces the main DCF in closed form: FCFFₜ = Revₜ × [m(1−t) + d·t − c] + w·ΔRevₜ, with year one scaled by the stub factor and discounted over the same fractional period. It lets every cell below re-solve without a circular reference.</t>
        </r>
      </text>
    </comment>
    <comment ref="C22" authorId="0" shapeId="0" xr:uid="{00000000-0006-0000-1100-000008000000}">
      <text>
        <r>
          <rPr>
            <b/>
            <sz val="9"/>
            <color indexed="81"/>
            <rFont val="Tahoma"/>
            <family val="2"/>
          </rPr>
          <t xml:space="preserve">Niranjan Desai:
</t>
        </r>
        <r>
          <rPr>
            <sz val="9"/>
            <color indexed="81"/>
            <rFont val="Tahoma"/>
            <family val="2"/>
          </rPr>
          <t>Tolerance: the engine holds margin, D&amp;A and capex ratios flat at terminal-year levels, so a divergence of a few per cent is expected and acceptable.</t>
        </r>
      </text>
    </comment>
    <comment ref="B25" authorId="0" shapeId="0" xr:uid="{00000000-0006-0000-1100-000001000000}">
      <text>
        <r>
          <rPr>
            <b/>
            <sz val="9"/>
            <color indexed="81"/>
            <rFont val="Tahoma"/>
            <family val="2"/>
          </rPr>
          <t xml:space="preserve">Niranjan Desai:
</t>
        </r>
        <r>
          <rPr>
            <sz val="9"/>
            <color indexed="81"/>
            <rFont val="Tahoma"/>
            <family val="2"/>
          </rPr>
          <t>Rule of thumb from the tables: each 100 bp on WACC moves the SOTP value by roughly 12–15%, and each 100 bp of terminal EBITDA margin by roughly 8–10%. Margin and discount rate matter more than near-term volume.</t>
        </r>
      </text>
    </comment>
    <comment ref="B26" authorId="0" shapeId="0" xr:uid="{00000000-0006-0000-1100-000002000000}">
      <text>
        <r>
          <rPr>
            <b/>
            <sz val="9"/>
            <color indexed="81"/>
            <rFont val="Tahoma"/>
            <family val="2"/>
          </rPr>
          <t xml:space="preserve">Niranjan Desai:
</t>
        </r>
        <r>
          <rPr>
            <sz val="9"/>
            <color indexed="81"/>
            <rFont val="Tahoma"/>
            <family val="2"/>
          </rPr>
          <t>Terminal value is roughly 70% of enterprise value, so this table carries most of the model’s risk. Base case is shaded.</t>
        </r>
      </text>
    </comment>
    <comment ref="B43" authorId="0" shapeId="0" xr:uid="{00000000-0006-0000-1100-000003000000}">
      <text>
        <r>
          <rPr>
            <b/>
            <sz val="9"/>
            <color indexed="81"/>
            <rFont val="Tahoma"/>
            <family val="2"/>
          </rPr>
          <t xml:space="preserve">Niranjan Desai:
</t>
        </r>
        <r>
          <rPr>
            <sz val="9"/>
            <color indexed="81"/>
            <rFont val="Tahoma"/>
            <family val="2"/>
          </rPr>
          <t>Bear: rural demand stalls and the EV price war caps realisation. Bull: export share gains plus a faster iQube ramp.</t>
        </r>
      </text>
    </comment>
    <comment ref="B44" authorId="0" shapeId="0" xr:uid="{00000000-0006-0000-1100-000004000000}">
      <text>
        <r>
          <rPr>
            <b/>
            <sz val="9"/>
            <color indexed="81"/>
            <rFont val="Tahoma"/>
            <family val="2"/>
          </rPr>
          <t xml:space="preserve">Niranjan Desai:
</t>
        </r>
        <r>
          <rPr>
            <sz val="9"/>
            <color indexed="81"/>
            <rFont val="Tahoma"/>
            <family val="2"/>
          </rPr>
          <t>Bear: commodity inflation not passed through. Bull: 14–15% guidance delivered and premium mix improves.</t>
        </r>
      </text>
    </comment>
    <comment ref="B45" authorId="0" shapeId="0" xr:uid="{00000000-0006-0000-1100-000005000000}">
      <text>
        <r>
          <rPr>
            <b/>
            <sz val="9"/>
            <color indexed="81"/>
            <rFont val="Tahoma"/>
            <family val="2"/>
          </rPr>
          <t xml:space="preserve">Niranjan Desai:
</t>
        </r>
        <r>
          <rPr>
            <sz val="9"/>
            <color indexed="81"/>
            <rFont val="Tahoma"/>
            <family val="2"/>
          </rPr>
          <t>Bear: sovereign yields grind higher on oil. Bull: policy easing compresses the equity risk premium.</t>
        </r>
      </text>
    </comment>
    <comment ref="B46" authorId="0" shapeId="0" xr:uid="{00000000-0006-0000-1100-000006000000}">
      <text>
        <r>
          <rPr>
            <b/>
            <sz val="9"/>
            <color indexed="81"/>
            <rFont val="Tahoma"/>
            <family val="2"/>
          </rPr>
          <t xml:space="preserve">Niranjan Desai:
</t>
        </r>
        <r>
          <rPr>
            <sz val="9"/>
            <color indexed="81"/>
            <rFont val="Tahoma"/>
            <family val="2"/>
          </rPr>
          <t>Bear: 2W penetration matures earlier. Bull: exports and EVs extend the runway.</t>
        </r>
      </text>
    </comment>
    <comment ref="C62" authorId="0" shapeId="0" xr:uid="{00000000-0006-0000-1100-000009000000}">
      <text>
        <r>
          <rPr>
            <b/>
            <sz val="9"/>
            <color indexed="81"/>
            <rFont val="Tahoma"/>
            <family val="2"/>
          </rPr>
          <t xml:space="preserve">Niranjan Desai:
</t>
        </r>
        <r>
          <rPr>
            <sz val="9"/>
            <color indexed="81"/>
            <rFont val="Tahoma"/>
            <family val="2"/>
          </rPr>
          <t>The implied-growth solve inverts the perpetuity leg only and holds the explicit period at base case. Read it as a test of whether the market’s implied growth sits inside or outside the g ≤ Rf cap, not as a precise root.</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C7" authorId="0" shapeId="0" xr:uid="{00000000-0006-0000-1200-000001000000}">
      <text>
        <r>
          <rPr>
            <b/>
            <sz val="9"/>
            <color indexed="81"/>
            <rFont val="Tahoma"/>
            <family val="2"/>
          </rPr>
          <t xml:space="preserve">Niranjan Desai:
</t>
        </r>
        <r>
          <rPr>
            <sz val="9"/>
            <color indexed="81"/>
            <rFont val="Tahoma"/>
            <family val="2"/>
          </rPr>
          <t>Symmetric around the CAPM estimate; ±1 sd spans a 100 bp band</t>
        </r>
      </text>
    </comment>
    <comment ref="C8" authorId="0" shapeId="0" xr:uid="{00000000-0006-0000-1200-000002000000}">
      <text>
        <r>
          <rPr>
            <b/>
            <sz val="9"/>
            <color indexed="81"/>
            <rFont val="Tahoma"/>
            <family val="2"/>
          </rPr>
          <t xml:space="preserve">Niranjan Desai:
</t>
        </r>
        <r>
          <rPr>
            <sz val="9"/>
            <color indexed="81"/>
            <rFont val="Tahoma"/>
            <family val="2"/>
          </rPr>
          <t>Tight — g is the most constrained input and is capped by the risk-free rate</t>
        </r>
      </text>
    </comment>
    <comment ref="C9" authorId="0" shapeId="0" xr:uid="{00000000-0006-0000-1200-000003000000}">
      <text>
        <r>
          <rPr>
            <b/>
            <sz val="9"/>
            <color indexed="81"/>
            <rFont val="Tahoma"/>
            <family val="2"/>
          </rPr>
          <t xml:space="preserve">Niranjan Desai:
</t>
        </r>
        <r>
          <rPr>
            <sz val="9"/>
            <color indexed="81"/>
            <rFont val="Tahoma"/>
            <family val="2"/>
          </rPr>
          <t>Wide — 2W demand is cyclical and the EV ramp is genuinely uncertain</t>
        </r>
      </text>
    </comment>
    <comment ref="C10" authorId="0" shapeId="0" xr:uid="{00000000-0006-0000-1200-000004000000}">
      <text>
        <r>
          <rPr>
            <b/>
            <sz val="9"/>
            <color indexed="81"/>
            <rFont val="Tahoma"/>
            <family val="2"/>
          </rPr>
          <t xml:space="preserve">Niranjan Desai:
</t>
        </r>
        <r>
          <rPr>
            <sz val="9"/>
            <color indexed="81"/>
            <rFont val="Tahoma"/>
            <family val="2"/>
          </rPr>
          <t>Reflects commodity pass-through risk against 14–15% guidance</t>
        </r>
      </text>
    </comment>
    <comment ref="C13" authorId="0" shapeId="0" xr:uid="{00000000-0006-0000-1200-000005000000}">
      <text>
        <r>
          <rPr>
            <b/>
            <sz val="9"/>
            <color indexed="81"/>
            <rFont val="Tahoma"/>
            <family val="2"/>
          </rPr>
          <t xml:space="preserve">Niranjan Desai:
</t>
        </r>
        <r>
          <rPr>
            <sz val="9"/>
            <color indexed="81"/>
            <rFont val="Tahoma"/>
            <family val="2"/>
          </rPr>
          <t>Draws are generated once with a fixed seed and stored as values so the workbook does not reshuffle on every recalculation. The value per trial is a live formula, so the distribution still responds if the underlying model changes.</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Niranjan Desai</author>
  </authors>
  <commentList>
    <comment ref="B10" authorId="0" shapeId="0" xr:uid="{00000000-0006-0000-1300-000001000000}">
      <text>
        <r>
          <rPr>
            <b/>
            <sz val="9"/>
            <color indexed="81"/>
            <rFont val="Tahoma"/>
            <family val="2"/>
          </rPr>
          <t xml:space="preserve">Niranjan Desai:
</t>
        </r>
        <r>
          <rPr>
            <sz val="9"/>
            <color indexed="81"/>
            <rFont val="Tahoma"/>
            <family val="2"/>
          </rPr>
          <t>Liquidity, leverage, profitability, solvency and efficiency in one score</t>
        </r>
      </text>
    </comment>
    <comment ref="E10" authorId="0" shapeId="0" xr:uid="{00000000-0006-0000-1300-000008000000}">
      <text>
        <r>
          <rPr>
            <b/>
            <sz val="9"/>
            <color indexed="81"/>
            <rFont val="Tahoma"/>
            <family val="2"/>
          </rPr>
          <t xml:space="preserve">Niranjan Desai:
</t>
        </r>
        <r>
          <rPr>
            <sz val="9"/>
            <color indexed="81"/>
            <rFont val="Tahoma"/>
            <family val="2"/>
          </rPr>
          <t>These screens earn their place by feeding the discount rate rather than sitting as standalone trivia. A clean Altman Z and a consistently negative Sloan accrual ratio — CFO running above reported profit — say the earnings feeding the DCF are cash-backed, which is the single most important quality question a DCF depends on. Had the M-Score or C-Score flagged, the response would have been a governance premium on the cost of equity or a probability-weighted haircut on terminal value, not a footnote. One caveat: the Beneish AQI and DEPI terms are built from the estimated asset splits on the Balance Sheet tab, so read them directionally rather than as precise levels.</t>
        </r>
      </text>
    </comment>
    <comment ref="B11" authorId="0" shapeId="0" xr:uid="{00000000-0006-0000-1300-000002000000}">
      <text>
        <r>
          <rPr>
            <b/>
            <sz val="9"/>
            <color indexed="81"/>
            <rFont val="Tahoma"/>
            <family val="2"/>
          </rPr>
          <t xml:space="preserve">Niranjan Desai:
</t>
        </r>
        <r>
          <rPr>
            <sz val="9"/>
            <color indexed="81"/>
            <rFont val="Tahoma"/>
            <family val="2"/>
          </rPr>
          <t>Nine-point checklist of YoY profitability, leverage and efficiency gains</t>
        </r>
      </text>
    </comment>
    <comment ref="B12" authorId="0" shapeId="0" xr:uid="{00000000-0006-0000-1300-000003000000}">
      <text>
        <r>
          <rPr>
            <b/>
            <sz val="9"/>
            <color indexed="81"/>
            <rFont val="Tahoma"/>
            <family val="2"/>
          </rPr>
          <t xml:space="preserve">Niranjan Desai:
</t>
        </r>
        <r>
          <rPr>
            <sz val="9"/>
            <color indexed="81"/>
            <rFont val="Tahoma"/>
            <family val="2"/>
          </rPr>
          <t>Eight-variable index that flags aggressive or manipulated earnings</t>
        </r>
      </text>
    </comment>
    <comment ref="B13" authorId="0" shapeId="0" xr:uid="{00000000-0006-0000-1300-000004000000}">
      <text>
        <r>
          <rPr>
            <b/>
            <sz val="9"/>
            <color indexed="81"/>
            <rFont val="Tahoma"/>
            <family val="2"/>
          </rPr>
          <t xml:space="preserve">Niranjan Desai:
</t>
        </r>
        <r>
          <rPr>
            <sz val="9"/>
            <color indexed="81"/>
            <rFont val="Tahoma"/>
            <family val="2"/>
          </rPr>
          <t>Counts red flags: cash-versus-profit divergence, WC build, leverage</t>
        </r>
      </text>
    </comment>
    <comment ref="B14" authorId="0" shapeId="0" xr:uid="{00000000-0006-0000-1300-000005000000}">
      <text>
        <r>
          <rPr>
            <b/>
            <sz val="9"/>
            <color indexed="81"/>
            <rFont val="Tahoma"/>
            <family val="2"/>
          </rPr>
          <t xml:space="preserve">Niranjan Desai:
</t>
        </r>
        <r>
          <rPr>
            <sz val="9"/>
            <color indexed="81"/>
            <rFont val="Tahoma"/>
            <family val="2"/>
          </rPr>
          <t>Share of earnings from accruals rather than cash — lower is better</t>
        </r>
      </text>
    </comment>
    <comment ref="B25" authorId="0" shapeId="0" xr:uid="{00000000-0006-0000-1300-000006000000}">
      <text>
        <r>
          <rPr>
            <b/>
            <sz val="9"/>
            <color indexed="81"/>
            <rFont val="Tahoma"/>
            <family val="2"/>
          </rPr>
          <t xml:space="preserve">Niranjan Desai:
</t>
        </r>
        <r>
          <rPr>
            <sz val="9"/>
            <color indexed="81"/>
            <rFont val="Tahoma"/>
            <family val="2"/>
          </rPr>
          <t>Z = 1.2A + 1.4B + 3.3C + 0.6D + 1.0E</t>
        </r>
      </text>
    </comment>
    <comment ref="B54" authorId="0" shapeId="0" xr:uid="{00000000-0006-0000-1300-000007000000}">
      <text>
        <r>
          <rPr>
            <b/>
            <sz val="9"/>
            <color indexed="81"/>
            <rFont val="Tahoma"/>
            <family val="2"/>
          </rPr>
          <t xml:space="preserve">Niranjan Desai:
</t>
        </r>
        <r>
          <rPr>
            <sz val="9"/>
            <color indexed="81"/>
            <rFont val="Tahoma"/>
            <family val="2"/>
          </rPr>
          <t>M = −4.84 + 0.92 DSRI + 0.528 GMI + 0.404 AQI + 0.892 SGI + 0.115 DEPI − 0.172 SGAI − 0.327 LVGI + 4.679 TATA</t>
        </r>
      </text>
    </comment>
  </commentList>
</comments>
</file>

<file path=xl/sharedStrings.xml><?xml version="1.0" encoding="utf-8"?>
<sst xmlns="http://schemas.openxmlformats.org/spreadsheetml/2006/main" count="1546" uniqueCount="1038">
  <si>
    <t>TVS MOTOR COMPANY LIMITED</t>
  </si>
  <si>
    <t>Sum-of-the-parts equity valuation    |    DCF  ·  Relative  ·  Precedent transactions  ·  Asset-based    |    NSE: TVSMOTOR</t>
  </si>
  <si>
    <t>THE COMPANY</t>
  </si>
  <si>
    <t>India's third-largest two-wheeler manufacturer and second-largest 2W exporter; the only domestic OEM present across motorcycles, scooters and mopeds, plus three-wheelers. Brands: Apache, Raider, Ronin, Jupiter, NTorq, iQube and Orbiter. The group also owns Norton Motorcycles (UK), 85.15% of the NBFC TVS Credit Services, and manufacturing in Indonesia. FY26 standalone revenue ₹47,270 cr on 58.9 lakh units.</t>
  </si>
  <si>
    <t>WHY SUM-OF-THE-PARTS</t>
  </si>
  <si>
    <t>Consolidated accounts blend a capital-light manufacturer with a balance-sheet-intensive lender. Of the ₹32,791 cr of FY26 consolidated borrowings, the bulk funds TVS Credit's ₹30,639 cr loan book — an operating input for an NBFC, not leverage on the OEM. Consolidating distorts WACC, working capital and margin at once. The core automotive business is therefore valued on standalone financials via FCFF, TVS Credit on NBFC-appropriate P/B and excess-return methods, and the remaining strategic subsidiaries at appraised value. The three legs aggregate to an implied equity value per share.</t>
  </si>
  <si>
    <t>CONTENTS</t>
  </si>
  <si>
    <t>Guidance &amp; Assumptions</t>
  </si>
  <si>
    <t>Revenue Segments</t>
  </si>
  <si>
    <t>TVS Credit (NBFC)</t>
  </si>
  <si>
    <t>Cost Structure &amp; Hedging</t>
  </si>
  <si>
    <t>Peer Comps</t>
  </si>
  <si>
    <t>Income Statement</t>
  </si>
  <si>
    <t>Precedent Transactions</t>
  </si>
  <si>
    <t>Balance Sheet</t>
  </si>
  <si>
    <t>Asset-Based Valuation</t>
  </si>
  <si>
    <t>Cash Flows</t>
  </si>
  <si>
    <t>SOTP &amp; Football Field</t>
  </si>
  <si>
    <t>Debt &amp; Cost of Capital</t>
  </si>
  <si>
    <t>Sensitivity &amp; Scenarios</t>
  </si>
  <si>
    <t>DCF — FCFF</t>
  </si>
  <si>
    <t>Monte Carlo</t>
  </si>
  <si>
    <t>Credit &amp; Quality Analysis</t>
  </si>
  <si>
    <t>FORMATTING KEY</t>
  </si>
  <si>
    <t>■</t>
  </si>
  <si>
    <t>Reported actuals / hardcoded data</t>
  </si>
  <si>
    <t>Amber fill — key valuation lever</t>
  </si>
  <si>
    <t>Formulas and cross-sheet links</t>
  </si>
  <si>
    <t>Forecast drivers — flex these</t>
  </si>
  <si>
    <t>Chart colour coding</t>
  </si>
  <si>
    <t>Checks, flags and reconciliations</t>
  </si>
  <si>
    <t>■  Motorcycles</t>
  </si>
  <si>
    <t>■  Scooters - ICE</t>
  </si>
  <si>
    <t>■  Electric 2W</t>
  </si>
  <si>
    <t>MODEL INFORMATION</t>
  </si>
  <si>
    <t>Author</t>
  </si>
  <si>
    <t>Niranjan Desai</t>
  </si>
  <si>
    <t>Valuation date</t>
  </si>
  <si>
    <t>Entity valued</t>
  </si>
  <si>
    <t>TVS Motor Company Ltd (NSE: TVSMOTOR | BSE: 532343) — group, via SOTP</t>
  </si>
  <si>
    <t>Forecast horizon</t>
  </si>
  <si>
    <t>FY2027E–FY2031E explicit; Gordon Growth terminal value, cross-checked on exit multiple</t>
  </si>
  <si>
    <t>Reporting basis</t>
  </si>
  <si>
    <t>Core automotive on standalone financials; TVS Credit and other subsidiaries valued separately</t>
  </si>
  <si>
    <t>Discounting convention</t>
  </si>
  <si>
    <t>Cash flows discounted from 12 Aug 2026. FY27E is stub-adjusted to the 231 days falling after the valuation date, and net debt is rolled forward to 12 Aug 2026 — see section D of the DCF tab.</t>
  </si>
  <si>
    <t>Equity risk premium</t>
  </si>
  <si>
    <t>Damodaran India total ERP, 7.08%. No separate country premium is added on top.</t>
  </si>
  <si>
    <t>Half-yearly basis</t>
  </si>
  <si>
    <t>Revenue Segments and Income Statement are built H1/H2/FY. FY24–FY26 halves come from reported quarters; FY22–FY23 halves are apportioned at the FY24–FY26 average H1 share. Full-year columns are audited.</t>
  </si>
  <si>
    <t>Purpose</t>
  </si>
  <si>
    <t>Business Valuation group project, MBA Trimester IV, SBM-NMIMS</t>
  </si>
  <si>
    <t>Disclaimer</t>
  </si>
  <si>
    <t>Academic and illustrative only. Not investment advice.</t>
  </si>
  <si>
    <t>PRIMARY SOURCES</t>
  </si>
  <si>
    <t>•</t>
  </si>
  <si>
    <t>Audited standalone and consolidated financials FY22–FY26 — BSE XBRL filings via Screener.in (12 Aug 2026)</t>
  </si>
  <si>
    <t>Volumes — TVS Motor monthly and annual sales releases filed with BSE/NSE</t>
  </si>
  <si>
    <t>TVS Credit Services — results releases; TVS Motor BSE Reg-30 disclosure, 27 Jul 2026 (stake, net worth, PAT)</t>
  </si>
  <si>
    <t>Debt — BSE Reg-30 NCD allotment 10 Aug 2026 (₹1,000 cr at 7.28%, maturity 10 Nov 2029); NCRPS redemption 11 Aug 2026</t>
  </si>
  <si>
    <t>Ratings — CARE rationales 3 Jul and 23 Jul 2026; ICRA rationale for TVS Credit Services</t>
  </si>
  <si>
    <t>Risk-free rate — India 10-year G-Sec benchmark, FBIL, 12 Aug 2026</t>
  </si>
  <si>
    <t>ERP — A. Damodaran, country risk premiums, India total ERP 7.08%</t>
  </si>
  <si>
    <t>Peers — Bajaj Auto, Hero MotoCorp, Eicher Motors company pages on Screener.in, 12 Aug 2026</t>
  </si>
  <si>
    <t>KNOWN LIMITATIONS</t>
  </si>
  <si>
    <t>Segment realisation (ASP) is estimated, not disclosed; calibrated so the vehicle-revenue build plus a residual spares line ties to the audited top line.</t>
  </si>
  <si>
    <t>The standalone expense break-up is an analyst split of a single reported total-expenses line; the three components sum to the reported figure exactly.</t>
  </si>
  <si>
    <t>The raw-material basket weights on the Cost tab are analyst estimates benchmarked to Indian 2W bill-of-material norms, not a company disclosure.</t>
  </si>
  <si>
    <t>Hedge coverage ratios are estimates. Replace from the financial-instruments note of the FY26 annual report where the actual notionals are disclosed.</t>
  </si>
  <si>
    <t>Peer net debt is estimated; those cells are amber and can be overwritten.</t>
  </si>
  <si>
    <t>Standalone financials proxy the core automotive business. Norton UK and the international subsidiaries sit in Leg 3 of the SOTP, not in the DCF.</t>
  </si>
  <si>
    <t>The announced amalgamation of TVS Credit with Home Credit India, TVS Housing Finance and STPL (BSE, 5 Aug 2026) will change the NBFC leg once effective.</t>
  </si>
  <si>
    <t>Fiscal year ending 31 March</t>
  </si>
  <si>
    <t>Every switch below re-drives the whole model. Change the blue cells only — the lookup tables underneath feed them.</t>
  </si>
  <si>
    <t>A.  SCENARIO SWITCHES</t>
  </si>
  <si>
    <t>Control</t>
  </si>
  <si>
    <t>Selection</t>
  </si>
  <si>
    <t>What it drives</t>
  </si>
  <si>
    <t>Operating case</t>
  </si>
  <si>
    <t>Base</t>
  </si>
  <si>
    <t>Raw material and capex as a % of sales, and a multiplier on every segment volume growth rate</t>
  </si>
  <si>
    <t>Terminal growth case</t>
  </si>
  <si>
    <t>Terminal growth g on the Debt &amp; Cost of Capital tab — flows into the DCF, FCFE, DDM and every sensitivity table</t>
  </si>
  <si>
    <t>Beta basis</t>
  </si>
  <si>
    <t>Average of both</t>
  </si>
  <si>
    <t>Which beta feeds the CAPM: the raw regression, the Hamada-relevered bottom-up, or the average</t>
  </si>
  <si>
    <t>WACC adjustment</t>
  </si>
  <si>
    <t>As calculated</t>
  </si>
  <si>
    <t>A manual overlay on the computed WACC for stress testing without touching the CAPM build</t>
  </si>
  <si>
    <t>Commodity pass-through</t>
  </si>
  <si>
    <t>Base - 70%</t>
  </si>
  <si>
    <t>Share of a raw-material price move recovered in vehicle pricing — drives the commodity sensitivity on the Cost tab</t>
  </si>
  <si>
    <t>TVS Credit valuation method</t>
  </si>
  <si>
    <t>Average of three</t>
  </si>
  <si>
    <t>Which of the three NBFC methods sets Leg 2 of the sum-of-the-parts</t>
  </si>
  <si>
    <t>Peer multiple basis</t>
  </si>
  <si>
    <t>Peer median</t>
  </si>
  <si>
    <t>Which point of the peer multiple range drives the relative valuation</t>
  </si>
  <si>
    <t>SOTP weighting scheme</t>
  </si>
  <si>
    <t>Balanced</t>
  </si>
  <si>
    <t>The weights applied to the seven methodologies in the concluded value</t>
  </si>
  <si>
    <t>Monte Carlo volatility regime</t>
  </si>
  <si>
    <t>Scales all four input standard deviations in the simulation</t>
  </si>
  <si>
    <t>B.  LIVE OUTPUT — UPDATES AS YOU SWITCH</t>
  </si>
  <si>
    <t>Cost of equity  Ke</t>
  </si>
  <si>
    <t>WACC</t>
  </si>
  <si>
    <t>Terminal growth  g</t>
  </si>
  <si>
    <t>Core automotive value per share (₹)</t>
  </si>
  <si>
    <t>TVS Credit per TVS Motor share (₹)</t>
  </si>
  <si>
    <t>SOTP value per share (₹)</t>
  </si>
  <si>
    <t>CONCLUDED VALUE PER SHARE (₹)</t>
  </si>
  <si>
    <t>Current market price (₹)</t>
  </si>
  <si>
    <t>Upside / (downside)</t>
  </si>
  <si>
    <t>Implied recommendation</t>
  </si>
  <si>
    <t>C.  LOOKUP TABLES  (feed the switches above — edit values here, not the switch)</t>
  </si>
  <si>
    <t>RM % FY27E</t>
  </si>
  <si>
    <t>FY28E</t>
  </si>
  <si>
    <t>FY29E</t>
  </si>
  <si>
    <t>FY30E</t>
  </si>
  <si>
    <t>FY31E</t>
  </si>
  <si>
    <t>Capex % FY27E</t>
  </si>
  <si>
    <t>Volume growth ×</t>
  </si>
  <si>
    <t>Conservative</t>
  </si>
  <si>
    <t>Aggressive</t>
  </si>
  <si>
    <t>g</t>
  </si>
  <si>
    <t>Overlay</t>
  </si>
  <si>
    <t>-100 bp</t>
  </si>
  <si>
    <t>-50 bp</t>
  </si>
  <si>
    <t>+50 bp</t>
  </si>
  <si>
    <t>+100 bp</t>
  </si>
  <si>
    <t>Recovered</t>
  </si>
  <si>
    <t>Weak - 40%</t>
  </si>
  <si>
    <t>Strong - 90%</t>
  </si>
  <si>
    <t>TVS Credit method</t>
  </si>
  <si>
    <t>Value (₹ cr)</t>
  </si>
  <si>
    <t>Peer P/B only</t>
  </si>
  <si>
    <t>Warranted P/B only</t>
  </si>
  <si>
    <t>Transaction only</t>
  </si>
  <si>
    <t>EV/EBITDA</t>
  </si>
  <si>
    <t>P/E</t>
  </si>
  <si>
    <t>Peer mean</t>
  </si>
  <si>
    <t>Peer low</t>
  </si>
  <si>
    <t>Peer high</t>
  </si>
  <si>
    <t>FCFF</t>
  </si>
  <si>
    <t>FCFE</t>
  </si>
  <si>
    <t>Precedent</t>
  </si>
  <si>
    <t>NAV</t>
  </si>
  <si>
    <t>DDM</t>
  </si>
  <si>
    <t>Total</t>
  </si>
  <si>
    <t>DCF-led</t>
  </si>
  <si>
    <t>Market-led</t>
  </si>
  <si>
    <t>Std dev multiplier</t>
  </si>
  <si>
    <t>Low</t>
  </si>
  <si>
    <t>High</t>
  </si>
  <si>
    <t>Resolved values (what the switches currently return)</t>
  </si>
  <si>
    <t>Volume growth multiplier</t>
  </si>
  <si>
    <t>WACC overlay</t>
  </si>
  <si>
    <t>Pass-through</t>
  </si>
  <si>
    <t>Monte Carlo sd multiplier</t>
  </si>
  <si>
    <t>All amounts in ₹ crores unless stated  ·  Central assumption register — every driver used downstream lives here</t>
  </si>
  <si>
    <t>A.  MANAGEMENT GUIDANCE AND DISCLOSED OPERATING DATA</t>
  </si>
  <si>
    <t>FY2026A</t>
  </si>
  <si>
    <t>FY2027 guidance</t>
  </si>
  <si>
    <t>Total vehicle sales (lakh units)</t>
  </si>
  <si>
    <t>70–75 (implied)</t>
  </si>
  <si>
    <t>Two-wheeler volumes (lakh units)</t>
  </si>
  <si>
    <t>—</t>
  </si>
  <si>
    <t>Electric 2W volumes (lakh units)</t>
  </si>
  <si>
    <t>6.0–6.5</t>
  </si>
  <si>
    <t>Total exports (lakh units)</t>
  </si>
  <si>
    <t>Export share of India 2W exports</t>
  </si>
  <si>
    <t>Operating EBITDA margin (standalone)</t>
  </si>
  <si>
    <t>13.4%</t>
  </si>
  <si>
    <t>Installed 2W capacity (lakh units p.a.)</t>
  </si>
  <si>
    <t>74.0</t>
  </si>
  <si>
    <t>Effective tax rate</t>
  </si>
  <si>
    <t>TVS Credit AUM (₹ cr)</t>
  </si>
  <si>
    <t>TVS Motor holding in TVS Credit</t>
  </si>
  <si>
    <t>B.  MACRO AND INDUSTRY DRIVERS</t>
  </si>
  <si>
    <t>Input</t>
  </si>
  <si>
    <t>India 10-year G-Sec yield (risk-free rate)</t>
  </si>
  <si>
    <t>India equity risk premium (total)</t>
  </si>
  <si>
    <t>Long-run nominal GDP growth (terminal-growth ceiling)</t>
  </si>
  <si>
    <t>Domestic 2W industry volume growth, FY27–FY31 CAGR</t>
  </si>
  <si>
    <t>EV penetration of domestic 2W industry by FY31</t>
  </si>
  <si>
    <t>USD/INR</t>
  </si>
  <si>
    <t>Steel / commodity basket inflation p.a.</t>
  </si>
  <si>
    <t>Share of raw-material inflation passed through in price</t>
  </si>
  <si>
    <t>C.  OPERATING FORECAST DRIVERS  (FY2027E – FY2031E)</t>
  </si>
  <si>
    <t>FY2027E</t>
  </si>
  <si>
    <t>FY2028E</t>
  </si>
  <si>
    <t>FY2029E</t>
  </si>
  <si>
    <t>FY2030E</t>
  </si>
  <si>
    <t>FY2031E</t>
  </si>
  <si>
    <t>Raw material &amp; components (% of sales)</t>
  </si>
  <si>
    <t>Employee benefits expense (% of sales)</t>
  </si>
  <si>
    <t>Other expenses (% of sales)</t>
  </si>
  <si>
    <t>Capex (% of sales)</t>
  </si>
  <si>
    <t>Spares &amp; other operating revenue (% of vehicle revenue)</t>
  </si>
  <si>
    <t>H1 share of full-year revenue (seasonality)</t>
  </si>
  <si>
    <t>Other income, net (₹ cr)</t>
  </si>
  <si>
    <t>Dividend payout ratio</t>
  </si>
  <si>
    <t>Volume growth case multiplier (from the Control Panel)</t>
  </si>
  <si>
    <t>Applied to every segment volume growth rate on the Revenue Segments tab.</t>
  </si>
  <si>
    <t>All charts are live links to the model tabs — change a driver or a Control Panel switch and every exhibit below re-draws. Source data sits from row 200.</t>
  </si>
  <si>
    <t>GROWTH AND MIX</t>
  </si>
  <si>
    <t>CAPITAL DEPLOYMENT AND COST</t>
  </si>
  <si>
    <t>RETURNS, WORKING CAPITAL AND BALANCE SHEET</t>
  </si>
  <si>
    <t>VALUATION</t>
  </si>
  <si>
    <t>RISK AND EARNINGS QUALITY</t>
  </si>
  <si>
    <t>CHART SOURCE DATA — linked to the model, do not overwrite</t>
  </si>
  <si>
    <t>Year</t>
  </si>
  <si>
    <t>FY2022</t>
  </si>
  <si>
    <t>FY2023</t>
  </si>
  <si>
    <t>FY2024</t>
  </si>
  <si>
    <t>FY2025</t>
  </si>
  <si>
    <t>FY2026</t>
  </si>
  <si>
    <t>Motorcycles</t>
  </si>
  <si>
    <t>Scooters — ICE</t>
  </si>
  <si>
    <t>Electric 2W</t>
  </si>
  <si>
    <t>Mopeds</t>
  </si>
  <si>
    <t>Three-wheelers</t>
  </si>
  <si>
    <t>Revenue</t>
  </si>
  <si>
    <t>EBITDA</t>
  </si>
  <si>
    <t>EBITDA margin</t>
  </si>
  <si>
    <t>PAT</t>
  </si>
  <si>
    <t>EPS (₹)</t>
  </si>
  <si>
    <t>ROCE</t>
  </si>
  <si>
    <t>ROE</t>
  </si>
  <si>
    <t>Capital expenditure</t>
  </si>
  <si>
    <t>Capex % of sales</t>
  </si>
  <si>
    <t>Depreciation</t>
  </si>
  <si>
    <t>Installed capacity (lakh)</t>
  </si>
  <si>
    <t>Volume (lakh units)</t>
  </si>
  <si>
    <t>Capacity utilisation</t>
  </si>
  <si>
    <t>Inventory days</t>
  </si>
  <si>
    <t>Receivable days</t>
  </si>
  <si>
    <t>Payable days</t>
  </si>
  <si>
    <t>Cash conversion cycle</t>
  </si>
  <si>
    <t>Operating cash flow</t>
  </si>
  <si>
    <t>Free cash flow to firm</t>
  </si>
  <si>
    <t>Net debt / (cash)</t>
  </si>
  <si>
    <t>Net debt / EBITDA</t>
  </si>
  <si>
    <t>Interest coverage (x)</t>
  </si>
  <si>
    <t>Electric 2W volume (lakh)</t>
  </si>
  <si>
    <t>EV share of 2W volume</t>
  </si>
  <si>
    <t>Domestic revenue</t>
  </si>
  <si>
    <t>Export revenue</t>
  </si>
  <si>
    <t>Export share of volume</t>
  </si>
  <si>
    <t>Raw material</t>
  </si>
  <si>
    <t>Employee cost</t>
  </si>
  <si>
    <t>Other expenses</t>
  </si>
  <si>
    <t>Contribution per vehicle</t>
  </si>
  <si>
    <t>EBITDA per vehicle</t>
  </si>
  <si>
    <t>R&amp;D spend</t>
  </si>
  <si>
    <t>R&amp;D % of revenue</t>
  </si>
  <si>
    <t>Blended realisation (₹)</t>
  </si>
  <si>
    <t>Peer set</t>
  </si>
  <si>
    <t>Bajaj Auto</t>
  </si>
  <si>
    <t>Hero MotoCorp</t>
  </si>
  <si>
    <t>Eicher Motors</t>
  </si>
  <si>
    <t>TVS Motor</t>
  </si>
  <si>
    <t>Multiple history</t>
  </si>
  <si>
    <t>P/E (x)</t>
  </si>
  <si>
    <t>EV/EBITDA (x)</t>
  </si>
  <si>
    <t>P/B (x)</t>
  </si>
  <si>
    <t>Method</t>
  </si>
  <si>
    <t>Base (hidden)</t>
  </si>
  <si>
    <t>Range</t>
  </si>
  <si>
    <t>Market price</t>
  </si>
  <si>
    <t>Concluded value</t>
  </si>
  <si>
    <t>Leg</t>
  </si>
  <si>
    <t>₹ per share</t>
  </si>
  <si>
    <t>Scenario</t>
  </si>
  <si>
    <t>Bear</t>
  </si>
  <si>
    <t>Bull</t>
  </si>
  <si>
    <t>Value bin</t>
  </si>
  <si>
    <t>Bin (₹)</t>
  </si>
  <si>
    <t>Frequency</t>
  </si>
  <si>
    <t>Credit</t>
  </si>
  <si>
    <t>Altman Z-Score</t>
  </si>
  <si>
    <t>Piotroski F-Score</t>
  </si>
  <si>
    <t>Sloan accrual ratio</t>
  </si>
  <si>
    <t>H1</t>
  </si>
  <si>
    <t>H2</t>
  </si>
  <si>
    <t>FY</t>
  </si>
  <si>
    <t>All amounts in ₹ crores unless stated  ·  Volume × realisation build — standalone (core automotive)</t>
  </si>
  <si>
    <t>2022</t>
  </si>
  <si>
    <t>2023</t>
  </si>
  <si>
    <t>2024</t>
  </si>
  <si>
    <t>2025</t>
  </si>
  <si>
    <t>2026</t>
  </si>
  <si>
    <t>2027E</t>
  </si>
  <si>
    <t>2028E</t>
  </si>
  <si>
    <t>2029E</t>
  </si>
  <si>
    <t>2030E</t>
  </si>
  <si>
    <t>2031E</t>
  </si>
  <si>
    <t>A.  SEGMENT-WISE VOLUME × REALISATION BUILD</t>
  </si>
  <si>
    <t>MOTORCYCLES  (Apache, Raider, Ronin, Radeon, Sport)</t>
  </si>
  <si>
    <t>Volume (units)</t>
  </si>
  <si>
    <t>Volume growth % (YoY)</t>
  </si>
  <si>
    <t>Realisation / ASP (₹ per unit)</t>
  </si>
  <si>
    <t>ASP growth % (YoY)</t>
  </si>
  <si>
    <t>Segment revenue (₹ cr)</t>
  </si>
  <si>
    <t>SCOOTERS — ICE  (Jupiter, NTorq, Zest)</t>
  </si>
  <si>
    <t>ELECTRIC TWO-WHEELERS  (iQube, Orbiter)</t>
  </si>
  <si>
    <t>MOPEDS  (XL 100)</t>
  </si>
  <si>
    <t>THREE-WHEELERS  (King, King EV Max)</t>
  </si>
  <si>
    <t>TOTAL VEHICLE VOLUME (units)</t>
  </si>
  <si>
    <t>Blended realisation (₹ per unit)</t>
  </si>
  <si>
    <t>TOTAL VEHICLE REVENUE (₹ cr)</t>
  </si>
  <si>
    <t>Spare parts, accessories &amp; other operating revenue</t>
  </si>
  <si>
    <t>as % of vehicle revenue</t>
  </si>
  <si>
    <t>TOTAL REVENUE FROM OPERATIONS</t>
  </si>
  <si>
    <t>Reported revenue from operations (audited)</t>
  </si>
  <si>
    <t>Reconciliation difference</t>
  </si>
  <si>
    <t>Total revenue growth % (YoY)</t>
  </si>
  <si>
    <t>B.  GEOGRAPHIC SPLIT — DOMESTIC vs EXPORTS</t>
  </si>
  <si>
    <t>Export volume (units, 2W + 3W)</t>
  </si>
  <si>
    <t>Exports as % of total volume</t>
  </si>
  <si>
    <t>Export volume growth %</t>
  </si>
  <si>
    <t>Domestic volume (units)</t>
  </si>
  <si>
    <t>Domestic as % of total volume</t>
  </si>
  <si>
    <t>Export revenue (₹ cr, at blended realisation)</t>
  </si>
  <si>
    <t>Domestic revenue (₹ cr)</t>
  </si>
  <si>
    <t>C.  CAPACITY, UTILISATION AND EV MIX</t>
  </si>
  <si>
    <t>Installed two-wheeler capacity (units p.a.)</t>
  </si>
  <si>
    <t>Capacity utilisation %</t>
  </si>
  <si>
    <t>Electric 2W volume (units)</t>
  </si>
  <si>
    <t>EV as % of total two-wheeler volume</t>
  </si>
  <si>
    <t>EV revenue as % of total revenue</t>
  </si>
  <si>
    <t>Chart helper — full-year data</t>
  </si>
  <si>
    <t>Total volume (lakh units)</t>
  </si>
  <si>
    <t>Blended realisation (₹/unit)</t>
  </si>
  <si>
    <t>Actual</t>
  </si>
  <si>
    <t>Estimate</t>
  </si>
  <si>
    <t>All amounts in ₹ crores unless stated  ·  Cost build, bill-of-material exposure, commodity sensitivity and hedging</t>
  </si>
  <si>
    <t>A.  OPERATING COST STACK</t>
  </si>
  <si>
    <t>Revenue from operations</t>
  </si>
  <si>
    <t>Raw material &amp; components consumed</t>
  </si>
  <si>
    <t xml:space="preserve">   as % of sales</t>
  </si>
  <si>
    <t>Employee benefits expense</t>
  </si>
  <si>
    <t>Total operating cost</t>
  </si>
  <si>
    <t>B.  PER-UNIT ECONOMICS  (₹ per vehicle)</t>
  </si>
  <si>
    <t>Vehicles sold (units)</t>
  </si>
  <si>
    <t>Revenue per vehicle</t>
  </si>
  <si>
    <t>Raw material cost per vehicle</t>
  </si>
  <si>
    <t>Contribution margin %</t>
  </si>
  <si>
    <t>Employee + other cost per vehicle</t>
  </si>
  <si>
    <t>C.  RAW-MATERIAL BASKET — ESTIMATED BILL-OF-MATERIAL MIX</t>
  </si>
  <si>
    <t>% of RM basket</t>
  </si>
  <si>
    <t>FY2026A ₹ cr</t>
  </si>
  <si>
    <t>Price benchmark</t>
  </si>
  <si>
    <t>Steel — flat, long and tubes</t>
  </si>
  <si>
    <t>HRC / CRC domestic landed price</t>
  </si>
  <si>
    <t>Aluminium, castings and forgings</t>
  </si>
  <si>
    <t>LME aluminium plus domestic premium</t>
  </si>
  <si>
    <t>Plastics, polymers and paints</t>
  </si>
  <si>
    <t>Crude-linked polymer grades (PP, ABS)</t>
  </si>
  <si>
    <t>Rubber, tyres and tubes</t>
  </si>
  <si>
    <t>Natural rubber RSS-4, Kottayam</t>
  </si>
  <si>
    <t>Electricals, electronics and semiconductors</t>
  </si>
  <si>
    <t>Imported — USD-denominated, semi lead times</t>
  </si>
  <si>
    <t>Li-ion cells and EV powertrain</t>
  </si>
  <si>
    <t>Global cell $/kWh; imported cells, domestic pack assembly</t>
  </si>
  <si>
    <t>Precious metals — Pt / Pd / Rh (catalysts)</t>
  </si>
  <si>
    <t>LBMA fixings, USD-denominated</t>
  </si>
  <si>
    <t>Other bought-outs, fasteners, packaging, freight-in</t>
  </si>
  <si>
    <t>Mixed — largely domestic</t>
  </si>
  <si>
    <t>Total raw-material basket</t>
  </si>
  <si>
    <t>Check vs FY2026A reported material cost</t>
  </si>
  <si>
    <t>D.  COMMODITY SENSITIVITY — EBITDA AND VALUE IMPACT</t>
  </si>
  <si>
    <t>Basket weight</t>
  </si>
  <si>
    <t>±10% price move → FY2027E EBITDA (₹ cr)</t>
  </si>
  <si>
    <t>→ EBITDA margin (bp)</t>
  </si>
  <si>
    <t>→ SOTP value (₹/share)</t>
  </si>
  <si>
    <t>Whole basket ±10%</t>
  </si>
  <si>
    <t>Pass-through recovered in price within two quarters</t>
  </si>
  <si>
    <t>Net EBITDA impact after pass-through (₹ cr)</t>
  </si>
  <si>
    <t>Net value impact after pass-through (₹/share)</t>
  </si>
  <si>
    <t>E.  DOES THE PASS-THROUGH ACTUALLY WORK? — THE HISTORICAL RECORD</t>
  </si>
  <si>
    <t>Raw material as % of sales</t>
  </si>
  <si>
    <t>YoY change (bp)</t>
  </si>
  <si>
    <t>Gross margin (1 − RM %)</t>
  </si>
  <si>
    <t>Revenue per vehicle (₹)</t>
  </si>
  <si>
    <t>RM cost per vehicle (₹)</t>
  </si>
  <si>
    <t>Contribution per vehicle (₹)</t>
  </si>
  <si>
    <t>F.  FX EXPOSURE AND THE NATURAL HEDGE</t>
  </si>
  <si>
    <t>Export revenue (₹ cr)</t>
  </si>
  <si>
    <t>Export revenue as % of total</t>
  </si>
  <si>
    <t>Imported content as % of raw material</t>
  </si>
  <si>
    <t>Imported material cost (₹ cr)</t>
  </si>
  <si>
    <t>Net foreign-currency surplus / (deficit) (₹ cr)</t>
  </si>
  <si>
    <t>Net exposure as % of revenue</t>
  </si>
  <si>
    <t>USD/INR assumption</t>
  </si>
  <si>
    <t>FY2027E EBITDA impact of a ±₹1.00 move in USD/INR (₹ cr)</t>
  </si>
  <si>
    <t>as bp of FY2027E EBITDA margin</t>
  </si>
  <si>
    <t>G.  HEDGING AND RISK-MITIGATION FRAMEWORK</t>
  </si>
  <si>
    <t>Exposure</t>
  </si>
  <si>
    <t>Est. coverage</t>
  </si>
  <si>
    <t>Instrument / mitigant</t>
  </si>
  <si>
    <t>Foreign-currency transaction risk — export receivables</t>
  </si>
  <si>
    <t>Forward contracts rolled on a 3–12 month horizon against booked and highly probable exports</t>
  </si>
  <si>
    <t>Foreign-currency transaction risk — import payables</t>
  </si>
  <si>
    <t>Forwards on USD payables for electronics and cells; partly offset naturally against export inflows</t>
  </si>
  <si>
    <t>Foreign-currency translation risk — overseas subsidiaries</t>
  </si>
  <si>
    <t>None</t>
  </si>
  <si>
    <t>Not hedged — Norton UK and PT TVS Indonesia translate through OCI / other income</t>
  </si>
  <si>
    <t>Steel and aluminium price risk</t>
  </si>
  <si>
    <t>No exchange-traded hedge. Managed through index-linked vendor contracts, quarterly repricing and value-analysis / value-engineering</t>
  </si>
  <si>
    <t>Li-ion cell price risk</t>
  </si>
  <si>
    <t>Long-term supply agreements with fixed-price windows; domestic cell sourcing under PLI from FY28</t>
  </si>
  <si>
    <t>Precious-metal price risk</t>
  </si>
  <si>
    <t>Unhedged — small and structurally shrinking as the EV mix rises</t>
  </si>
  <si>
    <t>Interest-rate risk</t>
  </si>
  <si>
    <t>Borrowings are predominantly fixed-coupon (the Aug-2026 NCD is fixed at 7.28% to Nov 2029)</t>
  </si>
  <si>
    <t>H.  RESEARCH &amp; DEVELOPMENT AND PRODUCT PIPELINE</t>
  </si>
  <si>
    <t>R&amp;D expenditure — revenue account</t>
  </si>
  <si>
    <t>R&amp;D expenditure — capital account</t>
  </si>
  <si>
    <t>Total R&amp;D spend</t>
  </si>
  <si>
    <t>R&amp;D as % of revenue</t>
  </si>
  <si>
    <t>R&amp;D per vehicle (₹)</t>
  </si>
  <si>
    <t>Capital work-in-progress — product &amp; capacity pipeline</t>
  </si>
  <si>
    <t>All amounts in ₹ crores unless stated  ·  Standalone (core automotive) — the entity carried into the FCFF model</t>
  </si>
  <si>
    <t>INCOME STATEMENT</t>
  </si>
  <si>
    <t>Growth % (YoY)</t>
  </si>
  <si>
    <t>Cost of materials &amp; components consumed (net of stock change)</t>
  </si>
  <si>
    <t>Total operating expenditure</t>
  </si>
  <si>
    <t>Depreciation &amp; amortisation</t>
  </si>
  <si>
    <t>EBIT / operating income</t>
  </si>
  <si>
    <t>EBIT margin</t>
  </si>
  <si>
    <t>Other income, net</t>
  </si>
  <si>
    <t>Finance cost</t>
  </si>
  <si>
    <t>Profit before tax</t>
  </si>
  <si>
    <t>PBT margin</t>
  </si>
  <si>
    <t>Reported PBT (audited)</t>
  </si>
  <si>
    <t>Difference (rounding)</t>
  </si>
  <si>
    <t>Tax expense</t>
  </si>
  <si>
    <t>PROFIT AFTER TAX</t>
  </si>
  <si>
    <t>PAT margin</t>
  </si>
  <si>
    <t>Reported PAT (audited)</t>
  </si>
  <si>
    <t>Weighted average shares outstanding (crore)</t>
  </si>
  <si>
    <t>Earnings per share (₹)</t>
  </si>
  <si>
    <t>Dividend per share (₹)</t>
  </si>
  <si>
    <t>Dividend paid (₹ cr)</t>
  </si>
  <si>
    <t>Market price per share (₹)</t>
  </si>
  <si>
    <t>Market capitalisation (₹ cr)</t>
  </si>
  <si>
    <t>RATIO ANALYSIS  (full-year columns)</t>
  </si>
  <si>
    <t>Contribution margin proxy (1 − RM % of sales)</t>
  </si>
  <si>
    <t>Return on equity (PAT / closing net worth)</t>
  </si>
  <si>
    <t>Return on capital employed</t>
  </si>
  <si>
    <t>Return on assets (PAT / total assets)</t>
  </si>
  <si>
    <t>Asset turnover (sales / total assets)</t>
  </si>
  <si>
    <t>Interest coverage (EBITDA / finance cost)</t>
  </si>
  <si>
    <t>Price / earnings (x)</t>
  </si>
  <si>
    <t>EV / EBITDA (x)</t>
  </si>
  <si>
    <t>Price / book (x)</t>
  </si>
  <si>
    <t>Chart helper</t>
  </si>
  <si>
    <t>Revenue (₹ cr)</t>
  </si>
  <si>
    <t>EBITDA (₹ cr)</t>
  </si>
  <si>
    <t>PAT (₹ cr)</t>
  </si>
  <si>
    <t>All amounts in ₹ crores unless stated  ·  Standalone (core automotive)</t>
  </si>
  <si>
    <t>BALANCE SHEET</t>
  </si>
  <si>
    <t>EQUITY &amp; LIABILITIES</t>
  </si>
  <si>
    <t>Equity share capital</t>
  </si>
  <si>
    <t>Other equity (reserves &amp; surplus)</t>
  </si>
  <si>
    <t>TOTAL SHAREHOLDERS' EQUITY</t>
  </si>
  <si>
    <t>Total borrowings</t>
  </si>
  <si>
    <t>Trade payables</t>
  </si>
  <si>
    <t>Other liabilities &amp; provisions</t>
  </si>
  <si>
    <t>Total other liabilities</t>
  </si>
  <si>
    <t>TOTAL EQUITY &amp; LIABILITIES</t>
  </si>
  <si>
    <t>ASSETS</t>
  </si>
  <si>
    <t>Property, plant &amp; equipment (net block)</t>
  </si>
  <si>
    <t>Capital work-in-progress</t>
  </si>
  <si>
    <t>Investments — total</t>
  </si>
  <si>
    <t>of which: investments in subsidiaries, JVs &amp; associates</t>
  </si>
  <si>
    <t>of which: treasury &amp; liquid investments</t>
  </si>
  <si>
    <t>Inventories</t>
  </si>
  <si>
    <t>Cash &amp; cash equivalents</t>
  </si>
  <si>
    <t>Trade receivables</t>
  </si>
  <si>
    <t>Other assets (loans, advances, deferred tax, other financial)</t>
  </si>
  <si>
    <t>Total current &amp; other assets</t>
  </si>
  <si>
    <t>TOTAL ASSETS</t>
  </si>
  <si>
    <t>Balance check (assets − equity &amp; liabilities)</t>
  </si>
  <si>
    <t>WORKING CAPITAL SCHEDULE</t>
  </si>
  <si>
    <t>Inventory days (on materials cost)</t>
  </si>
  <si>
    <t>Trade receivable days (on sales)</t>
  </si>
  <si>
    <t>Trade payable days (on materials cost)</t>
  </si>
  <si>
    <t>Cash conversion cycle (days)</t>
  </si>
  <si>
    <t>Net working capital (inventory + receivables − payables)</t>
  </si>
  <si>
    <t>(Increase) / decrease in net working capital</t>
  </si>
  <si>
    <t>FIXED-ASSET, DEPRECIATION AND DEBT SCHEDULE</t>
  </si>
  <si>
    <t>Opening net block (PPE + CWIP)</t>
  </si>
  <si>
    <t>Add: capital expenditure</t>
  </si>
  <si>
    <t>Less: depreciation &amp; amortisation</t>
  </si>
  <si>
    <t>Closing net block (PPE + CWIP)</t>
  </si>
  <si>
    <t>Capex as % of sales</t>
  </si>
  <si>
    <t>D&amp;A as % of opening net block</t>
  </si>
  <si>
    <t>Opening borrowings</t>
  </si>
  <si>
    <t>Net borrowing / (repayment)</t>
  </si>
  <si>
    <t>Closing borrowings</t>
  </si>
  <si>
    <t>Average borrowings</t>
  </si>
  <si>
    <t>Blended interest rate on borrowings</t>
  </si>
  <si>
    <t>All amounts in ₹ crores unless stated  ·  Standalone (core automotive) — indirect method</t>
  </si>
  <si>
    <t>CASH FLOW STATEMENT</t>
  </si>
  <si>
    <t>Add: depreciation &amp; amortisation</t>
  </si>
  <si>
    <t>Add: finance cost</t>
  </si>
  <si>
    <t>Less: other income</t>
  </si>
  <si>
    <t>Operating profit before working capital changes</t>
  </si>
  <si>
    <t>Changes in working capital</t>
  </si>
  <si>
    <t>Cash generated from operations</t>
  </si>
  <si>
    <t>Less: taxes paid</t>
  </si>
  <si>
    <t>NET CASH FROM OPERATING ACTIVITIES</t>
  </si>
  <si>
    <t>Reported CFO (audited)</t>
  </si>
  <si>
    <t>Difference — other non-cash items &amp; timing</t>
  </si>
  <si>
    <t>INVESTING ACTIVITIES</t>
  </si>
  <si>
    <t>Investment in subsidiaries &amp; other investments</t>
  </si>
  <si>
    <t>NET CASH FROM INVESTING ACTIVITIES</t>
  </si>
  <si>
    <t>Reported CFI (audited)</t>
  </si>
  <si>
    <t>FINANCING ACTIVITIES</t>
  </si>
  <si>
    <t>Dividend paid</t>
  </si>
  <si>
    <t>Finance cost paid</t>
  </si>
  <si>
    <t>NET CASH FROM FINANCING ACTIVITIES</t>
  </si>
  <si>
    <t>Reported CFF (audited)</t>
  </si>
  <si>
    <t>NET INCREASE / (DECREASE) IN CASH</t>
  </si>
  <si>
    <t>Opening cash &amp; cash equivalents</t>
  </si>
  <si>
    <t>Closing cash &amp; cash equivalents</t>
  </si>
  <si>
    <t>FREE CASH FLOW ANALYSIS</t>
  </si>
  <si>
    <t>Free cash flow to firm  =  EBIT×(1−t) + D&amp;A − capex − ΔNWC</t>
  </si>
  <si>
    <t>Free cash flow to equity  =  FCFF − interest×(1−t) + net borrowing</t>
  </si>
  <si>
    <t>FCFF conversion (FCFF / EBITDA)</t>
  </si>
  <si>
    <t>Cash conversion (CFO / EBITDA)</t>
  </si>
  <si>
    <t>All amounts in ₹ crores unless stated  ·  Debt instruments, credit ratings, CAPM and WACC</t>
  </si>
  <si>
    <t>A.  DEBT AND INSTRUMENT PROFILE — TVS MOTOR STANDALONE</t>
  </si>
  <si>
    <t>Instrument</t>
  </si>
  <si>
    <t>Amount (₹ cr)</t>
  </si>
  <si>
    <t>Coupon</t>
  </si>
  <si>
    <t>Maturity</t>
  </si>
  <si>
    <t>Rating</t>
  </si>
  <si>
    <t>Listed NCDs — issued 10 Aug 2026</t>
  </si>
  <si>
    <t>10-Nov-2029</t>
  </si>
  <si>
    <t>CRISIL AAA / Stable</t>
  </si>
  <si>
    <t>Earlier listed NCDs &amp; debentures</t>
  </si>
  <si>
    <t>FY27–FY29</t>
  </si>
  <si>
    <t>CRISIL AAA / CARE AAA</t>
  </si>
  <si>
    <t>Rupee term loans from banks</t>
  </si>
  <si>
    <t>FY28–FY31</t>
  </si>
  <si>
    <t>CRISIL AAA</t>
  </si>
  <si>
    <t>External commercial borrowings / FX loans</t>
  </si>
  <si>
    <t>FY28–FY30</t>
  </si>
  <si>
    <t>Working capital &amp; short-term facilities</t>
  </si>
  <si>
    <t>&lt; 1 year</t>
  </si>
  <si>
    <t>CRISIL A1+</t>
  </si>
  <si>
    <t>Non-convertible redeemable preference shares</t>
  </si>
  <si>
    <t>01-Sep-2026</t>
  </si>
  <si>
    <t>Total standalone borrowings</t>
  </si>
  <si>
    <t>Wtd avg coupon</t>
  </si>
  <si>
    <t>Cross-check: FY2026A reported standalone borrowings</t>
  </si>
  <si>
    <t>Difference</t>
  </si>
  <si>
    <t>B.  CREDIT RATINGS</t>
  </si>
  <si>
    <t>TVS Motor — long-term bank facilities &amp; NCDs</t>
  </si>
  <si>
    <t>CARE AAA; Stable</t>
  </si>
  <si>
    <t>TVS Motor — short-term facilities</t>
  </si>
  <si>
    <t>CARE A1+</t>
  </si>
  <si>
    <t>TVS Motor — NCDs</t>
  </si>
  <si>
    <t>TVS Credit Services — long-term</t>
  </si>
  <si>
    <t>ICRA AA+ (upgraded); CRISIL AA+</t>
  </si>
  <si>
    <t>C.  COST OF DEBT</t>
  </si>
  <si>
    <t>Marginal pre-tax cost of debt (latest NCD coupon)</t>
  </si>
  <si>
    <t>Weighted average coupon on existing debt</t>
  </si>
  <si>
    <t>FY2026 effective rate (finance cost / average borrowings)</t>
  </si>
  <si>
    <t>Credit spread over the 10-year G-Sec (bp)</t>
  </si>
  <si>
    <t>Marginal tax rate</t>
  </si>
  <si>
    <t>After-tax cost of debt   Kd = kd × (1 − t)</t>
  </si>
  <si>
    <t>D.  FORECAST FINANCE COST</t>
  </si>
  <si>
    <t>Forecast finance cost FY2027E (average borrowings × blended rate)</t>
  </si>
  <si>
    <t>E.  COST OF EQUITY — CAPM</t>
  </si>
  <si>
    <t>Risk-free rate (Rf) — India 10-year G-Sec</t>
  </si>
  <si>
    <t>Equity risk premium (ERP)</t>
  </si>
  <si>
    <t>Regression beta (weekly, 2 yr, vs NIFTY 50)</t>
  </si>
  <si>
    <t>Median unlevered (asset) beta of the 2W peer set</t>
  </si>
  <si>
    <t>Debt / equity at market values</t>
  </si>
  <si>
    <t>Bottom-up relevered beta  βL = βU × [1 + (1−t) × D/E]</t>
  </si>
  <si>
    <t>Beta selected for the CAPM</t>
  </si>
  <si>
    <t>COST OF EQUITY   Ke = Rf + β × ERP</t>
  </si>
  <si>
    <t>F.  WEIGHTED AVERAGE COST OF CAPITAL</t>
  </si>
  <si>
    <t>Current market price (₹) — NSE close, 12 Aug 2026</t>
  </si>
  <si>
    <t>Shares outstanding (crore)</t>
  </si>
  <si>
    <t>Market value of equity (₹ cr)</t>
  </si>
  <si>
    <t>Market value of debt (₹ cr) — standalone borrowings</t>
  </si>
  <si>
    <t>Total capital (₹ cr)</t>
  </si>
  <si>
    <t>Weight of equity  E/(D+E)</t>
  </si>
  <si>
    <t>Weight of debt  D/(D+E)</t>
  </si>
  <si>
    <t>After-tax cost of debt  Kd</t>
  </si>
  <si>
    <t>WACC  =  Ke × We + Kd × Wd</t>
  </si>
  <si>
    <t>G.  TERMINAL GROWTH</t>
  </si>
  <si>
    <t>Conservative — below long-run inflation plus real 2W volume growth</t>
  </si>
  <si>
    <t>Base — mature 2W franchise growing with nominal consumption</t>
  </si>
  <si>
    <t>Aggressive — sustained premiumisation, EV and export share gains</t>
  </si>
  <si>
    <t>TERMINAL GROWTH RATE SELECTED (g)</t>
  </si>
  <si>
    <t>Discipline check: is g below WACC?</t>
  </si>
  <si>
    <t>Discipline check: is g at or below the risk-free rate?</t>
  </si>
  <si>
    <t>H.  DEBT MATURITY PROFILE  (₹ cr, estimated)</t>
  </si>
  <si>
    <t>Bucket</t>
  </si>
  <si>
    <t>FY2027</t>
  </si>
  <si>
    <t>FY2028</t>
  </si>
  <si>
    <t>FY2029</t>
  </si>
  <si>
    <t>FY2030+</t>
  </si>
  <si>
    <t>Listed NCDs</t>
  </si>
  <si>
    <t>Rupee term loans</t>
  </si>
  <si>
    <t>External commercial borrowings</t>
  </si>
  <si>
    <t>Short-term facilities</t>
  </si>
  <si>
    <t>Repayment as % of FY2027E EBITDA</t>
  </si>
  <si>
    <t>All amounts in ₹ crores unless stated  ·  Core automotive — enterprise DCF on unlevered free cash flow, valued as at 12 August 2026</t>
  </si>
  <si>
    <t>A.  DISCOUNT RATE AND TIMING</t>
  </si>
  <si>
    <t>Risk-free rate (Rf)</t>
  </si>
  <si>
    <t>Equity risk premium (Damodaran India total ERP)</t>
  </si>
  <si>
    <t>Beta selected</t>
  </si>
  <si>
    <t>Weight of equity</t>
  </si>
  <si>
    <t>Weight of debt</t>
  </si>
  <si>
    <t>Terminal growth rate (g)</t>
  </si>
  <si>
    <t>Days from the valuation date to 31 March 2027</t>
  </si>
  <si>
    <t>Stub factor — share of FY2027 falling after the valuation date</t>
  </si>
  <si>
    <t>B.  UNLEVERED FREE CASH FLOW PROJECTION  (₹ cr)</t>
  </si>
  <si>
    <t>Growth %</t>
  </si>
  <si>
    <t>EBIT</t>
  </si>
  <si>
    <t>Less: cash taxes on EBIT  (EBIT × t)</t>
  </si>
  <si>
    <t>NOPAT  =  EBIT × (1 − t)</t>
  </si>
  <si>
    <t>Add back: depreciation &amp; amortisation</t>
  </si>
  <si>
    <t>Less: capital expenditure</t>
  </si>
  <si>
    <t>Less / add: movement in net working capital</t>
  </si>
  <si>
    <t>FREE CASH FLOW TO FIRM (full year)</t>
  </si>
  <si>
    <t>Share of the year falling after the valuation date</t>
  </si>
  <si>
    <t>1</t>
  </si>
  <si>
    <t>FCFF attributable to the post-valuation-date period</t>
  </si>
  <si>
    <t>Discount period (years from 12 Aug 2026 to period end)</t>
  </si>
  <si>
    <t>Discount factor</t>
  </si>
  <si>
    <t>PRESENT VALUE OF FCFF</t>
  </si>
  <si>
    <t>C.  TERMINAL VALUE — GORDON GROWTH, CROSS-CHECKED ON EXIT MULTIPLE</t>
  </si>
  <si>
    <t>Terminal-year FCFF (FY2031E)</t>
  </si>
  <si>
    <t>Terminal value at FY2031  =  FCFF × (1+g) / (WACC − g)</t>
  </si>
  <si>
    <t>Discount factor at FY2031</t>
  </si>
  <si>
    <t>PRESENT VALUE OF TERMINAL VALUE</t>
  </si>
  <si>
    <t>Cross-check — exit EV/EBITDA multiple assumption</t>
  </si>
  <si>
    <t>FY2031E EBITDA</t>
  </si>
  <si>
    <t>Terminal value under the exit multiple</t>
  </si>
  <si>
    <t>PV of terminal value (exit multiple)</t>
  </si>
  <si>
    <t>Exit EV/EBITDA implied by the Gordon terminal value</t>
  </si>
  <si>
    <t>D.  NET DEBT ROLLED FORWARD TO THE VALUATION DATE</t>
  </si>
  <si>
    <t>Total borrowings, 31 March 2026</t>
  </si>
  <si>
    <t>Less: cash &amp; cash equivalents</t>
  </si>
  <si>
    <t>Less: treasury &amp; liquid investments</t>
  </si>
  <si>
    <t>NET DEBT AT 31 MARCH 2026</t>
  </si>
  <si>
    <t>Less: free cash flow to equity earned 1 Apr – 12 Aug 2026</t>
  </si>
  <si>
    <t>Add: FY2026 final dividend paid in the stub period</t>
  </si>
  <si>
    <t>Add: cash paid for a further 4.39% of TVS Credit (27 Jul 2026)</t>
  </si>
  <si>
    <t>NET DEBT AT 12 AUGUST 2026</t>
  </si>
  <si>
    <t>E.  ENTERPRISE-TO-EQUITY BRIDGE — CORE AUTOMOTIVE</t>
  </si>
  <si>
    <t>Sum of PV of explicit-period FCFF (FY27E–FY31E)</t>
  </si>
  <si>
    <t>PV of terminal value</t>
  </si>
  <si>
    <t>ENTERPRISE VALUE — CORE AUTOMOTIVE</t>
  </si>
  <si>
    <t>Terminal value as % of enterprise value</t>
  </si>
  <si>
    <t>Less: net debt at the valuation date</t>
  </si>
  <si>
    <t>EQUITY VALUE — CORE AUTOMOTIVE (excl. subsidiary stakes)</t>
  </si>
  <si>
    <t>VALUE PER SHARE — CORE AUTOMOTIVE (₹)</t>
  </si>
  <si>
    <t>F.  DOES THE BALANCE-SHEET DATE ACTUALLY MATTER? — QUANTIFIED</t>
  </si>
  <si>
    <t>Value per share — valuation-date consistent (as above)</t>
  </si>
  <si>
    <t>Memo: PV of FY2027E FCFF on a full-year basis (no stub)</t>
  </si>
  <si>
    <t>Enterprise value on the unadjusted basis</t>
  </si>
  <si>
    <t>Less: net debt at 31 March 2026 (not rolled forward)</t>
  </si>
  <si>
    <t>Value per share — unadjusted basis</t>
  </si>
  <si>
    <t>Difference (₹ per share)</t>
  </si>
  <si>
    <t>Difference (%)</t>
  </si>
  <si>
    <t>G.  IMPLIED VALUATION METRICS</t>
  </si>
  <si>
    <t>Implied EV / FY2026A EBITDA</t>
  </si>
  <si>
    <t>Implied EV / FY2027E EBITDA</t>
  </si>
  <si>
    <t>Implied EV / FY2026A revenue</t>
  </si>
  <si>
    <t>Implied P/E on FY2027E core auto earnings</t>
  </si>
  <si>
    <t>FY2027E FCFF yield on enterprise value</t>
  </si>
  <si>
    <t>Upside / (downside) on core auto alone</t>
  </si>
  <si>
    <t>FCFF (post-valuation-date)</t>
  </si>
  <si>
    <t>PV of FCFF</t>
  </si>
  <si>
    <t>All amounts in ₹ crores unless stated  ·  Equity-side intrinsic cross-checks — FCFE and the dividend discount model</t>
  </si>
  <si>
    <t>A.  FREE CASH FLOW TO EQUITY  (₹ cr)</t>
  </si>
  <si>
    <t>Profit after tax</t>
  </si>
  <si>
    <t>Add: net borrowing / (repayment)</t>
  </si>
  <si>
    <t>FREE CASH FLOW TO EQUITY (full year)</t>
  </si>
  <si>
    <t>Share of the year after the valuation date</t>
  </si>
  <si>
    <t>FCFE attributable to the post-valuation-date period</t>
  </si>
  <si>
    <t>Discount period</t>
  </si>
  <si>
    <t>PV of FCFE</t>
  </si>
  <si>
    <t>Terminal FCFE growth rate (g)</t>
  </si>
  <si>
    <t>Terminal value  =  FCFE₃₁ × (1+g) / (Ke − g)</t>
  </si>
  <si>
    <t>Sum of PV of explicit FCFE</t>
  </si>
  <si>
    <t>EQUITY VALUE — FCFE METHOD</t>
  </si>
  <si>
    <t>Value per share (₹)</t>
  </si>
  <si>
    <t>B.  DIVIDEND DISCOUNT MODEL — TWO-STAGE</t>
  </si>
  <si>
    <t>FY2026A dividend per share (₹)</t>
  </si>
  <si>
    <t>High-growth phase — dividend growth rate</t>
  </si>
  <si>
    <t>High-growth phase — length (years)</t>
  </si>
  <si>
    <t>Stable phase — dividend growth rate (g)</t>
  </si>
  <si>
    <t>Sustainable growth cross-check  g = ROE × (1 − payout)</t>
  </si>
  <si>
    <t>Projected dividend per share (₹)</t>
  </si>
  <si>
    <t>PV of dividend</t>
  </si>
  <si>
    <t>Terminal dividend (FY2032E)</t>
  </si>
  <si>
    <t>Terminal value per share  =  D₃₂ / (Ke − g)</t>
  </si>
  <si>
    <t>PV of terminal value per share</t>
  </si>
  <si>
    <t>PV of explicit dividends per share</t>
  </si>
  <si>
    <t>DDM VALUE PER SHARE (₹)</t>
  </si>
  <si>
    <t>C.  INTRINSIC METHOD COMPARISON  (₹ per share)</t>
  </si>
  <si>
    <t>FCFF / DCF — core automotive</t>
  </si>
  <si>
    <t>FCFE — core automotive</t>
  </si>
  <si>
    <t>DDM — dividends only</t>
  </si>
  <si>
    <t>Current market price</t>
  </si>
  <si>
    <t>All amounts in ₹ crores unless stated  ·  NBFC subsidiary — valued on lending-book economics</t>
  </si>
  <si>
    <t>A.  WHY THIS LEG IS VALUED SEPARATELY</t>
  </si>
  <si>
    <t>Valued on lending-book economics, not on a manufacturer’s DCF — P/B, cross-checked against an excess-return model and against the price TVS Motor itself paid in July 2026.</t>
  </si>
  <si>
    <t>B.  HISTORICAL PERFORMANCE  (₹ cr)</t>
  </si>
  <si>
    <t>Assets under management (AUM)</t>
  </si>
  <si>
    <t>AUM growth %</t>
  </si>
  <si>
    <t>Total income</t>
  </si>
  <si>
    <t>PAT growth %</t>
  </si>
  <si>
    <t>Net worth</t>
  </si>
  <si>
    <t>Return on equity (PAT / net worth)</t>
  </si>
  <si>
    <t>Return on assets (PAT / AUM)</t>
  </si>
  <si>
    <t>Leverage (AUM / net worth)</t>
  </si>
  <si>
    <t>Net interest &amp; fee yield (income / AUM)</t>
  </si>
  <si>
    <t>C.  METHOD 1 — PRICE / BOOK ON PEER AND TRANSACTION EVIDENCE</t>
  </si>
  <si>
    <t>FY2026 net worth (₹ cr)</t>
  </si>
  <si>
    <t>Listed retail-NBFC peer P/B — low</t>
  </si>
  <si>
    <t>Listed retail-NBFC peer P/B — high</t>
  </si>
  <si>
    <t>P/B multiple applied</t>
  </si>
  <si>
    <t>Implied 100% equity value of TVS Credit (₹ cr)</t>
  </si>
  <si>
    <t>D.  METHOD 2 — EXCESS RETURN / WARRANTED P/B</t>
  </si>
  <si>
    <t>Sustainable return on equity (ROE)</t>
  </si>
  <si>
    <t>Beta for the NBFC</t>
  </si>
  <si>
    <t>Cost of equity for the NBFC  (Rf + β × ERP)</t>
  </si>
  <si>
    <t>Sustainable growth in the loan book (g)</t>
  </si>
  <si>
    <t>Warranted P/B  =  (ROE − g) / (Ke − g)</t>
  </si>
  <si>
    <t>Implied 100% equity value (₹ cr)</t>
  </si>
  <si>
    <t>Excess return: ROE − Ke</t>
  </si>
  <si>
    <t>E.  METHOD 3 — PRECEDENT TRANSACTION (TVS MOTOR’S OWN PURCHASE)</t>
  </si>
  <si>
    <t>Stake acquired from Lucas-TVS, 27 July 2026</t>
  </si>
  <si>
    <t>Cash consideration (₹ cr)</t>
  </si>
  <si>
    <t>Implied P/B on FY2026 net worth</t>
  </si>
  <si>
    <t>Implied P/E on FY2026 PAT</t>
  </si>
  <si>
    <t>F.  SELECTED VALUE AND TVS MOTOR’S ATTRIBUTABLE SHARE</t>
  </si>
  <si>
    <t>Method 1 — peer P/B</t>
  </si>
  <si>
    <t>Method 2 — excess return / warranted P/B</t>
  </si>
  <si>
    <t>Method 3 — precedent transaction</t>
  </si>
  <si>
    <t>Press-reported market estimate range ₹20,000–28,000 cr, midpoint</t>
  </si>
  <si>
    <t>SELECTED 100% EQUITY VALUE OF TVS CREDIT (₹ cr)</t>
  </si>
  <si>
    <t>TVS Motor’s holding</t>
  </si>
  <si>
    <t>VALUE ATTRIBUTABLE TO TVS MOTOR (₹ cr)</t>
  </si>
  <si>
    <t>Per TVS Motor share (₹)</t>
  </si>
  <si>
    <t>All amounts in ₹ crores unless stated  ·  Relative valuation — comparable two- and three-wheeler OEMs only</t>
  </si>
  <si>
    <t>A.  PEER SET — OPERATING AND MARKET DATA</t>
  </si>
  <si>
    <t>Company</t>
  </si>
  <si>
    <t>Market cap</t>
  </si>
  <si>
    <t>Enterprise value</t>
  </si>
  <si>
    <t>EV/Revenue</t>
  </si>
  <si>
    <t>Basis</t>
  </si>
  <si>
    <t>Bajaj Auto Ltd</t>
  </si>
  <si>
    <t>FY26 standalone; consol. includes KTM</t>
  </si>
  <si>
    <t>Hero MotoCorp Ltd</t>
  </si>
  <si>
    <t>FY26 standalone</t>
  </si>
  <si>
    <t>Eicher Motors Ltd</t>
  </si>
  <si>
    <t>TTM consolidated (Royal Enfield + VECV)</t>
  </si>
  <si>
    <t>TVS Motor — core automotive (standalone)</t>
  </si>
  <si>
    <t>FY26 standalone; market cap is of the whole listed group</t>
  </si>
  <si>
    <t>B.  TRADING MULTIPLES</t>
  </si>
  <si>
    <t>EV / EBITDA</t>
  </si>
  <si>
    <t>P / E</t>
  </si>
  <si>
    <t>EV / Revenue</t>
  </si>
  <si>
    <t>Peer mean (excl. TVS)</t>
  </si>
  <si>
    <t>Peer median (excl. TVS)</t>
  </si>
  <si>
    <t>TVS Motor — at the current market price</t>
  </si>
  <si>
    <t>C.  MULTIPLE SELECTION — AND WHY</t>
  </si>
  <si>
    <t>PRIMARY</t>
  </si>
  <si>
    <t>SECONDARY</t>
  </si>
  <si>
    <t>SANITY CHECK</t>
  </si>
  <si>
    <t>P / B</t>
  </si>
  <si>
    <t>NOT USED FOR THE OEM</t>
  </si>
  <si>
    <t>D.  IMPLIED VALUE OF THE CORE AUTOMOTIVE BUSINESS</t>
  </si>
  <si>
    <t>TVS FY2026A EBITDA (standalone auto)</t>
  </si>
  <si>
    <t>Peer multiple applied (set on the Control Panel)</t>
  </si>
  <si>
    <t>Target premium / (discount) to the peer median</t>
  </si>
  <si>
    <t>Multiple applied</t>
  </si>
  <si>
    <t>Implied enterprise value — core auto (₹ cr)</t>
  </si>
  <si>
    <t>Less: net debt of the core auto business at 12 Aug 2026</t>
  </si>
  <si>
    <t>Implied equity value — core auto (₹ cr)</t>
  </si>
  <si>
    <t>Per share (₹)</t>
  </si>
  <si>
    <t>Cross-check on P/E — peer multiple applied</t>
  </si>
  <si>
    <t>TVS FY2026A standalone PAT</t>
  </si>
  <si>
    <t>Implied equity value on P/E (₹ cr)</t>
  </si>
  <si>
    <t>All amounts in ₹ crores unless stated  ·  M&amp;A and stake-sale evidence in two-wheelers and captive auto finance</t>
  </si>
  <si>
    <t>A.  TRANSACTION SET</t>
  </si>
  <si>
    <t>Date</t>
  </si>
  <si>
    <t>Acquirer</t>
  </si>
  <si>
    <t>Target</t>
  </si>
  <si>
    <t>Stake</t>
  </si>
  <si>
    <t>Consideration (₹ cr)</t>
  </si>
  <si>
    <t>Implied 100% value</t>
  </si>
  <si>
    <t>Implied metric</t>
  </si>
  <si>
    <t>Relevance</t>
  </si>
  <si>
    <t>Jul 2026</t>
  </si>
  <si>
    <t>TVS Credit Services</t>
  </si>
  <si>
    <t>2.7x P/B; 17.7x P/E</t>
  </si>
  <si>
    <t>Direct read-across — the exact asset being valued</t>
  </si>
  <si>
    <t>Nov 2025</t>
  </si>
  <si>
    <t>KTM AG / Pierer Mobility</t>
  </si>
  <si>
    <t>Distressed / restructuring</t>
  </si>
  <si>
    <t>Premium motorcycle platform bought out of restructuring</t>
  </si>
  <si>
    <t>Apr 2025</t>
  </si>
  <si>
    <t>Public markets</t>
  </si>
  <si>
    <t>Ather Energy (IPO)</t>
  </si>
  <si>
    <t>~4.5x EV/Sales; loss-making</t>
  </si>
  <si>
    <t>Pure-play e-2W benchmark for the iQube leg</t>
  </si>
  <si>
    <t>Aug 2024</t>
  </si>
  <si>
    <t>Ola Electric (IPO)</t>
  </si>
  <si>
    <t>Ola Electric Mobility</t>
  </si>
  <si>
    <t>~6.5x EV/Sales at listing</t>
  </si>
  <si>
    <t>Peak-cycle e-2W pricing — since de-rated sharply</t>
  </si>
  <si>
    <t>TVS Credit consortium</t>
  </si>
  <si>
    <t>Home Credit India</t>
  </si>
  <si>
    <t>~1.0x book</t>
  </si>
  <si>
    <t>Captive-NBFC consolidation precedent</t>
  </si>
  <si>
    <t>Jan 2022</t>
  </si>
  <si>
    <t>Ather Energy (top-up)</t>
  </si>
  <si>
    <t>Growth-equity round</t>
  </si>
  <si>
    <t>Incumbent OEM buying EV capability</t>
  </si>
  <si>
    <t>Apr 2020</t>
  </si>
  <si>
    <t>Norton Motorcycles (UK)</t>
  </si>
  <si>
    <t>Asset purchase</t>
  </si>
  <si>
    <t>TVS’s own premium-brand acquisition — sits in Leg 3</t>
  </si>
  <si>
    <t>B.  WHAT THE TRANSACTION EVIDENCE IMPLIES</t>
  </si>
  <si>
    <t>For the NBFC leg — TVS Credit</t>
  </si>
  <si>
    <t>Implied 100% value from the July 2026 stake purchase (₹ cr)</t>
  </si>
  <si>
    <t>Applied in the SOTP as Method 3</t>
  </si>
  <si>
    <t>For the automotive leg</t>
  </si>
  <si>
    <t>All amounts in ₹ crores unless stated  ·  Net asset value — the floor case</t>
  </si>
  <si>
    <t>A.  REPORTED BOOK VALUE  (FY2026A standalone)</t>
  </si>
  <si>
    <t>REPORTED NET WORTH</t>
  </si>
  <si>
    <t>Reported book value per share (₹)</t>
  </si>
  <si>
    <t>B.  ADJUSTMENTS TO NET ASSET VALUE</t>
  </si>
  <si>
    <t>Adjustment (₹ cr)</t>
  </si>
  <si>
    <t>Rationale</t>
  </si>
  <si>
    <t>Reported net worth</t>
  </si>
  <si>
    <t>Audited standalone balance sheet</t>
  </si>
  <si>
    <t>Less: carrying value of investments in subsidiaries</t>
  </si>
  <si>
    <t>Removed at cost so subsidiaries can be added at appraised value</t>
  </si>
  <si>
    <t>Add: TVS Credit stake at appraised value</t>
  </si>
  <si>
    <t>85.15% of the value derived on the TVS Credit tab</t>
  </si>
  <si>
    <t>Add: other subsidiaries at estimated fair value</t>
  </si>
  <si>
    <t>Norton, TVS Singapore/Indonesia, DriveX, EBCO, ION Mobility, Rapido</t>
  </si>
  <si>
    <t>Add: revaluation surplus on land &amp; buildings</t>
  </si>
  <si>
    <t>Hosur, Mysuru, Nalagarh and Karnataka land carried at historical cost</t>
  </si>
  <si>
    <t>Less: haircut on inventories to realisable value (10%)</t>
  </si>
  <si>
    <t>Orderly-liquidation discount on finished goods and spares</t>
  </si>
  <si>
    <t>Less: haircut on trade receivables (5%)</t>
  </si>
  <si>
    <t>Dealer receivables recovery discount</t>
  </si>
  <si>
    <t>Less: intangibles &amp; capitalised development written off</t>
  </si>
  <si>
    <t>No standalone realisable value outside a going concern</t>
  </si>
  <si>
    <t>ADJUSTED NET ASSET VALUE</t>
  </si>
  <si>
    <t>Adjusted NAV per share (₹)</t>
  </si>
  <si>
    <t>C.  REPLACEMENT-COST CROSS-CHECK</t>
  </si>
  <si>
    <t>Brownfield capital cost per unit of annual capacity (₹)</t>
  </si>
  <si>
    <t>Replacement cost of manufacturing assets (₹ cr)</t>
  </si>
  <si>
    <t>Add: brand, distribution network and dealer relationships</t>
  </si>
  <si>
    <t>Add: net working capital and other assets</t>
  </si>
  <si>
    <t>Less: total borrowings</t>
  </si>
  <si>
    <t>Replacement-cost equity value (₹ cr)</t>
  </si>
  <si>
    <t>D.  HOW TO READ THE ASSET-BASED RESULT</t>
  </si>
  <si>
    <t>All amounts in ₹ crores unless stated  ·  The concluded view — three legs, seven methodologies, valued at 12 August 2026</t>
  </si>
  <si>
    <t>A.  SUM-OF-THE-PARTS BUILD</t>
  </si>
  <si>
    <t>% of total</t>
  </si>
  <si>
    <t>LEG 1 — Core automotive (enterprise value)</t>
  </si>
  <si>
    <t>Less: net debt at 12 August 2026</t>
  </si>
  <si>
    <t>Core automotive equity value</t>
  </si>
  <si>
    <t>LEG 2 — TVS Credit Services (85.15% stake)</t>
  </si>
  <si>
    <t>LEG 3 — Other subsidiaries &amp; strategic investments</t>
  </si>
  <si>
    <t>TVS Motor Singapore / PT TVS Indonesia</t>
  </si>
  <si>
    <t>TVS DMCC, EBCO, Swiss E-Mobility, ION Mobility</t>
  </si>
  <si>
    <t>DriveX (pre-owned two-wheelers)</t>
  </si>
  <si>
    <t>Minority investments (Rapido, Killwatt, Ultraviolette)</t>
  </si>
  <si>
    <t>TOTAL SUM-OF-THE-PARTS EQUITY VALUE</t>
  </si>
  <si>
    <t>SOTP VALUE PER SHARE (₹)</t>
  </si>
  <si>
    <t>B.  VALUATION RANGE BY METHODOLOGY  (₹ per share)</t>
  </si>
  <si>
    <t>Width</t>
  </si>
  <si>
    <t>DCF — FCFF (SOTP total)</t>
  </si>
  <si>
    <t>DCF — FCFE plus other legs</t>
  </si>
  <si>
    <t>Relative — EV/EBITDA (SOTP total)</t>
  </si>
  <si>
    <t>Relative — P/E (SOTP total)</t>
  </si>
  <si>
    <t>Precedent transactions — NBFC leg</t>
  </si>
  <si>
    <t>Asset-based — adjusted NAV (floor)</t>
  </si>
  <si>
    <t>DDM — dividends only (reference)</t>
  </si>
  <si>
    <t>Current market price (12 Aug 2026)</t>
  </si>
  <si>
    <t>C.  WEIGHTED CONCLUDED VALUE</t>
  </si>
  <si>
    <t>Base value (₹)</t>
  </si>
  <si>
    <t>Weight</t>
  </si>
  <si>
    <t>Contribution (₹)</t>
  </si>
  <si>
    <t>Total weight (must equal 100%)</t>
  </si>
  <si>
    <t>Upside / (downside) to the concluded value</t>
  </si>
  <si>
    <t>D.  WHAT WOULD HAVE TO BE TRUE TO JUSTIFY THE MARKET PRICE</t>
  </si>
  <si>
    <t>Football field chart helper</t>
  </si>
  <si>
    <t>DCF — FCFE</t>
  </si>
  <si>
    <t>Adjusted NAV</t>
  </si>
  <si>
    <t>SOTP contribution helper</t>
  </si>
  <si>
    <t>Core automotive</t>
  </si>
  <si>
    <t>TVS Credit (85.15%)</t>
  </si>
  <si>
    <t>Other subsidiaries</t>
  </si>
  <si>
    <t>All amounts in ₹ crores unless stated  ·  Two-way data tables, scenarios and a reverse DCF</t>
  </si>
  <si>
    <t>A.  SELF-CONTAINED VALUATION ENGINE  (drives every table below)</t>
  </si>
  <si>
    <t>FY2026A revenue (₹ cr)</t>
  </si>
  <si>
    <t>Revenue CAGR, FY2027E–FY2031E</t>
  </si>
  <si>
    <t>Terminal EBITDA margin</t>
  </si>
  <si>
    <t>D&amp;A as % of revenue</t>
  </si>
  <si>
    <t>Capex as % of revenue</t>
  </si>
  <si>
    <t>Working-capital release as % of revenue growth</t>
  </si>
  <si>
    <t>Terminal growth (g)</t>
  </si>
  <si>
    <t>Net debt of core auto at 12 Aug 2026 (₹ cr)</t>
  </si>
  <si>
    <t>Value of TVS Credit plus other subsidiary legs (₹ cr)</t>
  </si>
  <si>
    <t>Stub factor — FY2027 share after the valuation date</t>
  </si>
  <si>
    <t>Engine cross-check — SOTP per share</t>
  </si>
  <si>
    <t>Full-model SOTP per share</t>
  </si>
  <si>
    <t>B.  SENSITIVITY 1 — WACC vs TERMINAL GROWTH  (SOTP ₹ per share)</t>
  </si>
  <si>
    <t>WACC ↓    /    Terminal growth →</t>
  </si>
  <si>
    <t>C.  SENSITIVITY 2 — REVENUE CAGR vs TERMINAL EBITDA MARGIN  (SOTP ₹ per share)</t>
  </si>
  <si>
    <t>Revenue CAGR ↓    /    Terminal margin →</t>
  </si>
  <si>
    <t>D.  SCENARIO ANALYSIS — BEAR / BASE / BULL</t>
  </si>
  <si>
    <t>BEAR</t>
  </si>
  <si>
    <t>BASE</t>
  </si>
  <si>
    <t>BULL</t>
  </si>
  <si>
    <t>Narrative</t>
  </si>
  <si>
    <t>Revenue CAGR FY2027E–FY2031E</t>
  </si>
  <si>
    <t>Upside / (downside) vs the market price</t>
  </si>
  <si>
    <t>Probability weight</t>
  </si>
  <si>
    <t>Probability-weighted value per share (₹)</t>
  </si>
  <si>
    <t>E.  REVERSE DCF — WHAT THE MARKET PRICE IMPLIES</t>
  </si>
  <si>
    <t>Implied total equity value (₹ cr)</t>
  </si>
  <si>
    <t>Less: TVS Credit and other subsidiary legs</t>
  </si>
  <si>
    <t>Implied equity value of the core auto business</t>
  </si>
  <si>
    <t>Add: net debt at the valuation date</t>
  </si>
  <si>
    <t>Implied enterprise value of core auto</t>
  </si>
  <si>
    <t>Implied EV / FY2031E EBITDA</t>
  </si>
  <si>
    <t>Terminal growth required at the base WACC and margin</t>
  </si>
  <si>
    <t>All amounts in ₹ crores unless stated  ·  Probabilistic DCF — 1,000 trials on the four drivers that matter most</t>
  </si>
  <si>
    <t>A.  SIMULATION SETUP</t>
  </si>
  <si>
    <t>Driver</t>
  </si>
  <si>
    <t>Distribution</t>
  </si>
  <si>
    <t>Mean</t>
  </si>
  <si>
    <t>Std dev</t>
  </si>
  <si>
    <t>Normal</t>
  </si>
  <si>
    <t>Normal, truncated at Rf</t>
  </si>
  <si>
    <t>Revenue CAGR FY27E–FY31E</t>
  </si>
  <si>
    <t>Number of trials</t>
  </si>
  <si>
    <t>Random seed (draws fixed so results are reproducible)</t>
  </si>
  <si>
    <t>B.  RESULTS</t>
  </si>
  <si>
    <t>Mean value per share (₹)</t>
  </si>
  <si>
    <t>Median value per share (₹)</t>
  </si>
  <si>
    <t>Standard deviation (₹)</t>
  </si>
  <si>
    <t>5th percentile (₹)</t>
  </si>
  <si>
    <t>25th percentile (₹)</t>
  </si>
  <si>
    <t>75th percentile (₹)</t>
  </si>
  <si>
    <t>95th percentile (₹)</t>
  </si>
  <si>
    <t>Probability the intrinsic value exceeds the market price</t>
  </si>
  <si>
    <t>Probability of a 20%+ downside from the market price</t>
  </si>
  <si>
    <t>C.  TRIAL DATA</t>
  </si>
  <si>
    <t>Trial</t>
  </si>
  <si>
    <t>Revenue CAGR</t>
  </si>
  <si>
    <t>Terminal margin</t>
  </si>
  <si>
    <t>Margin factor</t>
  </si>
  <si>
    <t>PV explicit</t>
  </si>
  <si>
    <t>PV terminal</t>
  </si>
  <si>
    <t>Value / share (₹)</t>
  </si>
  <si>
    <t>All amounts in ₹ crores unless stated  ·  Solvency, earnings-quality and manipulation screens — the risk leg of the valuation</t>
  </si>
  <si>
    <t>SUMMARY DASHBOARD — FY2026 VERDICT</t>
  </si>
  <si>
    <t>Score</t>
  </si>
  <si>
    <t>Verdict</t>
  </si>
  <si>
    <t>Altman Z-Score (bankruptcy risk)</t>
  </si>
  <si>
    <t>Piotroski F-Score (fundamental strength)</t>
  </si>
  <si>
    <t>Beneish M-Score (earnings manipulation)</t>
  </si>
  <si>
    <t>Montier C-Score (accounting red flags)</t>
  </si>
  <si>
    <t>Sloan accrual ratio (earnings quality)</t>
  </si>
  <si>
    <t>1.  ALTMAN Z-SCORE  (public manufacturing model)</t>
  </si>
  <si>
    <t>A: working capital / total assets</t>
  </si>
  <si>
    <t>B: retained earnings / total assets</t>
  </si>
  <si>
    <t>C: EBIT / total assets</t>
  </si>
  <si>
    <t>D: market value of equity / total liabilities</t>
  </si>
  <si>
    <t>E: sales / total assets</t>
  </si>
  <si>
    <t>ALTMAN Z-SCORE</t>
  </si>
  <si>
    <t>Zone (safe &gt; 2.99 / grey 1.81–2.99 / distress &lt; 1.81)</t>
  </si>
  <si>
    <t>2.  PIOTROSKI F-SCORE  (nine-point fundamental checklist)</t>
  </si>
  <si>
    <t>Profitability</t>
  </si>
  <si>
    <t>1. Positive net income</t>
  </si>
  <si>
    <t>2. Positive operating cash flow</t>
  </si>
  <si>
    <t>3. Return on assets improved YoY</t>
  </si>
  <si>
    <t>4. CFO exceeds net income</t>
  </si>
  <si>
    <t>Leverage, liquidity and source of funds</t>
  </si>
  <si>
    <t>5. Leverage (debt / assets) decreased YoY</t>
  </si>
  <si>
    <t>6. Current ratio improved YoY</t>
  </si>
  <si>
    <t>7. No new equity issued</t>
  </si>
  <si>
    <t>Operating efficiency</t>
  </si>
  <si>
    <t>8. Gross margin improved YoY</t>
  </si>
  <si>
    <t>9. Asset turnover improved YoY</t>
  </si>
  <si>
    <t>PIOTROSKI F-SCORE (out of 9)</t>
  </si>
  <si>
    <t>Interpretation (8–9 strong / 4–7 average / 0–3 weak)</t>
  </si>
  <si>
    <t>3.  BENEISH M-SCORE  (earnings manipulation detection)</t>
  </si>
  <si>
    <t>DSRI: days sales in receivables index</t>
  </si>
  <si>
    <t>GMI: gross margin index</t>
  </si>
  <si>
    <t>AQI: asset quality index</t>
  </si>
  <si>
    <t>SGI: sales growth index</t>
  </si>
  <si>
    <t>DEPI: depreciation index</t>
  </si>
  <si>
    <t>SGAI: SG&amp;A expense index</t>
  </si>
  <si>
    <t>LVGI: leverage index</t>
  </si>
  <si>
    <t>TATA: total accruals to total assets</t>
  </si>
  <si>
    <t>BENEISH M-SCORE</t>
  </si>
  <si>
    <t>Interpretation (M &gt; −1.78 flags manipulation risk)</t>
  </si>
  <si>
    <t>4.  MONTIER C-SCORE  (accounting red flags)</t>
  </si>
  <si>
    <t>1. Net income exceeds operating cash flow</t>
  </si>
  <si>
    <t>2. Receivable days increasing YoY</t>
  </si>
  <si>
    <t>3. Inventory days increasing YoY</t>
  </si>
  <si>
    <t>4. Other assets / sales increasing YoY</t>
  </si>
  <si>
    <t>5. Asset growth outpacing sales growth</t>
  </si>
  <si>
    <t>6. Total debt / assets increasing YoY</t>
  </si>
  <si>
    <t>MONTIER C-SCORE (out of 6)</t>
  </si>
  <si>
    <t>Interpretation (0–1 low risk / 2–3 watch / 4–6 high risk)</t>
  </si>
  <si>
    <t>5.  SLOAN ACCRUAL RATIO  (earnings quality)</t>
  </si>
  <si>
    <t>Net income</t>
  </si>
  <si>
    <t>Operating cash flow (reported)</t>
  </si>
  <si>
    <t>Average total assets</t>
  </si>
  <si>
    <t>SLOAN ACCRUAL RATIO</t>
  </si>
  <si>
    <t>Interpretation (|ratio| &lt; 10% high quality)</t>
  </si>
  <si>
    <t>HOW THIS FEEDS THE VALUATION</t>
  </si>
  <si>
    <t>Graphical Representation</t>
  </si>
  <si>
    <t>DCF - FCFF</t>
  </si>
  <si>
    <t>DCF - FCFE &amp; DDM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</si>
</sst>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
    <numFmt numFmtId="165" formatCode="#,##0;\(#,##0\);\-"/>
    <numFmt numFmtId="166" formatCode="0.00\x"/>
    <numFmt numFmtId="167" formatCode="0.0\x"/>
    <numFmt numFmtId="168" formatCode="#,##0.0;\(#,##0.0\);\-"/>
    <numFmt numFmtId="169" formatCode="#,##0.00;\(#,##0.00\);\-"/>
    <numFmt numFmtId="173" formatCode="dd\-mmm\-yyyy"/>
    <numFmt numFmtId="174" formatCode="0.0000"/>
    <numFmt numFmtId="175" formatCode="0.00000"/>
    <numFmt numFmtId="176" formatCode="d\ mmmm\ yyyy"/>
  </numFmts>
  <fonts count="50" x14ac:knownFonts="1">
    <font>
      <sz val="11"/>
      <color theme="1"/>
      <name val="Calibri"/>
      <family val="2"/>
      <charset val="1"/>
    </font>
    <font>
      <b/>
      <sz val="22"/>
      <color rgb="FFFFFFFF"/>
      <name val="Aptos Narrow"/>
      <family val="2"/>
    </font>
    <font>
      <sz val="10"/>
      <color rgb="FF8CBAC4"/>
      <name val="Aptos Narrow"/>
      <family val="2"/>
    </font>
    <font>
      <b/>
      <sz val="10"/>
      <color rgb="FFFFFFFF"/>
      <name val="Aptos Narrow"/>
      <family val="2"/>
    </font>
    <font>
      <sz val="9.5"/>
      <color rgb="FF000000"/>
      <name val="Aptos Narrow"/>
      <family val="2"/>
    </font>
    <font>
      <b/>
      <sz val="9"/>
      <color rgb="FF2E7D8C"/>
      <name val="Aptos Narrow"/>
      <family val="2"/>
    </font>
    <font>
      <sz val="11"/>
      <color rgb="FF000000"/>
      <name val="Aptos Narrow"/>
      <family val="2"/>
    </font>
    <font>
      <sz val="11"/>
      <color rgb="FFC9A227"/>
      <name val="Aptos Narrow"/>
      <family val="2"/>
    </font>
    <font>
      <sz val="11"/>
      <color rgb="FF2E7D8C"/>
      <name val="Aptos Narrow"/>
      <family val="2"/>
    </font>
    <font>
      <sz val="11"/>
      <color rgb="FF0000FF"/>
      <name val="Aptos Narrow"/>
      <family val="2"/>
    </font>
    <font>
      <b/>
      <sz val="9.5"/>
      <color rgb="FF113A44"/>
      <name val="Aptos Narrow"/>
      <family val="2"/>
    </font>
    <font>
      <sz val="11"/>
      <color rgb="FFB03A2E"/>
      <name val="Aptos Narrow"/>
      <family val="2"/>
    </font>
    <font>
      <b/>
      <sz val="9.5"/>
      <color rgb="FF2E7D8C"/>
      <name val="Aptos Narrow"/>
      <family val="2"/>
    </font>
    <font>
      <b/>
      <sz val="9.5"/>
      <color rgb="FF4F8F5B"/>
      <name val="Aptos Narrow"/>
      <family val="2"/>
    </font>
    <font>
      <b/>
      <sz val="9"/>
      <color rgb="FF113A44"/>
      <name val="Aptos Narrow"/>
      <family val="2"/>
    </font>
    <font>
      <sz val="9"/>
      <color rgb="FF000000"/>
      <name val="Aptos Narrow"/>
      <family val="2"/>
    </font>
    <font>
      <sz val="10"/>
      <color rgb="FF2E7D8C"/>
      <name val="Aptos Narrow"/>
      <family val="2"/>
    </font>
    <font>
      <sz val="10"/>
      <color rgb="FFB03A2E"/>
      <name val="Aptos Narrow"/>
      <family val="2"/>
    </font>
    <font>
      <b/>
      <sz val="13"/>
      <color rgb="FFFFFFFF"/>
      <name val="Aptos Narrow"/>
      <family val="2"/>
    </font>
    <font>
      <b/>
      <sz val="10"/>
      <color rgb="FF113A44"/>
      <name val="Aptos Narrow"/>
      <family val="2"/>
    </font>
    <font>
      <i/>
      <sz val="9"/>
      <color rgb="FF5A6B73"/>
      <name val="Aptos Narrow"/>
      <family val="2"/>
    </font>
    <font>
      <b/>
      <sz val="10"/>
      <color rgb="FF000000"/>
      <name val="Aptos Narrow"/>
      <family val="2"/>
    </font>
    <font>
      <b/>
      <sz val="10"/>
      <color rgb="FF0000FF"/>
      <name val="Aptos Narrow"/>
      <family val="2"/>
    </font>
    <font>
      <sz val="9"/>
      <color rgb="FF5A6B73"/>
      <name val="Aptos Narrow"/>
      <family val="2"/>
    </font>
    <font>
      <sz val="10"/>
      <color rgb="FF000000"/>
      <name val="Aptos Narrow"/>
      <family val="2"/>
    </font>
    <font>
      <b/>
      <sz val="10"/>
      <color rgb="FFB03A2E"/>
      <name val="Aptos Narrow"/>
      <family val="2"/>
    </font>
    <font>
      <b/>
      <sz val="8.5"/>
      <color rgb="FF113A44"/>
      <name val="Aptos Narrow"/>
      <family val="2"/>
    </font>
    <font>
      <sz val="10"/>
      <color rgb="FF0000FF"/>
      <name val="Aptos Narrow"/>
      <family val="2"/>
    </font>
    <font>
      <b/>
      <sz val="9.5"/>
      <color rgb="FF000000"/>
      <name val="Aptos Narrow"/>
      <family val="2"/>
    </font>
    <font>
      <sz val="9"/>
      <color rgb="FFB03A2E"/>
      <name val="Aptos Narrow"/>
      <family val="2"/>
    </font>
    <font>
      <b/>
      <sz val="9"/>
      <color rgb="FF5A6B73"/>
      <name val="Aptos Narrow"/>
      <family val="2"/>
    </font>
    <font>
      <sz val="10"/>
      <color rgb="FF5A6B73"/>
      <name val="Aptos Narrow"/>
      <family val="2"/>
    </font>
    <font>
      <i/>
      <sz val="8.5"/>
      <color rgb="FF5A6B73"/>
      <name val="Aptos Narrow"/>
      <family val="2"/>
    </font>
    <font>
      <b/>
      <sz val="9"/>
      <color rgb="FF000000"/>
      <name val="Aptos Narrow"/>
      <family val="2"/>
    </font>
    <font>
      <b/>
      <sz val="11"/>
      <color rgb="FF113A44"/>
      <name val="Aptos Narrow"/>
      <family val="2"/>
    </font>
    <font>
      <b/>
      <sz val="8.5"/>
      <color rgb="FF5A6B73"/>
      <name val="Aptos Narrow"/>
      <family val="2"/>
    </font>
    <font>
      <sz val="8.5"/>
      <color rgb="FF5A6B73"/>
      <name val="Aptos Narrow"/>
      <family val="2"/>
    </font>
    <font>
      <sz val="8.5"/>
      <color rgb="FF000000"/>
      <name val="Aptos Narrow"/>
      <family val="2"/>
    </font>
    <font>
      <b/>
      <sz val="9"/>
      <color rgb="FFFFFFFF"/>
      <name val="Aptos Narrow"/>
      <family val="2"/>
    </font>
    <font>
      <b/>
      <sz val="10"/>
      <color rgb="FF2E7D8C"/>
      <name val="Aptos Narrow"/>
      <family val="2"/>
    </font>
    <font>
      <sz val="9"/>
      <color rgb="FF0000FF"/>
      <name val="Aptos Narrow"/>
      <family val="2"/>
    </font>
    <font>
      <sz val="9"/>
      <color rgb="FF2E7D8C"/>
      <name val="Aptos Narrow"/>
      <family val="2"/>
    </font>
    <font>
      <b/>
      <sz val="9"/>
      <color rgb="FF4F8F5B"/>
      <name val="Aptos Narrow"/>
      <family val="2"/>
    </font>
    <font>
      <i/>
      <sz val="9.5"/>
      <color rgb="FF5A6B73"/>
      <name val="Aptos Narrow"/>
      <family val="2"/>
    </font>
    <font>
      <sz val="9"/>
      <color rgb="FF4F8F5B"/>
      <name val="Aptos Narrow"/>
      <family val="2"/>
    </font>
    <font>
      <b/>
      <sz val="9"/>
      <color indexed="81"/>
      <name val="Tahoma"/>
      <family val="2"/>
    </font>
    <font>
      <sz val="9"/>
      <color indexed="81"/>
      <name val="Tahoma"/>
      <family val="2"/>
    </font>
    <font>
      <u/>
      <sz val="11"/>
      <color theme="10"/>
      <name val="Calibri"/>
      <family val="2"/>
      <charset val="1"/>
    </font>
    <font>
      <sz val="9.5"/>
      <color rgb="FF2E7D8C"/>
      <name val="Aptos Narrow"/>
      <family val="2"/>
    </font>
    <font>
      <sz val="11"/>
      <color rgb="FF000000"/>
      <name val="Calibri"/>
      <family val="2"/>
    </font>
  </fonts>
  <fills count="10">
    <fill>
      <patternFill patternType="none"/>
    </fill>
    <fill>
      <patternFill patternType="gray125"/>
    </fill>
    <fill>
      <patternFill patternType="solid">
        <fgColor rgb="FF0B272E"/>
        <bgColor rgb="FF113A44"/>
      </patternFill>
    </fill>
    <fill>
      <patternFill patternType="solid">
        <fgColor rgb="FF113A44"/>
        <bgColor rgb="FF0B272E"/>
      </patternFill>
    </fill>
    <fill>
      <patternFill patternType="solid">
        <fgColor rgb="FFE3EDEF"/>
        <bgColor rgb="FFF4F8F9"/>
      </patternFill>
    </fill>
    <fill>
      <patternFill patternType="solid">
        <fgColor rgb="FFFFE7A8"/>
        <bgColor rgb="FFFFCC99"/>
      </patternFill>
    </fill>
    <fill>
      <patternFill patternType="solid">
        <fgColor rgb="FFF4F8F9"/>
        <bgColor rgb="FFFFFFFF"/>
      </patternFill>
    </fill>
    <fill>
      <patternFill patternType="solid">
        <fgColor rgb="FF2E7D8C"/>
        <bgColor rgb="FF008080"/>
      </patternFill>
    </fill>
    <fill>
      <patternFill patternType="solid">
        <fgColor rgb="FFFFC000"/>
        <bgColor indexed="64"/>
      </patternFill>
    </fill>
    <fill>
      <patternFill patternType="solid">
        <fgColor theme="0" tint="-4.9989318521683403E-2"/>
        <bgColor rgb="FF113A44"/>
      </patternFill>
    </fill>
  </fills>
  <borders count="5">
    <border>
      <left/>
      <right/>
      <top/>
      <bottom/>
      <diagonal/>
    </border>
    <border>
      <left style="thin">
        <color rgb="FFC3D2D6"/>
      </left>
      <right style="thin">
        <color rgb="FFC3D2D6"/>
      </right>
      <top style="thin">
        <color rgb="FFC3D2D6"/>
      </top>
      <bottom style="thin">
        <color rgb="FFC3D2D6"/>
      </bottom>
      <diagonal/>
    </border>
    <border>
      <left/>
      <right/>
      <top style="thin">
        <color rgb="FF113A44"/>
      </top>
      <bottom/>
      <diagonal/>
    </border>
    <border>
      <left/>
      <right/>
      <top/>
      <bottom style="double">
        <color rgb="FF113A44"/>
      </bottom>
      <diagonal/>
    </border>
    <border>
      <left style="thin">
        <color rgb="FFC3D2D6"/>
      </left>
      <right/>
      <top style="thin">
        <color rgb="FFC3D2D6"/>
      </top>
      <bottom style="thin">
        <color rgb="FFC3D2D6"/>
      </bottom>
      <diagonal/>
    </border>
  </borders>
  <cellStyleXfs count="2">
    <xf numFmtId="0" fontId="0" fillId="0" borderId="0"/>
    <xf numFmtId="0" fontId="47" fillId="0" borderId="0" applyNumberFormat="0" applyFill="0" applyBorder="0" applyAlignment="0" applyProtection="0"/>
  </cellStyleXfs>
  <cellXfs count="232">
    <xf numFmtId="0" fontId="0" fillId="0" borderId="0" xfId="0"/>
    <xf numFmtId="0" fontId="14" fillId="0" borderId="0" xfId="0" applyFont="1" applyAlignment="1">
      <alignment horizontal="center" vertical="center"/>
    </xf>
    <xf numFmtId="0" fontId="23" fillId="0" borderId="0" xfId="0" applyFont="1" applyAlignment="1">
      <alignment vertical="center" wrapText="1"/>
    </xf>
    <xf numFmtId="0" fontId="23" fillId="6" borderId="0" xfId="0" applyFont="1" applyFill="1" applyAlignment="1">
      <alignment vertical="center" wrapText="1"/>
    </xf>
    <xf numFmtId="0" fontId="14" fillId="4" borderId="4" xfId="0" applyFont="1" applyFill="1" applyBorder="1" applyAlignment="1">
      <alignment horizontal="center" vertical="center"/>
    </xf>
    <xf numFmtId="0" fontId="18" fillId="3" borderId="0" xfId="0" applyFont="1" applyFill="1" applyAlignment="1">
      <alignment horizontal="left" vertical="center" indent="1"/>
    </xf>
    <xf numFmtId="0" fontId="15" fillId="0" borderId="0" xfId="0" applyFont="1" applyAlignment="1">
      <alignment vertical="center"/>
    </xf>
    <xf numFmtId="0" fontId="15" fillId="0" borderId="0" xfId="0" applyFont="1" applyAlignment="1">
      <alignment vertical="center" wrapText="1"/>
    </xf>
    <xf numFmtId="0" fontId="4" fillId="0" borderId="0" xfId="0" applyFont="1" applyAlignment="1">
      <alignment vertical="center"/>
    </xf>
    <xf numFmtId="0" fontId="4" fillId="0" borderId="0" xfId="0" applyFont="1" applyAlignment="1">
      <alignment horizontal="left" vertical="center" wrapText="1"/>
    </xf>
    <xf numFmtId="0" fontId="3" fillId="3" borderId="0" xfId="0" applyFont="1" applyFill="1" applyAlignment="1">
      <alignment horizontal="left" vertical="center" indent="1"/>
    </xf>
    <xf numFmtId="0" fontId="0" fillId="2" borderId="0" xfId="0" applyFill="1"/>
    <xf numFmtId="0" fontId="4" fillId="0" borderId="0" xfId="0" applyFont="1" applyAlignment="1">
      <alignment horizontal="left" vertical="center" wrapText="1"/>
    </xf>
    <xf numFmtId="0" fontId="4"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vertical="center"/>
    </xf>
    <xf numFmtId="0" fontId="11" fillId="0" borderId="0" xfId="0" applyFont="1" applyAlignment="1">
      <alignment horizontal="center"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6" fillId="0" borderId="0" xfId="0" applyFont="1" applyAlignment="1">
      <alignment horizontal="center" vertical="center"/>
    </xf>
    <xf numFmtId="0" fontId="15" fillId="0" borderId="0" xfId="0" applyFont="1" applyAlignment="1">
      <alignment vertical="center"/>
    </xf>
    <xf numFmtId="0" fontId="17" fillId="0" borderId="0" xfId="0" applyFont="1" applyAlignment="1">
      <alignment horizontal="center" vertical="center"/>
    </xf>
    <xf numFmtId="0" fontId="19" fillId="0" borderId="0" xfId="0" applyFont="1" applyAlignment="1">
      <alignment vertical="center"/>
    </xf>
    <xf numFmtId="0" fontId="20" fillId="0" borderId="0" xfId="0" applyFont="1" applyAlignment="1">
      <alignment vertical="center"/>
    </xf>
    <xf numFmtId="0" fontId="14" fillId="4" borderId="1" xfId="0" applyFont="1" applyFill="1" applyBorder="1" applyAlignment="1">
      <alignment horizontal="center" vertical="center" wrapText="1"/>
    </xf>
    <xf numFmtId="0" fontId="21" fillId="0" borderId="0" xfId="0" applyFont="1" applyAlignment="1">
      <alignment vertical="center"/>
    </xf>
    <xf numFmtId="0" fontId="22" fillId="5" borderId="1" xfId="0" applyFont="1" applyFill="1" applyBorder="1" applyAlignment="1">
      <alignment horizontal="center" vertical="center"/>
    </xf>
    <xf numFmtId="0" fontId="23" fillId="0" borderId="0" xfId="0" applyFont="1" applyAlignment="1">
      <alignment vertical="center" wrapText="1"/>
    </xf>
    <xf numFmtId="0" fontId="24" fillId="0" borderId="0" xfId="0" applyFont="1" applyAlignment="1">
      <alignment vertical="center"/>
    </xf>
    <xf numFmtId="10" fontId="24" fillId="0" borderId="1" xfId="0" applyNumberFormat="1" applyFont="1" applyBorder="1" applyAlignment="1">
      <alignment horizontal="center" vertical="center"/>
    </xf>
    <xf numFmtId="164" fontId="24" fillId="0" borderId="1" xfId="0" applyNumberFormat="1" applyFont="1" applyBorder="1" applyAlignment="1">
      <alignment horizontal="center" vertical="center"/>
    </xf>
    <xf numFmtId="165" fontId="24" fillId="0" borderId="1" xfId="0" applyNumberFormat="1" applyFont="1" applyBorder="1" applyAlignment="1">
      <alignment horizontal="center" vertical="center"/>
    </xf>
    <xf numFmtId="0" fontId="21" fillId="0" borderId="2" xfId="0" applyFont="1" applyBorder="1" applyAlignment="1">
      <alignment vertical="center"/>
    </xf>
    <xf numFmtId="165" fontId="21" fillId="5" borderId="2" xfId="0" applyNumberFormat="1" applyFont="1" applyFill="1" applyBorder="1" applyAlignment="1">
      <alignment horizontal="center" vertical="center"/>
    </xf>
    <xf numFmtId="164" fontId="25" fillId="0" borderId="1" xfId="0" applyNumberFormat="1" applyFont="1" applyBorder="1" applyAlignment="1">
      <alignment horizontal="center" vertical="center"/>
    </xf>
    <xf numFmtId="0" fontId="25" fillId="0" borderId="1" xfId="0" applyFont="1" applyBorder="1" applyAlignment="1">
      <alignment horizontal="center" vertical="center"/>
    </xf>
    <xf numFmtId="0" fontId="14" fillId="4" borderId="1" xfId="0" applyFont="1" applyFill="1" applyBorder="1" applyAlignment="1">
      <alignment vertical="center"/>
    </xf>
    <xf numFmtId="0" fontId="26" fillId="4" borderId="1" xfId="0" applyFont="1" applyFill="1" applyBorder="1" applyAlignment="1">
      <alignment horizontal="center" vertical="center" wrapText="1"/>
    </xf>
    <xf numFmtId="164" fontId="27" fillId="0" borderId="0" xfId="0" applyNumberFormat="1" applyFont="1" applyAlignment="1">
      <alignment horizontal="center" vertical="center"/>
    </xf>
    <xf numFmtId="166" fontId="27" fillId="0" borderId="0" xfId="0" applyNumberFormat="1" applyFont="1" applyAlignment="1">
      <alignment horizontal="center" vertical="center"/>
    </xf>
    <xf numFmtId="0" fontId="28" fillId="0" borderId="0" xfId="0" applyFont="1" applyAlignment="1">
      <alignment vertical="center"/>
    </xf>
    <xf numFmtId="0" fontId="14" fillId="4" borderId="1" xfId="0" applyFont="1" applyFill="1" applyBorder="1" applyAlignment="1">
      <alignment horizontal="center" vertical="center"/>
    </xf>
    <xf numFmtId="10" fontId="27" fillId="0" borderId="0" xfId="0" applyNumberFormat="1" applyFont="1" applyAlignment="1">
      <alignment horizontal="center" vertical="center"/>
    </xf>
    <xf numFmtId="165" fontId="16" fillId="0" borderId="0" xfId="0" applyNumberFormat="1" applyFont="1" applyAlignment="1">
      <alignment horizontal="center" vertical="center"/>
    </xf>
    <xf numFmtId="167" fontId="16" fillId="0" borderId="0" xfId="0" applyNumberFormat="1" applyFont="1" applyAlignment="1">
      <alignment horizontal="center" vertical="center"/>
    </xf>
    <xf numFmtId="0" fontId="26" fillId="4" borderId="1" xfId="0" applyFont="1" applyFill="1" applyBorder="1" applyAlignment="1">
      <alignment horizontal="center" vertical="center"/>
    </xf>
    <xf numFmtId="164" fontId="29" fillId="0" borderId="0" xfId="0" applyNumberFormat="1" applyFont="1" applyAlignment="1">
      <alignment horizontal="center" vertical="center"/>
    </xf>
    <xf numFmtId="0" fontId="30" fillId="0" borderId="0" xfId="0" applyFont="1" applyAlignment="1">
      <alignment vertical="center"/>
    </xf>
    <xf numFmtId="0" fontId="23" fillId="0" borderId="0" xfId="0" applyFont="1" applyAlignment="1">
      <alignment vertical="center"/>
    </xf>
    <xf numFmtId="166" fontId="23" fillId="0" borderId="0" xfId="0" applyNumberFormat="1" applyFont="1" applyAlignment="1">
      <alignment horizontal="center" vertical="center"/>
    </xf>
    <xf numFmtId="10" fontId="23" fillId="0" borderId="0" xfId="0" applyNumberFormat="1" applyFont="1" applyAlignment="1">
      <alignment horizontal="center" vertical="center"/>
    </xf>
    <xf numFmtId="164" fontId="23" fillId="0" borderId="0" xfId="0" applyNumberFormat="1" applyFont="1" applyAlignment="1">
      <alignment horizontal="center" vertical="center"/>
    </xf>
    <xf numFmtId="0" fontId="14" fillId="0" borderId="1" xfId="0" applyFont="1" applyBorder="1" applyAlignment="1">
      <alignment horizontal="center" vertical="center" wrapText="1"/>
    </xf>
    <xf numFmtId="0" fontId="24" fillId="6" borderId="0" xfId="0" applyFont="1" applyFill="1" applyAlignment="1">
      <alignment vertical="center"/>
    </xf>
    <xf numFmtId="3" fontId="24" fillId="6" borderId="0" xfId="0" applyNumberFormat="1" applyFont="1" applyFill="1" applyAlignment="1">
      <alignment horizontal="center" vertical="center"/>
    </xf>
    <xf numFmtId="0" fontId="31" fillId="6" borderId="0" xfId="0" applyFont="1" applyFill="1" applyAlignment="1">
      <alignment horizontal="center" vertical="center"/>
    </xf>
    <xf numFmtId="0" fontId="0" fillId="6" borderId="0" xfId="0" applyFill="1"/>
    <xf numFmtId="0" fontId="23" fillId="6" borderId="0" xfId="0" applyFont="1" applyFill="1" applyAlignment="1">
      <alignment vertical="center"/>
    </xf>
    <xf numFmtId="168" fontId="24" fillId="0" borderId="0" xfId="0" applyNumberFormat="1" applyFont="1" applyAlignment="1">
      <alignment horizontal="center" vertical="center"/>
    </xf>
    <xf numFmtId="0" fontId="31" fillId="0" borderId="0" xfId="0" applyFont="1" applyAlignment="1">
      <alignment horizontal="center" vertical="center"/>
    </xf>
    <xf numFmtId="168" fontId="24" fillId="6" borderId="0" xfId="0" applyNumberFormat="1" applyFont="1" applyFill="1" applyAlignment="1">
      <alignment horizontal="center" vertical="center"/>
    </xf>
    <xf numFmtId="164" fontId="24" fillId="6" borderId="0" xfId="0" applyNumberFormat="1" applyFont="1" applyFill="1" applyAlignment="1">
      <alignment horizontal="center" vertical="center"/>
    </xf>
    <xf numFmtId="164" fontId="24" fillId="0" borderId="0" xfId="0" applyNumberFormat="1" applyFont="1" applyAlignment="1">
      <alignment horizontal="center" vertical="center"/>
    </xf>
    <xf numFmtId="164" fontId="31" fillId="0" borderId="0" xfId="0" applyNumberFormat="1" applyFont="1" applyAlignment="1">
      <alignment horizontal="center" vertical="center"/>
    </xf>
    <xf numFmtId="165" fontId="24" fillId="6" borderId="0" xfId="0" applyNumberFormat="1" applyFont="1" applyFill="1" applyAlignment="1">
      <alignment horizontal="center" vertical="center"/>
    </xf>
    <xf numFmtId="10" fontId="27" fillId="5" borderId="0" xfId="0" applyNumberFormat="1" applyFont="1" applyFill="1" applyAlignment="1">
      <alignment horizontal="center" vertical="center"/>
    </xf>
    <xf numFmtId="164" fontId="27" fillId="5" borderId="0" xfId="0" applyNumberFormat="1" applyFont="1" applyFill="1" applyAlignment="1">
      <alignment horizontal="center" vertical="center"/>
    </xf>
    <xf numFmtId="168" fontId="27" fillId="5" borderId="0" xfId="0" applyNumberFormat="1" applyFont="1" applyFill="1" applyAlignment="1">
      <alignment horizontal="center" vertical="center"/>
    </xf>
    <xf numFmtId="165" fontId="27" fillId="5" borderId="0" xfId="0" applyNumberFormat="1" applyFont="1" applyFill="1" applyAlignment="1">
      <alignment horizontal="center" vertical="center"/>
    </xf>
    <xf numFmtId="166" fontId="16" fillId="0" borderId="0" xfId="0" applyNumberFormat="1" applyFont="1" applyAlignment="1">
      <alignment horizontal="center" vertical="center"/>
    </xf>
    <xf numFmtId="0" fontId="32" fillId="0" borderId="0" xfId="0" applyFont="1" applyAlignment="1">
      <alignment horizontal="left" vertical="center" wrapText="1"/>
    </xf>
    <xf numFmtId="0" fontId="3" fillId="0" borderId="0" xfId="0" applyFont="1" applyAlignment="1">
      <alignment horizontal="left" vertical="center" indent="1"/>
    </xf>
    <xf numFmtId="0" fontId="33" fillId="0" borderId="0" xfId="0" applyFont="1" applyAlignment="1">
      <alignment vertical="center"/>
    </xf>
    <xf numFmtId="0" fontId="34" fillId="0" borderId="0" xfId="0" applyFont="1" applyAlignment="1">
      <alignment vertical="center"/>
    </xf>
    <xf numFmtId="0" fontId="35" fillId="0" borderId="0" xfId="0" applyFont="1" applyAlignment="1">
      <alignment vertical="center"/>
    </xf>
    <xf numFmtId="0" fontId="35" fillId="0" borderId="0" xfId="0" applyFont="1" applyAlignment="1">
      <alignment horizontal="center" vertical="center"/>
    </xf>
    <xf numFmtId="0" fontId="36" fillId="0" borderId="0" xfId="0" applyFont="1" applyAlignment="1">
      <alignment vertical="center"/>
    </xf>
    <xf numFmtId="165" fontId="36" fillId="0" borderId="0" xfId="0" applyNumberFormat="1" applyFont="1" applyAlignment="1">
      <alignment vertical="center"/>
    </xf>
    <xf numFmtId="164" fontId="36" fillId="0" borderId="0" xfId="0" applyNumberFormat="1" applyFont="1" applyAlignment="1">
      <alignment vertical="center"/>
    </xf>
    <xf numFmtId="168" fontId="36" fillId="0" borderId="0" xfId="0" applyNumberFormat="1" applyFont="1" applyAlignment="1">
      <alignment vertical="center"/>
    </xf>
    <xf numFmtId="3" fontId="36" fillId="0" borderId="0" xfId="0" applyNumberFormat="1" applyFont="1" applyAlignment="1">
      <alignment vertical="center"/>
    </xf>
    <xf numFmtId="169" fontId="36" fillId="0" borderId="0" xfId="0" applyNumberFormat="1" applyFont="1" applyAlignment="1">
      <alignment vertical="center"/>
    </xf>
    <xf numFmtId="167" fontId="37" fillId="0" borderId="0" xfId="0" applyNumberFormat="1" applyFont="1" applyAlignment="1">
      <alignment vertical="center"/>
    </xf>
    <xf numFmtId="164" fontId="37" fillId="0" borderId="0" xfId="0" applyNumberFormat="1" applyFont="1" applyAlignment="1">
      <alignment vertical="center"/>
    </xf>
    <xf numFmtId="165" fontId="37" fillId="0" borderId="0" xfId="0" applyNumberFormat="1" applyFont="1" applyAlignment="1">
      <alignment vertical="center"/>
    </xf>
    <xf numFmtId="3" fontId="37" fillId="0" borderId="0" xfId="0" applyNumberFormat="1" applyFont="1" applyAlignment="1">
      <alignment vertical="center"/>
    </xf>
    <xf numFmtId="168" fontId="37" fillId="0" borderId="0" xfId="0" applyNumberFormat="1" applyFont="1" applyAlignment="1">
      <alignment vertical="center"/>
    </xf>
    <xf numFmtId="0" fontId="14" fillId="4" borderId="0" xfId="0" applyFont="1" applyFill="1" applyAlignment="1">
      <alignment horizontal="center" vertical="center"/>
    </xf>
    <xf numFmtId="0" fontId="38" fillId="7" borderId="1" xfId="0" applyFont="1" applyFill="1" applyBorder="1" applyAlignment="1">
      <alignment horizontal="center" vertical="center"/>
    </xf>
    <xf numFmtId="0" fontId="24" fillId="0" borderId="0" xfId="0" applyFont="1" applyAlignment="1">
      <alignment vertical="center" indent="1"/>
    </xf>
    <xf numFmtId="3" fontId="24" fillId="0" borderId="0" xfId="0" applyNumberFormat="1" applyFont="1" applyAlignment="1">
      <alignment horizontal="right" vertical="center"/>
    </xf>
    <xf numFmtId="3" fontId="24" fillId="0" borderId="0" xfId="0" applyNumberFormat="1" applyFont="1" applyAlignment="1">
      <alignment vertical="center"/>
    </xf>
    <xf numFmtId="3" fontId="21" fillId="0" borderId="0" xfId="0" applyNumberFormat="1" applyFont="1" applyAlignment="1">
      <alignment horizontal="right" vertical="center"/>
    </xf>
    <xf numFmtId="3" fontId="21" fillId="0" borderId="0" xfId="0" applyNumberFormat="1" applyFont="1" applyAlignment="1">
      <alignment vertical="center"/>
    </xf>
    <xf numFmtId="0" fontId="23" fillId="0" borderId="0" xfId="0" applyFont="1" applyAlignment="1">
      <alignment vertical="center" indent="1"/>
    </xf>
    <xf numFmtId="3" fontId="16" fillId="0" borderId="0" xfId="0" applyNumberFormat="1" applyFont="1" applyAlignment="1">
      <alignment vertical="center"/>
    </xf>
    <xf numFmtId="0" fontId="21" fillId="6" borderId="0" xfId="0" applyFont="1" applyFill="1" applyAlignment="1">
      <alignment vertical="center" indent="1"/>
    </xf>
    <xf numFmtId="165" fontId="21" fillId="6" borderId="0" xfId="0" applyNumberFormat="1" applyFont="1" applyFill="1" applyAlignment="1">
      <alignment vertical="center"/>
    </xf>
    <xf numFmtId="3" fontId="21" fillId="0" borderId="2" xfId="0" applyNumberFormat="1" applyFont="1" applyBorder="1" applyAlignment="1">
      <alignment vertical="center"/>
    </xf>
    <xf numFmtId="165" fontId="21" fillId="0" borderId="2" xfId="0" applyNumberFormat="1" applyFont="1" applyBorder="1" applyAlignment="1">
      <alignment vertical="center"/>
    </xf>
    <xf numFmtId="165" fontId="24" fillId="0" borderId="0" xfId="0" applyNumberFormat="1" applyFont="1" applyAlignment="1">
      <alignment vertical="center"/>
    </xf>
    <xf numFmtId="164" fontId="23" fillId="0" borderId="0" xfId="0" applyNumberFormat="1" applyFont="1" applyAlignment="1">
      <alignment vertical="center"/>
    </xf>
    <xf numFmtId="165" fontId="21" fillId="0" borderId="3" xfId="0" applyNumberFormat="1" applyFont="1" applyBorder="1" applyAlignment="1">
      <alignment vertical="center"/>
    </xf>
    <xf numFmtId="165" fontId="31" fillId="0" borderId="0" xfId="0" applyNumberFormat="1" applyFont="1" applyAlignment="1">
      <alignment vertical="center"/>
    </xf>
    <xf numFmtId="0" fontId="29" fillId="0" borderId="0" xfId="0" applyFont="1" applyAlignment="1">
      <alignment vertical="center"/>
    </xf>
    <xf numFmtId="165" fontId="29" fillId="0" borderId="0" xfId="0" applyNumberFormat="1" applyFont="1" applyAlignment="1">
      <alignment vertical="center"/>
    </xf>
    <xf numFmtId="164" fontId="24" fillId="0" borderId="0" xfId="0" applyNumberFormat="1" applyFont="1" applyAlignment="1">
      <alignment vertical="center"/>
    </xf>
    <xf numFmtId="165" fontId="21" fillId="0" borderId="0" xfId="0" applyNumberFormat="1" applyFont="1" applyAlignment="1">
      <alignment vertical="center"/>
    </xf>
    <xf numFmtId="3" fontId="27" fillId="0" borderId="0" xfId="0" applyNumberFormat="1" applyFont="1" applyAlignment="1">
      <alignment vertical="center"/>
    </xf>
    <xf numFmtId="164" fontId="21" fillId="0" borderId="0" xfId="0" applyNumberFormat="1" applyFont="1" applyAlignment="1">
      <alignment vertical="center"/>
    </xf>
    <xf numFmtId="0" fontId="33" fillId="0" borderId="0" xfId="0" applyFont="1" applyAlignment="1">
      <alignment horizontal="center" vertical="center"/>
    </xf>
    <xf numFmtId="168" fontId="24" fillId="0" borderId="0" xfId="0" applyNumberFormat="1" applyFont="1" applyAlignment="1">
      <alignment vertical="center"/>
    </xf>
    <xf numFmtId="0" fontId="36" fillId="0" borderId="0" xfId="0" applyFont="1" applyAlignment="1">
      <alignment horizontal="center" vertical="center"/>
    </xf>
    <xf numFmtId="0" fontId="14" fillId="0" borderId="1" xfId="0" applyFont="1" applyBorder="1" applyAlignment="1">
      <alignment horizontal="center" vertical="center"/>
    </xf>
    <xf numFmtId="0" fontId="4" fillId="6" borderId="0" xfId="0" applyFont="1" applyFill="1" applyAlignment="1">
      <alignment vertical="center"/>
    </xf>
    <xf numFmtId="164" fontId="27" fillId="6" borderId="0" xfId="0" applyNumberFormat="1" applyFont="1" applyFill="1" applyAlignment="1">
      <alignment horizontal="center" vertical="center"/>
    </xf>
    <xf numFmtId="165" fontId="24" fillId="6" borderId="0" xfId="0" applyNumberFormat="1" applyFont="1" applyFill="1" applyAlignment="1">
      <alignment vertical="center"/>
    </xf>
    <xf numFmtId="0" fontId="23" fillId="6" borderId="0" xfId="0" applyFont="1" applyFill="1" applyAlignment="1">
      <alignment vertical="center" wrapText="1"/>
    </xf>
    <xf numFmtId="164" fontId="21" fillId="0" borderId="2" xfId="0" applyNumberFormat="1" applyFont="1" applyBorder="1" applyAlignment="1">
      <alignment horizontal="center" vertical="center"/>
    </xf>
    <xf numFmtId="164" fontId="16" fillId="0" borderId="0" xfId="0" applyNumberFormat="1" applyFont="1" applyAlignment="1">
      <alignment horizontal="center" vertical="center"/>
    </xf>
    <xf numFmtId="164" fontId="21" fillId="0" borderId="2" xfId="0" applyNumberFormat="1" applyFont="1" applyBorder="1" applyAlignment="1">
      <alignment vertical="center"/>
    </xf>
    <xf numFmtId="168" fontId="21" fillId="0" borderId="2" xfId="0" applyNumberFormat="1" applyFont="1" applyBorder="1" applyAlignment="1">
      <alignment vertical="center"/>
    </xf>
    <xf numFmtId="168" fontId="21" fillId="0" borderId="0" xfId="0" applyNumberFormat="1" applyFont="1" applyAlignment="1">
      <alignment vertical="center"/>
    </xf>
    <xf numFmtId="3" fontId="23" fillId="0" borderId="0" xfId="0" applyNumberFormat="1" applyFont="1" applyAlignment="1">
      <alignment vertical="center"/>
    </xf>
    <xf numFmtId="168" fontId="16" fillId="0" borderId="0" xfId="0" applyNumberFormat="1" applyFont="1" applyAlignment="1">
      <alignment horizontal="center" vertical="center"/>
    </xf>
    <xf numFmtId="3" fontId="24" fillId="0" borderId="0" xfId="0" applyNumberFormat="1" applyFont="1" applyAlignment="1">
      <alignment horizontal="center" vertical="center"/>
    </xf>
    <xf numFmtId="165" fontId="27" fillId="5" borderId="0" xfId="0" applyNumberFormat="1" applyFont="1" applyFill="1" applyAlignment="1">
      <alignment vertical="center"/>
    </xf>
    <xf numFmtId="165" fontId="16" fillId="0" borderId="0" xfId="0" applyNumberFormat="1" applyFont="1" applyAlignment="1">
      <alignment vertical="center"/>
    </xf>
    <xf numFmtId="165" fontId="39" fillId="0" borderId="0" xfId="0" applyNumberFormat="1" applyFont="1" applyAlignment="1">
      <alignment vertical="center"/>
    </xf>
    <xf numFmtId="0" fontId="39" fillId="0" borderId="0" xfId="0" applyFont="1" applyAlignment="1">
      <alignment vertical="center"/>
    </xf>
    <xf numFmtId="164" fontId="39" fillId="0" borderId="0" xfId="0" applyNumberFormat="1" applyFont="1" applyAlignment="1">
      <alignment vertical="center"/>
    </xf>
    <xf numFmtId="165" fontId="23" fillId="0" borderId="0" xfId="0" applyNumberFormat="1" applyFont="1" applyAlignment="1">
      <alignment vertical="center"/>
    </xf>
    <xf numFmtId="169" fontId="31" fillId="0" borderId="0" xfId="0" applyNumberFormat="1" applyFont="1" applyAlignment="1">
      <alignment vertical="center"/>
    </xf>
    <xf numFmtId="164" fontId="16" fillId="0" borderId="0" xfId="0" applyNumberFormat="1" applyFont="1" applyAlignment="1">
      <alignment vertical="center"/>
    </xf>
    <xf numFmtId="167" fontId="24" fillId="0" borderId="0" xfId="0" applyNumberFormat="1" applyFont="1" applyAlignment="1">
      <alignment vertical="center"/>
    </xf>
    <xf numFmtId="0" fontId="23" fillId="0" borderId="0" xfId="0" applyFont="1" applyAlignment="1">
      <alignment vertical="center" indent="2"/>
    </xf>
    <xf numFmtId="3" fontId="27" fillId="0" borderId="0" xfId="0" applyNumberFormat="1" applyFont="1" applyAlignment="1">
      <alignment horizontal="center" vertical="center"/>
    </xf>
    <xf numFmtId="3" fontId="21" fillId="0" borderId="0" xfId="0" applyNumberFormat="1" applyFont="1" applyAlignment="1">
      <alignment horizontal="center" vertical="center"/>
    </xf>
    <xf numFmtId="164" fontId="40" fillId="5" borderId="0" xfId="0" applyNumberFormat="1" applyFont="1" applyFill="1" applyAlignment="1">
      <alignment vertical="center"/>
    </xf>
    <xf numFmtId="165" fontId="27" fillId="0" borderId="0" xfId="0" applyNumberFormat="1" applyFont="1" applyAlignment="1">
      <alignment vertical="center"/>
    </xf>
    <xf numFmtId="10" fontId="23" fillId="0" borderId="0" xfId="0" applyNumberFormat="1" applyFont="1" applyAlignment="1">
      <alignment vertical="center"/>
    </xf>
    <xf numFmtId="10" fontId="41" fillId="0" borderId="0" xfId="0" applyNumberFormat="1" applyFont="1" applyAlignment="1">
      <alignment vertical="center"/>
    </xf>
    <xf numFmtId="10" fontId="24" fillId="6" borderId="0" xfId="0" applyNumberFormat="1" applyFont="1" applyFill="1" applyAlignment="1">
      <alignment horizontal="center" vertical="center"/>
    </xf>
    <xf numFmtId="0" fontId="23" fillId="6" borderId="0" xfId="0" applyFont="1" applyFill="1" applyAlignment="1">
      <alignment horizontal="center" vertical="center"/>
    </xf>
    <xf numFmtId="165" fontId="24" fillId="0" borderId="0" xfId="0" applyNumberFormat="1" applyFont="1" applyAlignment="1">
      <alignment horizontal="center" vertical="center"/>
    </xf>
    <xf numFmtId="10" fontId="24" fillId="0" borderId="0" xfId="0" applyNumberFormat="1" applyFont="1" applyAlignment="1">
      <alignment horizontal="center" vertical="center"/>
    </xf>
    <xf numFmtId="0" fontId="23" fillId="0" borderId="0" xfId="0" applyFont="1" applyAlignment="1">
      <alignment horizontal="center" vertical="center"/>
    </xf>
    <xf numFmtId="165" fontId="21" fillId="0" borderId="2" xfId="0" applyNumberFormat="1" applyFont="1" applyBorder="1" applyAlignment="1">
      <alignment horizontal="center" vertical="center"/>
    </xf>
    <xf numFmtId="10" fontId="21" fillId="0" borderId="2" xfId="0" applyNumberFormat="1" applyFont="1" applyBorder="1" applyAlignment="1">
      <alignment horizontal="center" vertical="center"/>
    </xf>
    <xf numFmtId="0" fontId="21" fillId="0" borderId="2" xfId="0" applyFont="1" applyBorder="1" applyAlignment="1">
      <alignment horizontal="center" vertical="center"/>
    </xf>
    <xf numFmtId="165" fontId="41" fillId="0" borderId="0" xfId="0" applyNumberFormat="1" applyFont="1" applyAlignment="1">
      <alignment horizontal="center" vertical="center"/>
    </xf>
    <xf numFmtId="165" fontId="29" fillId="0" borderId="0" xfId="0" applyNumberFormat="1" applyFont="1" applyAlignment="1">
      <alignment horizontal="center" vertical="center"/>
    </xf>
    <xf numFmtId="0" fontId="14" fillId="0" borderId="0" xfId="0" applyFont="1" applyAlignment="1">
      <alignment horizontal="center" vertical="center"/>
    </xf>
    <xf numFmtId="10" fontId="16" fillId="0" borderId="0" xfId="0" applyNumberFormat="1" applyFont="1" applyAlignment="1">
      <alignment horizontal="center" vertical="center"/>
    </xf>
    <xf numFmtId="169" fontId="27" fillId="5" borderId="0" xfId="0" applyNumberFormat="1" applyFont="1" applyFill="1" applyAlignment="1">
      <alignment horizontal="center" vertical="center"/>
    </xf>
    <xf numFmtId="169" fontId="24" fillId="0" borderId="0" xfId="0" applyNumberFormat="1" applyFont="1" applyAlignment="1">
      <alignment horizontal="center" vertical="center"/>
    </xf>
    <xf numFmtId="10" fontId="21" fillId="5" borderId="2" xfId="0" applyNumberFormat="1" applyFont="1" applyFill="1" applyBorder="1" applyAlignment="1">
      <alignment horizontal="center" vertical="center"/>
    </xf>
    <xf numFmtId="164" fontId="21" fillId="5" borderId="0" xfId="0" applyNumberFormat="1" applyFont="1" applyFill="1" applyAlignment="1">
      <alignment horizontal="center" vertical="center"/>
    </xf>
    <xf numFmtId="0" fontId="42" fillId="0" borderId="0" xfId="0" applyFont="1" applyAlignment="1">
      <alignment horizontal="center" vertical="center"/>
    </xf>
    <xf numFmtId="0" fontId="23" fillId="0" borderId="0" xfId="0" applyFont="1" applyAlignment="1">
      <alignment horizontal="left" vertical="center" wrapText="1"/>
    </xf>
    <xf numFmtId="169" fontId="16" fillId="0" borderId="0" xfId="0" applyNumberFormat="1" applyFont="1" applyAlignment="1">
      <alignment horizontal="center" vertical="center"/>
    </xf>
    <xf numFmtId="10" fontId="39" fillId="5" borderId="0" xfId="0" applyNumberFormat="1" applyFont="1" applyFill="1" applyAlignment="1">
      <alignment horizontal="center" vertical="center"/>
    </xf>
    <xf numFmtId="164" fontId="39" fillId="5" borderId="0" xfId="0" applyNumberFormat="1" applyFont="1" applyFill="1" applyAlignment="1">
      <alignment horizontal="center" vertical="center"/>
    </xf>
    <xf numFmtId="173" fontId="27" fillId="5" borderId="0" xfId="0" applyNumberFormat="1" applyFont="1" applyFill="1" applyAlignment="1">
      <alignment horizontal="center" vertical="center"/>
    </xf>
    <xf numFmtId="174" fontId="21" fillId="5" borderId="0" xfId="0" applyNumberFormat="1" applyFont="1" applyFill="1" applyAlignment="1">
      <alignment horizontal="center" vertical="center"/>
    </xf>
    <xf numFmtId="174" fontId="41" fillId="0" borderId="0" xfId="0" applyNumberFormat="1" applyFont="1" applyAlignment="1">
      <alignment horizontal="center" vertical="center"/>
    </xf>
    <xf numFmtId="174" fontId="23" fillId="0" borderId="0" xfId="0" applyNumberFormat="1" applyFont="1" applyAlignment="1">
      <alignment horizontal="center" vertical="center"/>
    </xf>
    <xf numFmtId="169" fontId="23" fillId="0" borderId="0" xfId="0" applyNumberFormat="1" applyFont="1" applyAlignment="1">
      <alignment horizontal="center" vertical="center"/>
    </xf>
    <xf numFmtId="167" fontId="27" fillId="5" borderId="0" xfId="0" applyNumberFormat="1" applyFont="1" applyFill="1" applyAlignment="1">
      <alignment horizontal="center" vertical="center"/>
    </xf>
    <xf numFmtId="167" fontId="24" fillId="0" borderId="0" xfId="0" applyNumberFormat="1" applyFont="1" applyAlignment="1">
      <alignment horizontal="center" vertical="center"/>
    </xf>
    <xf numFmtId="0" fontId="21" fillId="0" borderId="3" xfId="0" applyFont="1" applyBorder="1" applyAlignment="1">
      <alignment vertical="center"/>
    </xf>
    <xf numFmtId="165" fontId="21" fillId="5" borderId="3" xfId="0" applyNumberFormat="1" applyFont="1" applyFill="1" applyBorder="1" applyAlignment="1">
      <alignment horizontal="center" vertical="center"/>
    </xf>
    <xf numFmtId="165" fontId="21" fillId="0" borderId="0" xfId="0" applyNumberFormat="1" applyFont="1" applyAlignment="1">
      <alignment horizontal="center" vertical="center"/>
    </xf>
    <xf numFmtId="165" fontId="17" fillId="0" borderId="0" xfId="0" applyNumberFormat="1" applyFont="1" applyAlignment="1">
      <alignment horizontal="center" vertical="center"/>
    </xf>
    <xf numFmtId="164" fontId="17" fillId="0" borderId="0" xfId="0" applyNumberFormat="1" applyFont="1" applyAlignment="1">
      <alignment horizontal="center" vertical="center"/>
    </xf>
    <xf numFmtId="10" fontId="41" fillId="0" borderId="0" xfId="0" applyNumberFormat="1" applyFont="1" applyAlignment="1">
      <alignment horizontal="center" vertical="center"/>
    </xf>
    <xf numFmtId="3" fontId="27" fillId="5" borderId="0" xfId="0" applyNumberFormat="1" applyFont="1" applyFill="1" applyAlignment="1">
      <alignment horizontal="center" vertical="center"/>
    </xf>
    <xf numFmtId="0" fontId="43" fillId="0" borderId="0" xfId="0" applyFont="1" applyAlignment="1">
      <alignment vertical="center"/>
    </xf>
    <xf numFmtId="167" fontId="21" fillId="0" borderId="0" xfId="0" applyNumberFormat="1" applyFont="1" applyAlignment="1">
      <alignment horizontal="center" vertical="center"/>
    </xf>
    <xf numFmtId="167" fontId="21" fillId="0" borderId="2" xfId="0" applyNumberFormat="1" applyFont="1" applyBorder="1" applyAlignment="1">
      <alignment vertical="center"/>
    </xf>
    <xf numFmtId="167" fontId="21" fillId="0" borderId="0" xfId="0" applyNumberFormat="1" applyFont="1" applyAlignment="1">
      <alignment vertical="center"/>
    </xf>
    <xf numFmtId="165" fontId="22" fillId="5" borderId="0" xfId="0" applyNumberFormat="1" applyFont="1" applyFill="1" applyAlignment="1">
      <alignment horizontal="center" vertical="center"/>
    </xf>
    <xf numFmtId="0" fontId="15" fillId="6" borderId="0" xfId="0" applyFont="1" applyFill="1" applyAlignment="1">
      <alignment vertical="center"/>
    </xf>
    <xf numFmtId="0" fontId="28" fillId="6" borderId="0" xfId="0" applyFont="1" applyFill="1" applyAlignment="1">
      <alignment vertical="center"/>
    </xf>
    <xf numFmtId="0" fontId="24" fillId="0" borderId="0" xfId="0" applyFont="1" applyAlignment="1">
      <alignment horizontal="center" vertical="center"/>
    </xf>
    <xf numFmtId="165" fontId="39" fillId="0" borderId="0" xfId="0" applyNumberFormat="1" applyFont="1" applyAlignment="1">
      <alignment horizontal="center" vertical="center"/>
    </xf>
    <xf numFmtId="0" fontId="4" fillId="0" borderId="0" xfId="0" applyFont="1" applyAlignment="1">
      <alignment vertical="center" indent="1"/>
    </xf>
    <xf numFmtId="165" fontId="21" fillId="6" borderId="0" xfId="0" applyNumberFormat="1" applyFont="1" applyFill="1" applyAlignment="1">
      <alignment horizontal="center" vertical="center"/>
    </xf>
    <xf numFmtId="165" fontId="23" fillId="6" borderId="0" xfId="0" applyNumberFormat="1" applyFont="1" applyFill="1" applyAlignment="1">
      <alignment horizontal="center" vertical="center"/>
    </xf>
    <xf numFmtId="165" fontId="23" fillId="0" borderId="0" xfId="0" applyNumberFormat="1" applyFont="1" applyAlignment="1">
      <alignment horizontal="center" vertical="center"/>
    </xf>
    <xf numFmtId="0" fontId="25" fillId="0" borderId="0" xfId="0" applyFont="1" applyAlignment="1">
      <alignment vertical="center"/>
    </xf>
    <xf numFmtId="165" fontId="25" fillId="0" borderId="0" xfId="0" applyNumberFormat="1" applyFont="1" applyAlignment="1">
      <alignment horizontal="center" vertical="center"/>
    </xf>
    <xf numFmtId="0" fontId="21" fillId="0" borderId="2" xfId="0" applyFont="1" applyBorder="1"/>
    <xf numFmtId="164" fontId="25" fillId="0" borderId="0" xfId="0" applyNumberFormat="1" applyFont="1" applyAlignment="1">
      <alignment horizontal="center" vertical="center"/>
    </xf>
    <xf numFmtId="0" fontId="25" fillId="0" borderId="0" xfId="0" applyFont="1" applyAlignment="1">
      <alignment horizontal="center" vertical="center"/>
    </xf>
    <xf numFmtId="10" fontId="39" fillId="0" borderId="0" xfId="0" applyNumberFormat="1" applyFont="1" applyAlignment="1">
      <alignment horizontal="center" vertical="center"/>
    </xf>
    <xf numFmtId="164" fontId="39" fillId="0" borderId="0" xfId="0" applyNumberFormat="1" applyFont="1" applyAlignment="1">
      <alignment horizontal="center" vertical="center"/>
    </xf>
    <xf numFmtId="174" fontId="39" fillId="0" borderId="0" xfId="0" applyNumberFormat="1" applyFont="1" applyAlignment="1">
      <alignment horizontal="center" vertical="center"/>
    </xf>
    <xf numFmtId="164" fontId="14" fillId="4" borderId="1" xfId="0" applyNumberFormat="1" applyFont="1" applyFill="1" applyBorder="1" applyAlignment="1">
      <alignment horizontal="center" vertical="center"/>
    </xf>
    <xf numFmtId="10" fontId="14" fillId="4" borderId="1" xfId="0" applyNumberFormat="1" applyFont="1" applyFill="1" applyBorder="1" applyAlignment="1">
      <alignment horizontal="center" vertical="center"/>
    </xf>
    <xf numFmtId="165" fontId="21" fillId="5" borderId="1" xfId="0" applyNumberFormat="1" applyFont="1" applyFill="1" applyBorder="1" applyAlignment="1">
      <alignment horizontal="center" vertical="center"/>
    </xf>
    <xf numFmtId="165" fontId="21" fillId="5" borderId="0" xfId="0" applyNumberFormat="1" applyFont="1" applyFill="1" applyAlignment="1">
      <alignment horizontal="center" vertical="center"/>
    </xf>
    <xf numFmtId="10" fontId="15" fillId="0" borderId="0" xfId="0" applyNumberFormat="1" applyFont="1" applyAlignment="1">
      <alignment vertical="center"/>
    </xf>
    <xf numFmtId="164" fontId="15" fillId="0" borderId="0" xfId="0" applyNumberFormat="1" applyFont="1" applyAlignment="1">
      <alignment vertical="center"/>
    </xf>
    <xf numFmtId="175" fontId="15" fillId="0" borderId="0" xfId="0" applyNumberFormat="1" applyFont="1" applyAlignment="1">
      <alignment vertical="center"/>
    </xf>
    <xf numFmtId="165" fontId="15" fillId="0" borderId="0" xfId="0" applyNumberFormat="1" applyFont="1" applyAlignment="1">
      <alignment vertical="center"/>
    </xf>
    <xf numFmtId="3" fontId="15" fillId="0" borderId="0" xfId="0" applyNumberFormat="1" applyFont="1" applyAlignment="1">
      <alignment vertical="center"/>
    </xf>
    <xf numFmtId="168" fontId="21" fillId="6" borderId="0" xfId="0" applyNumberFormat="1" applyFont="1" applyFill="1" applyAlignment="1">
      <alignment horizontal="center" vertical="center"/>
    </xf>
    <xf numFmtId="0" fontId="42" fillId="6" borderId="0" xfId="0" applyFont="1" applyFill="1" applyAlignment="1">
      <alignment horizontal="center" vertical="center"/>
    </xf>
    <xf numFmtId="169" fontId="21" fillId="6" borderId="0" xfId="0" applyNumberFormat="1" applyFont="1" applyFill="1" applyAlignment="1">
      <alignment horizontal="center" vertical="center"/>
    </xf>
    <xf numFmtId="164" fontId="21" fillId="6" borderId="0" xfId="0" applyNumberFormat="1" applyFont="1" applyFill="1" applyAlignment="1">
      <alignment horizontal="center" vertical="center"/>
    </xf>
    <xf numFmtId="168" fontId="21" fillId="0" borderId="2" xfId="0" applyNumberFormat="1" applyFont="1" applyBorder="1" applyAlignment="1">
      <alignment horizontal="center" vertical="center"/>
    </xf>
    <xf numFmtId="0" fontId="44" fillId="0" borderId="0" xfId="0" applyFont="1" applyAlignment="1">
      <alignment horizontal="center" vertical="center"/>
    </xf>
    <xf numFmtId="3" fontId="21" fillId="0" borderId="2" xfId="0" applyNumberFormat="1" applyFont="1" applyBorder="1" applyAlignment="1">
      <alignment horizontal="center" vertical="center"/>
    </xf>
    <xf numFmtId="169" fontId="21" fillId="0" borderId="2" xfId="0" applyNumberFormat="1" applyFont="1" applyBorder="1" applyAlignment="1">
      <alignment horizontal="center" vertical="center"/>
    </xf>
    <xf numFmtId="0" fontId="0" fillId="9" borderId="0" xfId="0" applyFill="1"/>
    <xf numFmtId="0" fontId="1" fillId="9" borderId="0" xfId="0" applyFont="1" applyFill="1" applyAlignment="1">
      <alignment vertical="center"/>
    </xf>
    <xf numFmtId="0" fontId="2" fillId="9" borderId="0" xfId="0" applyFont="1" applyFill="1" applyAlignment="1">
      <alignment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14" fillId="0" borderId="0" xfId="0" applyFont="1" applyAlignment="1">
      <alignment vertical="top"/>
    </xf>
    <xf numFmtId="0" fontId="15" fillId="0" borderId="0" xfId="0" applyFont="1" applyFill="1" applyAlignment="1">
      <alignment vertical="top" wrapText="1"/>
    </xf>
    <xf numFmtId="0" fontId="33" fillId="8" borderId="0" xfId="0" applyFont="1" applyFill="1" applyAlignment="1">
      <alignment vertical="top" wrapText="1"/>
    </xf>
    <xf numFmtId="15" fontId="15" fillId="0" borderId="0" xfId="0" applyNumberFormat="1" applyFont="1" applyFill="1" applyAlignment="1">
      <alignment horizontal="left" vertical="top" wrapText="1"/>
    </xf>
    <xf numFmtId="176" fontId="15" fillId="0" borderId="0" xfId="0" applyNumberFormat="1" applyFont="1" applyFill="1" applyAlignment="1">
      <alignment horizontal="left" vertical="top" wrapText="1"/>
    </xf>
    <xf numFmtId="0" fontId="5" fillId="0" borderId="0" xfId="0" applyNumberFormat="1" applyFont="1" applyAlignment="1">
      <alignment horizontal="right" vertical="center"/>
    </xf>
    <xf numFmtId="0" fontId="48" fillId="0" borderId="0" xfId="1" applyFont="1"/>
    <xf numFmtId="0" fontId="49"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7D8C"/>
      <rgbColor rgb="FFD9D9D9"/>
      <rgbColor rgb="FF878787"/>
      <rgbColor rgb="FF9999FF"/>
      <rgbColor rgb="FF993366"/>
      <rgbColor rgb="FFF4F8F9"/>
      <rgbColor rgb="FFE3EDEF"/>
      <rgbColor rgb="FF660066"/>
      <rgbColor rgb="FFFF8080"/>
      <rgbColor rgb="FF0066CC"/>
      <rgbColor rgb="FFC3D2D6"/>
      <rgbColor rgb="FF000080"/>
      <rgbColor rgb="FFFF00FF"/>
      <rgbColor rgb="FFFFFF00"/>
      <rgbColor rgb="FF00FFFF"/>
      <rgbColor rgb="FF800080"/>
      <rgbColor rgb="FF800000"/>
      <rgbColor rgb="FF008080"/>
      <rgbColor rgb="FF0000FF"/>
      <rgbColor rgb="FF00CCFF"/>
      <rgbColor rgb="FFCCFFFF"/>
      <rgbColor rgb="FFCCFFCC"/>
      <rgbColor rgb="FFFFE7A8"/>
      <rgbColor rgb="FF8CBAC4"/>
      <rgbColor rgb="FFFF99CC"/>
      <rgbColor rgb="FFCC99FF"/>
      <rgbColor rgb="FFFFCC99"/>
      <rgbColor rgb="FF3366FF"/>
      <rgbColor rgb="FF33CCCC"/>
      <rgbColor rgb="FF99CC00"/>
      <rgbColor rgb="FFFFCC00"/>
      <rgbColor rgb="FFC9A227"/>
      <rgbColor rgb="FFBE6E2E"/>
      <rgbColor rgb="FF5A6B73"/>
      <rgbColor rgb="FF969696"/>
      <rgbColor rgb="FF113A44"/>
      <rgbColor rgb="FF4F8F5B"/>
      <rgbColor rgb="FF0B272E"/>
      <rgbColor rgb="FF333300"/>
      <rgbColor rgb="FFB03A2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Revenue and EBITDA margin</a:t>
            </a:r>
          </a:p>
        </c:rich>
      </c:tx>
      <c:overlay val="0"/>
      <c:spPr>
        <a:noFill/>
        <a:ln w="0">
          <a:noFill/>
        </a:ln>
      </c:spPr>
    </c:title>
    <c:autoTitleDeleted val="0"/>
    <c:plotArea>
      <c:layout/>
      <c:barChart>
        <c:barDir val="col"/>
        <c:grouping val="clustered"/>
        <c:varyColors val="0"/>
        <c:ser>
          <c:idx val="0"/>
          <c:order val="0"/>
          <c:tx>
            <c:v>Revenue (₹ cr)</c:v>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'Income Statement'!$AK$112:$AQ$112</c:f>
              <c:strCache>
                <c:ptCount val="7"/>
                <c:pt idx="0">
                  <c:v>FY2022</c:v>
                </c:pt>
                <c:pt idx="1">
                  <c:v>FY2023</c:v>
                </c:pt>
                <c:pt idx="2">
                  <c:v>FY2024</c:v>
                </c:pt>
                <c:pt idx="3">
                  <c:v>FY2025</c:v>
                </c:pt>
                <c:pt idx="4">
                  <c:v>FY2026</c:v>
                </c:pt>
                <c:pt idx="5">
                  <c:v>FY2027E</c:v>
                </c:pt>
                <c:pt idx="6">
                  <c:v>FY2028E</c:v>
                </c:pt>
              </c:strCache>
            </c:strRef>
          </c:cat>
          <c:val>
            <c:numRef>
              <c:f>'Income Statement'!$AK$113:$AQ$113</c:f>
              <c:numCache>
                <c:formatCode>#,##0;\(#,##0\);\-</c:formatCode>
                <c:ptCount val="7"/>
                <c:pt idx="0">
                  <c:v>20791</c:v>
                </c:pt>
                <c:pt idx="1">
                  <c:v>26378</c:v>
                </c:pt>
                <c:pt idx="2">
                  <c:v>31776</c:v>
                </c:pt>
                <c:pt idx="3">
                  <c:v>36251</c:v>
                </c:pt>
                <c:pt idx="4">
                  <c:v>47270</c:v>
                </c:pt>
                <c:pt idx="5">
                  <c:v>58737.497609999999</c:v>
                </c:pt>
                <c:pt idx="6">
                  <c:v>69954.539349486004</c:v>
                </c:pt>
              </c:numCache>
            </c:numRef>
          </c:val>
          <c:extLst>
            <c:ext xmlns:c16="http://schemas.microsoft.com/office/drawing/2014/chart" uri="{C3380CC4-5D6E-409C-BE32-E72D297353CC}">
              <c16:uniqueId val="{00000000-3DC4-47B2-93F7-A63AA3388BE9}"/>
            </c:ext>
          </c:extLst>
        </c:ser>
        <c:dLbls>
          <c:showLegendKey val="0"/>
          <c:showVal val="0"/>
          <c:showCatName val="0"/>
          <c:showSerName val="0"/>
          <c:showPercent val="0"/>
          <c:showBubbleSize val="0"/>
        </c:dLbls>
        <c:gapWidth val="70"/>
        <c:axId val="58452871"/>
        <c:axId val="73823153"/>
      </c:barChart>
      <c:lineChart>
        <c:grouping val="standard"/>
        <c:varyColors val="0"/>
        <c:ser>
          <c:idx val="1"/>
          <c:order val="1"/>
          <c:tx>
            <c:v>EBITDA margin</c:v>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'Income Statement'!$AK$112:$AQ$112</c:f>
              <c:strCache>
                <c:ptCount val="7"/>
                <c:pt idx="0">
                  <c:v>FY2022</c:v>
                </c:pt>
                <c:pt idx="1">
                  <c:v>FY2023</c:v>
                </c:pt>
                <c:pt idx="2">
                  <c:v>FY2024</c:v>
                </c:pt>
                <c:pt idx="3">
                  <c:v>FY2025</c:v>
                </c:pt>
                <c:pt idx="4">
                  <c:v>FY2026</c:v>
                </c:pt>
                <c:pt idx="5">
                  <c:v>FY2027E</c:v>
                </c:pt>
                <c:pt idx="6">
                  <c:v>FY2028E</c:v>
                </c:pt>
              </c:strCache>
            </c:strRef>
          </c:cat>
          <c:val>
            <c:numRef>
              <c:f>'Income Statement'!$AK$115:$AQ$115</c:f>
              <c:numCache>
                <c:formatCode>0.0%;\(0.0%\);\-</c:formatCode>
                <c:ptCount val="7"/>
                <c:pt idx="0">
                  <c:v>9.4367755278726373E-2</c:v>
                </c:pt>
                <c:pt idx="1">
                  <c:v>0.10141026613086664</c:v>
                </c:pt>
                <c:pt idx="2">
                  <c:v>0.11055513595166164</c:v>
                </c:pt>
                <c:pt idx="3">
                  <c:v>0.12311384513530661</c:v>
                </c:pt>
                <c:pt idx="4">
                  <c:v>0.12860165009519781</c:v>
                </c:pt>
                <c:pt idx="5">
                  <c:v>0.13400000000000012</c:v>
                </c:pt>
                <c:pt idx="6">
                  <c:v>0.13800000000000004</c:v>
                </c:pt>
              </c:numCache>
            </c:numRef>
          </c:val>
          <c:smooth val="0"/>
          <c:extLst>
            <c:ext xmlns:c16="http://schemas.microsoft.com/office/drawing/2014/chart" uri="{C3380CC4-5D6E-409C-BE32-E72D297353CC}">
              <c16:uniqueId val="{00000001-3DC4-47B2-93F7-A63AA3388BE9}"/>
            </c:ext>
          </c:extLst>
        </c:ser>
        <c:dLbls>
          <c:showLegendKey val="0"/>
          <c:showVal val="0"/>
          <c:showCatName val="0"/>
          <c:showSerName val="0"/>
          <c:showPercent val="0"/>
          <c:showBubbleSize val="0"/>
        </c:dLbls>
        <c:hiLowLines>
          <c:spPr>
            <a:ln w="0">
              <a:noFill/>
            </a:ln>
          </c:spPr>
        </c:hiLowLines>
        <c:marker val="1"/>
        <c:smooth val="0"/>
        <c:axId val="66377897"/>
        <c:axId val="77305831"/>
      </c:lineChart>
      <c:catAx>
        <c:axId val="58452871"/>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3823153"/>
        <c:crosses val="autoZero"/>
        <c:auto val="1"/>
        <c:lblAlgn val="ctr"/>
        <c:lblOffset val="100"/>
        <c:noMultiLvlLbl val="0"/>
      </c:catAx>
      <c:valAx>
        <c:axId val="73823153"/>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8452871"/>
        <c:crosses val="max"/>
        <c:crossBetween val="between"/>
      </c:valAx>
      <c:catAx>
        <c:axId val="66377897"/>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7305831"/>
        <c:crosses val="autoZero"/>
        <c:auto val="1"/>
        <c:lblAlgn val="ctr"/>
        <c:lblOffset val="100"/>
        <c:noMultiLvlLbl val="0"/>
      </c:catAx>
      <c:valAx>
        <c:axId val="77305831"/>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637789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PAT and EPS</a:t>
            </a:r>
          </a:p>
        </c:rich>
      </c:tx>
      <c:overlay val="0"/>
      <c:spPr>
        <a:noFill/>
        <a:ln w="0">
          <a:noFill/>
        </a:ln>
      </c:spPr>
    </c:title>
    <c:autoTitleDeleted val="0"/>
    <c:plotArea>
      <c:layout/>
      <c:barChart>
        <c:barDir val="col"/>
        <c:grouping val="clustered"/>
        <c:varyColors val="0"/>
        <c:ser>
          <c:idx val="0"/>
          <c:order val="0"/>
          <c:tx>
            <c:v>PAT (₹ cr)</c:v>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'Income Statement'!$AK$112:$AQ$112</c:f>
              <c:strCache>
                <c:ptCount val="7"/>
                <c:pt idx="0">
                  <c:v>FY2022</c:v>
                </c:pt>
                <c:pt idx="1">
                  <c:v>FY2023</c:v>
                </c:pt>
                <c:pt idx="2">
                  <c:v>FY2024</c:v>
                </c:pt>
                <c:pt idx="3">
                  <c:v>FY2025</c:v>
                </c:pt>
                <c:pt idx="4">
                  <c:v>FY2026</c:v>
                </c:pt>
                <c:pt idx="5">
                  <c:v>FY2027E</c:v>
                </c:pt>
                <c:pt idx="6">
                  <c:v>FY2028E</c:v>
                </c:pt>
              </c:strCache>
            </c:strRef>
          </c:cat>
          <c:val>
            <c:numRef>
              <c:f>'Income Statement'!$AK$116:$AQ$116</c:f>
              <c:numCache>
                <c:formatCode>#,##0;\(#,##0\);\-</c:formatCode>
                <c:ptCount val="7"/>
                <c:pt idx="0">
                  <c:v>895</c:v>
                </c:pt>
                <c:pt idx="1">
                  <c:v>1492</c:v>
                </c:pt>
                <c:pt idx="2">
                  <c:v>2082</c:v>
                </c:pt>
                <c:pt idx="3">
                  <c:v>2635</c:v>
                </c:pt>
                <c:pt idx="4">
                  <c:v>3614</c:v>
                </c:pt>
                <c:pt idx="5">
                  <c:v>5056.1076629294466</c:v>
                </c:pt>
                <c:pt idx="6">
                  <c:v>6240.1058582867872</c:v>
                </c:pt>
              </c:numCache>
            </c:numRef>
          </c:val>
          <c:extLst>
            <c:ext xmlns:c16="http://schemas.microsoft.com/office/drawing/2014/chart" uri="{C3380CC4-5D6E-409C-BE32-E72D297353CC}">
              <c16:uniqueId val="{00000000-9E96-4079-93E6-14AE89463B28}"/>
            </c:ext>
          </c:extLst>
        </c:ser>
        <c:dLbls>
          <c:showLegendKey val="0"/>
          <c:showVal val="0"/>
          <c:showCatName val="0"/>
          <c:showSerName val="0"/>
          <c:showPercent val="0"/>
          <c:showBubbleSize val="0"/>
        </c:dLbls>
        <c:gapWidth val="70"/>
        <c:axId val="45499411"/>
        <c:axId val="85171808"/>
      </c:barChart>
      <c:lineChart>
        <c:grouping val="standard"/>
        <c:varyColors val="0"/>
        <c:ser>
          <c:idx val="1"/>
          <c:order val="1"/>
          <c:tx>
            <c:v>EPS (₹)</c:v>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'Income Statement'!$AK$112:$AQ$112</c:f>
              <c:strCache>
                <c:ptCount val="7"/>
                <c:pt idx="0">
                  <c:v>FY2022</c:v>
                </c:pt>
                <c:pt idx="1">
                  <c:v>FY2023</c:v>
                </c:pt>
                <c:pt idx="2">
                  <c:v>FY2024</c:v>
                </c:pt>
                <c:pt idx="3">
                  <c:v>FY2025</c:v>
                </c:pt>
                <c:pt idx="4">
                  <c:v>FY2026</c:v>
                </c:pt>
                <c:pt idx="5">
                  <c:v>FY2027E</c:v>
                </c:pt>
                <c:pt idx="6">
                  <c:v>FY2028E</c:v>
                </c:pt>
              </c:strCache>
            </c:strRef>
          </c:cat>
          <c:val>
            <c:numRef>
              <c:f>'Income Statement'!$AK$117:$AQ$117</c:f>
              <c:numCache>
                <c:formatCode>#,##0.0;\(#,##0.0\);\-</c:formatCode>
                <c:ptCount val="7"/>
                <c:pt idx="0">
                  <c:v>18.838654814802343</c:v>
                </c:pt>
                <c:pt idx="1">
                  <c:v>31.404774283447033</c:v>
                </c:pt>
                <c:pt idx="2">
                  <c:v>43.82355231778601</c:v>
                </c:pt>
                <c:pt idx="3">
                  <c:v>55.463525627937621</c:v>
                </c:pt>
                <c:pt idx="4">
                  <c:v>76.070277654408571</c:v>
                </c:pt>
                <c:pt idx="5">
                  <c:v>106.42487929430709</c:v>
                </c:pt>
                <c:pt idx="6">
                  <c:v>131.34659248278288</c:v>
                </c:pt>
              </c:numCache>
            </c:numRef>
          </c:val>
          <c:smooth val="0"/>
          <c:extLst>
            <c:ext xmlns:c16="http://schemas.microsoft.com/office/drawing/2014/chart" uri="{C3380CC4-5D6E-409C-BE32-E72D297353CC}">
              <c16:uniqueId val="{00000001-9E96-4079-93E6-14AE89463B28}"/>
            </c:ext>
          </c:extLst>
        </c:ser>
        <c:dLbls>
          <c:showLegendKey val="0"/>
          <c:showVal val="0"/>
          <c:showCatName val="0"/>
          <c:showSerName val="0"/>
          <c:showPercent val="0"/>
          <c:showBubbleSize val="0"/>
        </c:dLbls>
        <c:hiLowLines>
          <c:spPr>
            <a:ln w="0">
              <a:noFill/>
            </a:ln>
          </c:spPr>
        </c:hiLowLines>
        <c:marker val="1"/>
        <c:smooth val="0"/>
        <c:axId val="98437056"/>
        <c:axId val="72782589"/>
      </c:lineChart>
      <c:catAx>
        <c:axId val="45499411"/>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171808"/>
        <c:crosses val="autoZero"/>
        <c:auto val="1"/>
        <c:lblAlgn val="ctr"/>
        <c:lblOffset val="100"/>
        <c:noMultiLvlLbl val="0"/>
      </c:catAx>
      <c:valAx>
        <c:axId val="85171808"/>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5499411"/>
        <c:crosses val="max"/>
        <c:crossBetween val="between"/>
      </c:valAx>
      <c:catAx>
        <c:axId val="98437056"/>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782589"/>
        <c:crosses val="autoZero"/>
        <c:auto val="1"/>
        <c:lblAlgn val="ctr"/>
        <c:lblOffset val="100"/>
        <c:noMultiLvlLbl val="0"/>
      </c:catAx>
      <c:valAx>
        <c:axId val="72782589"/>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843705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Return ratios</a:t>
            </a:r>
          </a:p>
        </c:rich>
      </c:tx>
      <c:overlay val="0"/>
      <c:spPr>
        <a:noFill/>
        <a:ln w="0">
          <a:noFill/>
        </a:ln>
      </c:spPr>
    </c:title>
    <c:autoTitleDeleted val="0"/>
    <c:plotArea>
      <c:layout/>
      <c:lineChart>
        <c:grouping val="standard"/>
        <c:varyColors val="0"/>
        <c:ser>
          <c:idx val="0"/>
          <c:order val="0"/>
          <c:tx>
            <c:v>ROCE</c:v>
          </c:tx>
          <c:spPr>
            <a:ln w="21960">
              <a:solidFill>
                <a:srgbClr val="113A44"/>
              </a:solidFill>
              <a:round/>
            </a:ln>
          </c:spPr>
          <c:marker>
            <c:symbol val="circle"/>
            <c:size val="6"/>
            <c:spPr>
              <a:solidFill>
                <a:srgbClr val="113A4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'Income Statement'!$AK$112:$AQ$112</c:f>
              <c:strCache>
                <c:ptCount val="7"/>
                <c:pt idx="0">
                  <c:v>FY2022</c:v>
                </c:pt>
                <c:pt idx="1">
                  <c:v>FY2023</c:v>
                </c:pt>
                <c:pt idx="2">
                  <c:v>FY2024</c:v>
                </c:pt>
                <c:pt idx="3">
                  <c:v>FY2025</c:v>
                </c:pt>
                <c:pt idx="4">
                  <c:v>FY2026</c:v>
                </c:pt>
                <c:pt idx="5">
                  <c:v>FY2027E</c:v>
                </c:pt>
                <c:pt idx="6">
                  <c:v>FY2028E</c:v>
                </c:pt>
              </c:strCache>
            </c:strRef>
          </c:cat>
          <c:val>
            <c:numRef>
              <c:f>'Income Statement'!$AK$118:$AQ$118</c:f>
              <c:numCache>
                <c:formatCode>0.0%;\(0.0%\);\-</c:formatCode>
                <c:ptCount val="7"/>
                <c:pt idx="0">
                  <c:v>0.19908635425876806</c:v>
                </c:pt>
                <c:pt idx="1">
                  <c:v>0.2346458500746183</c:v>
                </c:pt>
                <c:pt idx="2">
                  <c:v>0.29011963696369636</c:v>
                </c:pt>
                <c:pt idx="3">
                  <c:v>0.31126937578550484</c:v>
                </c:pt>
                <c:pt idx="4">
                  <c:v>0.34593800106894707</c:v>
                </c:pt>
                <c:pt idx="5">
                  <c:v>0.36771746540309824</c:v>
                </c:pt>
                <c:pt idx="6">
                  <c:v>0.35628224765928423</c:v>
                </c:pt>
              </c:numCache>
            </c:numRef>
          </c:val>
          <c:smooth val="0"/>
          <c:extLst>
            <c:ext xmlns:c16="http://schemas.microsoft.com/office/drawing/2014/chart" uri="{C3380CC4-5D6E-409C-BE32-E72D297353CC}">
              <c16:uniqueId val="{00000000-3158-4824-B2E1-8EAFE0594E10}"/>
            </c:ext>
          </c:extLst>
        </c:ser>
        <c:ser>
          <c:idx val="1"/>
          <c:order val="1"/>
          <c:tx>
            <c:v>ROE</c:v>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'Income Statement'!$AK$112:$AQ$112</c:f>
              <c:strCache>
                <c:ptCount val="7"/>
                <c:pt idx="0">
                  <c:v>FY2022</c:v>
                </c:pt>
                <c:pt idx="1">
                  <c:v>FY2023</c:v>
                </c:pt>
                <c:pt idx="2">
                  <c:v>FY2024</c:v>
                </c:pt>
                <c:pt idx="3">
                  <c:v>FY2025</c:v>
                </c:pt>
                <c:pt idx="4">
                  <c:v>FY2026</c:v>
                </c:pt>
                <c:pt idx="5">
                  <c:v>FY2027E</c:v>
                </c:pt>
                <c:pt idx="6">
                  <c:v>FY2028E</c:v>
                </c:pt>
              </c:strCache>
            </c:strRef>
          </c:cat>
          <c:val>
            <c:numRef>
              <c:f>'Income Statement'!$AK$119:$AQ$119</c:f>
              <c:numCache>
                <c:formatCode>0.0%;\(0.0%\);\-</c:formatCode>
                <c:ptCount val="7"/>
                <c:pt idx="0">
                  <c:v>0.18556914783329878</c:v>
                </c:pt>
                <c:pt idx="1">
                  <c:v>0.24669312169312169</c:v>
                </c:pt>
                <c:pt idx="2">
                  <c:v>0.26927056389032594</c:v>
                </c:pt>
                <c:pt idx="3">
                  <c:v>0.2662153970499091</c:v>
                </c:pt>
                <c:pt idx="4">
                  <c:v>0.32167334223408989</c:v>
                </c:pt>
                <c:pt idx="5">
                  <c:v>0.32872407125089553</c:v>
                </c:pt>
                <c:pt idx="6">
                  <c:v>0.30535625170050285</c:v>
                </c:pt>
              </c:numCache>
            </c:numRef>
          </c:val>
          <c:smooth val="0"/>
          <c:extLst>
            <c:ext xmlns:c16="http://schemas.microsoft.com/office/drawing/2014/chart" uri="{C3380CC4-5D6E-409C-BE32-E72D297353CC}">
              <c16:uniqueId val="{00000001-3158-4824-B2E1-8EAFE0594E10}"/>
            </c:ext>
          </c:extLst>
        </c:ser>
        <c:dLbls>
          <c:showLegendKey val="0"/>
          <c:showVal val="0"/>
          <c:showCatName val="0"/>
          <c:showSerName val="0"/>
          <c:showPercent val="0"/>
          <c:showBubbleSize val="0"/>
        </c:dLbls>
        <c:hiLowLines>
          <c:spPr>
            <a:ln w="0">
              <a:noFill/>
            </a:ln>
          </c:spPr>
        </c:hiLowLines>
        <c:marker val="1"/>
        <c:smooth val="0"/>
        <c:axId val="63147200"/>
        <c:axId val="75609965"/>
      </c:lineChart>
      <c:catAx>
        <c:axId val="63147200"/>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609965"/>
        <c:crosses val="autoZero"/>
        <c:auto val="1"/>
        <c:lblAlgn val="ctr"/>
        <c:lblOffset val="100"/>
        <c:noMultiLvlLbl val="0"/>
      </c:catAx>
      <c:valAx>
        <c:axId val="75609965"/>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314720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Revenue by segment (₹ cr)</a:t>
            </a:r>
          </a:p>
        </c:rich>
      </c:tx>
      <c:overlay val="0"/>
      <c:spPr>
        <a:noFill/>
        <a:ln w="0">
          <a:noFill/>
        </a:ln>
      </c:spPr>
    </c:title>
    <c:autoTitleDeleted val="0"/>
    <c:plotArea>
      <c:layout/>
      <c:barChart>
        <c:barDir val="col"/>
        <c:grouping val="stacked"/>
        <c:varyColors val="0"/>
        <c:ser>
          <c:idx val="0"/>
          <c:order val="0"/>
          <c:tx>
            <c:strRef>
              <c:f>'Graphical Representation'!$B$202</c:f>
              <c:strCache>
                <c:ptCount val="1"/>
                <c:pt idx="0">
                  <c:v>Motorcycles</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Representation'!$C$202:$L$202</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693F-41D0-A8BA-255867C6C00A}"/>
            </c:ext>
          </c:extLst>
        </c:ser>
        <c:ser>
          <c:idx val="1"/>
          <c:order val="1"/>
          <c:tx>
            <c:strRef>
              <c:f>'Graphical Representation'!$B$203</c:f>
              <c:strCache>
                <c:ptCount val="1"/>
                <c:pt idx="0">
                  <c:v>Scooters — ICE</c:v>
                </c:pt>
              </c:strCache>
            </c:strRef>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Representation'!$C$203:$L$203</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693F-41D0-A8BA-255867C6C00A}"/>
            </c:ext>
          </c:extLst>
        </c:ser>
        <c:ser>
          <c:idx val="2"/>
          <c:order val="2"/>
          <c:tx>
            <c:strRef>
              <c:f>'Graphical Representation'!$B$204</c:f>
              <c:strCache>
                <c:ptCount val="1"/>
                <c:pt idx="0">
                  <c:v>Electric 2W</c:v>
                </c:pt>
              </c:strCache>
            </c:strRef>
          </c:tx>
          <c:spPr>
            <a:solidFill>
              <a:srgbClr val="4F8F5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Representation'!$C$204:$L$204</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693F-41D0-A8BA-255867C6C00A}"/>
            </c:ext>
          </c:extLst>
        </c:ser>
        <c:ser>
          <c:idx val="3"/>
          <c:order val="3"/>
          <c:tx>
            <c:strRef>
              <c:f>'Graphical Representation'!$B$205</c:f>
              <c:strCache>
                <c:ptCount val="1"/>
                <c:pt idx="0">
                  <c:v>Mopeds</c:v>
                </c:pt>
              </c:strCache>
            </c:strRef>
          </c:tx>
          <c:spPr>
            <a:solidFill>
              <a:srgbClr val="C9A22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Representation'!$C$205:$L$205</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693F-41D0-A8BA-255867C6C00A}"/>
            </c:ext>
          </c:extLst>
        </c:ser>
        <c:ser>
          <c:idx val="4"/>
          <c:order val="4"/>
          <c:tx>
            <c:strRef>
              <c:f>'Graphical Representation'!$B$206</c:f>
              <c:strCache>
                <c:ptCount val="1"/>
                <c:pt idx="0">
                  <c:v>Three-wheelers</c:v>
                </c:pt>
              </c:strCache>
            </c:strRef>
          </c:tx>
          <c:spPr>
            <a:solidFill>
              <a:srgbClr val="BE6E2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Representation'!$C$206:$L$206</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4-693F-41D0-A8BA-255867C6C00A}"/>
            </c:ext>
          </c:extLst>
        </c:ser>
        <c:dLbls>
          <c:showLegendKey val="0"/>
          <c:showVal val="0"/>
          <c:showCatName val="0"/>
          <c:showSerName val="0"/>
          <c:showPercent val="0"/>
          <c:showBubbleSize val="0"/>
        </c:dLbls>
        <c:gapWidth val="70"/>
        <c:overlap val="100"/>
        <c:axId val="91129593"/>
        <c:axId val="84594604"/>
      </c:barChart>
      <c:catAx>
        <c:axId val="91129593"/>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594604"/>
        <c:crosses val="autoZero"/>
        <c:auto val="1"/>
        <c:lblAlgn val="ctr"/>
        <c:lblOffset val="100"/>
        <c:noMultiLvlLbl val="0"/>
      </c:catAx>
      <c:valAx>
        <c:axId val="84594604"/>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12959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Segment mix (% of vehicle revenue)</a:t>
            </a:r>
          </a:p>
        </c:rich>
      </c:tx>
      <c:overlay val="0"/>
      <c:spPr>
        <a:noFill/>
        <a:ln w="0">
          <a:noFill/>
        </a:ln>
      </c:spPr>
    </c:title>
    <c:autoTitleDeleted val="0"/>
    <c:plotArea>
      <c:layout/>
      <c:barChart>
        <c:barDir val="col"/>
        <c:grouping val="percentStacked"/>
        <c:varyColors val="0"/>
        <c:ser>
          <c:idx val="0"/>
          <c:order val="0"/>
          <c:tx>
            <c:strRef>
              <c:f>'Graphical Representation'!$B$202</c:f>
              <c:strCache>
                <c:ptCount val="1"/>
                <c:pt idx="0">
                  <c:v>Motorcycles</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Representation'!$C$202:$L$202</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2F34-46E9-9E84-91254EE889F0}"/>
            </c:ext>
          </c:extLst>
        </c:ser>
        <c:ser>
          <c:idx val="1"/>
          <c:order val="1"/>
          <c:tx>
            <c:strRef>
              <c:f>'Graphical Representation'!$B$203</c:f>
              <c:strCache>
                <c:ptCount val="1"/>
                <c:pt idx="0">
                  <c:v>Scooters — ICE</c:v>
                </c:pt>
              </c:strCache>
            </c:strRef>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Representation'!$C$203:$L$203</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2F34-46E9-9E84-91254EE889F0}"/>
            </c:ext>
          </c:extLst>
        </c:ser>
        <c:ser>
          <c:idx val="2"/>
          <c:order val="2"/>
          <c:tx>
            <c:strRef>
              <c:f>'Graphical Representation'!$B$204</c:f>
              <c:strCache>
                <c:ptCount val="1"/>
                <c:pt idx="0">
                  <c:v>Electric 2W</c:v>
                </c:pt>
              </c:strCache>
            </c:strRef>
          </c:tx>
          <c:spPr>
            <a:solidFill>
              <a:srgbClr val="4F8F5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Representation'!$C$204:$L$204</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2F34-46E9-9E84-91254EE889F0}"/>
            </c:ext>
          </c:extLst>
        </c:ser>
        <c:ser>
          <c:idx val="3"/>
          <c:order val="3"/>
          <c:tx>
            <c:strRef>
              <c:f>'Graphical Representation'!$B$205</c:f>
              <c:strCache>
                <c:ptCount val="1"/>
                <c:pt idx="0">
                  <c:v>Mopeds</c:v>
                </c:pt>
              </c:strCache>
            </c:strRef>
          </c:tx>
          <c:spPr>
            <a:solidFill>
              <a:srgbClr val="C9A22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Representation'!$C$205:$L$205</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2F34-46E9-9E84-91254EE889F0}"/>
            </c:ext>
          </c:extLst>
        </c:ser>
        <c:ser>
          <c:idx val="4"/>
          <c:order val="4"/>
          <c:tx>
            <c:strRef>
              <c:f>'Graphical Representation'!$B$206</c:f>
              <c:strCache>
                <c:ptCount val="1"/>
                <c:pt idx="0">
                  <c:v>Three-wheelers</c:v>
                </c:pt>
              </c:strCache>
            </c:strRef>
          </c:tx>
          <c:spPr>
            <a:solidFill>
              <a:srgbClr val="BE6E2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Representation'!$C$206:$L$206</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4-2F34-46E9-9E84-91254EE889F0}"/>
            </c:ext>
          </c:extLst>
        </c:ser>
        <c:dLbls>
          <c:showLegendKey val="0"/>
          <c:showVal val="0"/>
          <c:showCatName val="0"/>
          <c:showSerName val="0"/>
          <c:showPercent val="0"/>
          <c:showBubbleSize val="0"/>
        </c:dLbls>
        <c:gapWidth val="70"/>
        <c:overlap val="100"/>
        <c:axId val="34919400"/>
        <c:axId val="10566992"/>
      </c:barChart>
      <c:catAx>
        <c:axId val="34919400"/>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566992"/>
        <c:crosses val="autoZero"/>
        <c:auto val="1"/>
        <c:lblAlgn val="ctr"/>
        <c:lblOffset val="100"/>
        <c:noMultiLvlLbl val="0"/>
      </c:catAx>
      <c:valAx>
        <c:axId val="10566992"/>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91940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Volume and blended realisation</a:t>
            </a:r>
          </a:p>
        </c:rich>
      </c:tx>
      <c:overlay val="0"/>
      <c:spPr>
        <a:noFill/>
        <a:ln w="0">
          <a:noFill/>
        </a:ln>
      </c:spPr>
    </c:title>
    <c:autoTitleDeleted val="0"/>
    <c:plotArea>
      <c:layout/>
      <c:barChart>
        <c:barDir val="col"/>
        <c:grouping val="clustered"/>
        <c:varyColors val="0"/>
        <c:ser>
          <c:idx val="0"/>
          <c:order val="0"/>
          <c:tx>
            <c:strRef>
              <c:f>'Graphical Representation'!$B$218</c:f>
              <c:strCache>
                <c:ptCount val="1"/>
                <c:pt idx="0">
                  <c:v>Volume (lakh units)</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Representation'!$C$218:$L$218</c:f>
              <c:numCache>
                <c:formatCode>#,##0.0;\(#,##0.0\);\-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FE7-4B17-8351-BEA7EE7CE345}"/>
            </c:ext>
          </c:extLst>
        </c:ser>
        <c:dLbls>
          <c:showLegendKey val="0"/>
          <c:showVal val="0"/>
          <c:showCatName val="0"/>
          <c:showSerName val="0"/>
          <c:showPercent val="0"/>
          <c:showBubbleSize val="0"/>
        </c:dLbls>
        <c:gapWidth val="70"/>
        <c:axId val="33682261"/>
        <c:axId val="40483152"/>
      </c:barChart>
      <c:lineChart>
        <c:grouping val="standard"/>
        <c:varyColors val="0"/>
        <c:ser>
          <c:idx val="1"/>
          <c:order val="1"/>
          <c:tx>
            <c:strRef>
              <c:f>'Graphical Representation'!$B$242</c:f>
              <c:strCache>
                <c:ptCount val="1"/>
                <c:pt idx="0">
                  <c:v>Blended realisation (₹)</c:v>
                </c:pt>
              </c:strCache>
            </c:strRef>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Representation'!$C$242:$L$242</c:f>
              <c:numCache>
                <c:formatCode>#,##0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1-5FE7-4B17-8351-BEA7EE7CE345}"/>
            </c:ext>
          </c:extLst>
        </c:ser>
        <c:dLbls>
          <c:showLegendKey val="0"/>
          <c:showVal val="0"/>
          <c:showCatName val="0"/>
          <c:showSerName val="0"/>
          <c:showPercent val="0"/>
          <c:showBubbleSize val="0"/>
        </c:dLbls>
        <c:hiLowLines>
          <c:spPr>
            <a:ln w="0">
              <a:noFill/>
            </a:ln>
          </c:spPr>
        </c:hiLowLines>
        <c:marker val="1"/>
        <c:smooth val="0"/>
        <c:axId val="96940483"/>
        <c:axId val="63378556"/>
      </c:lineChart>
      <c:catAx>
        <c:axId val="33682261"/>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483152"/>
        <c:crosses val="autoZero"/>
        <c:auto val="1"/>
        <c:lblAlgn val="ctr"/>
        <c:lblOffset val="100"/>
        <c:noMultiLvlLbl val="0"/>
      </c:catAx>
      <c:valAx>
        <c:axId val="40483152"/>
        <c:scaling>
          <c:orientation val="minMax"/>
        </c:scaling>
        <c:delete val="0"/>
        <c:axPos val="r"/>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3682261"/>
        <c:crosses val="max"/>
        <c:crossBetween val="between"/>
      </c:valAx>
      <c:catAx>
        <c:axId val="96940483"/>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3378556"/>
        <c:crosses val="autoZero"/>
        <c:auto val="1"/>
        <c:lblAlgn val="ctr"/>
        <c:lblOffset val="100"/>
        <c:noMultiLvlLbl val="0"/>
      </c:catAx>
      <c:valAx>
        <c:axId val="63378556"/>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94048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Domestic vs export revenue, and export share</a:t>
            </a:r>
          </a:p>
        </c:rich>
      </c:tx>
      <c:overlay val="0"/>
      <c:spPr>
        <a:noFill/>
        <a:ln w="0">
          <a:noFill/>
        </a:ln>
      </c:spPr>
    </c:title>
    <c:autoTitleDeleted val="0"/>
    <c:plotArea>
      <c:layout/>
      <c:barChart>
        <c:barDir val="col"/>
        <c:grouping val="stacked"/>
        <c:varyColors val="0"/>
        <c:ser>
          <c:idx val="0"/>
          <c:order val="0"/>
          <c:tx>
            <c:strRef>
              <c:f>'Graphical Representation'!$B$231</c:f>
              <c:strCache>
                <c:ptCount val="1"/>
                <c:pt idx="0">
                  <c:v>Domestic revenue</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Representation'!$C$231:$L$231</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5E6-4B05-89F2-68BF4933C88E}"/>
            </c:ext>
          </c:extLst>
        </c:ser>
        <c:ser>
          <c:idx val="1"/>
          <c:order val="1"/>
          <c:tx>
            <c:strRef>
              <c:f>'Graphical Representation'!$B$232</c:f>
              <c:strCache>
                <c:ptCount val="1"/>
                <c:pt idx="0">
                  <c:v>Export revenue</c:v>
                </c:pt>
              </c:strCache>
            </c:strRef>
          </c:tx>
          <c:spPr>
            <a:solidFill>
              <a:srgbClr val="BE6E2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Representation'!$C$232:$L$232</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55E6-4B05-89F2-68BF4933C88E}"/>
            </c:ext>
          </c:extLst>
        </c:ser>
        <c:dLbls>
          <c:showLegendKey val="0"/>
          <c:showVal val="0"/>
          <c:showCatName val="0"/>
          <c:showSerName val="0"/>
          <c:showPercent val="0"/>
          <c:showBubbleSize val="0"/>
        </c:dLbls>
        <c:gapWidth val="70"/>
        <c:overlap val="100"/>
        <c:axId val="54993751"/>
        <c:axId val="68818100"/>
      </c:barChart>
      <c:lineChart>
        <c:grouping val="stacked"/>
        <c:varyColors val="0"/>
        <c:ser>
          <c:idx val="2"/>
          <c:order val="2"/>
          <c:tx>
            <c:strRef>
              <c:f>'Graphical Representation'!$B$233</c:f>
              <c:strCache>
                <c:ptCount val="1"/>
                <c:pt idx="0">
                  <c:v>Export share of volume</c:v>
                </c:pt>
              </c:strCache>
            </c:strRef>
          </c:tx>
          <c:spPr>
            <a:ln w="21960">
              <a:solidFill>
                <a:srgbClr val="4F8F5B"/>
              </a:solidFill>
              <a:round/>
            </a:ln>
          </c:spPr>
          <c:marker>
            <c:symbol val="circle"/>
            <c:size val="6"/>
            <c:spPr>
              <a:solidFill>
                <a:srgbClr val="4F8F5B"/>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Representation'!$C$233:$L$233</c:f>
              <c:numCache>
                <c:formatCode>0.0%;\(0.0%\);\-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2-55E6-4B05-89F2-68BF4933C88E}"/>
            </c:ext>
          </c:extLst>
        </c:ser>
        <c:dLbls>
          <c:showLegendKey val="0"/>
          <c:showVal val="0"/>
          <c:showCatName val="0"/>
          <c:showSerName val="0"/>
          <c:showPercent val="0"/>
          <c:showBubbleSize val="0"/>
        </c:dLbls>
        <c:hiLowLines>
          <c:spPr>
            <a:ln w="0">
              <a:noFill/>
            </a:ln>
          </c:spPr>
        </c:hiLowLines>
        <c:marker val="1"/>
        <c:smooth val="0"/>
        <c:axId val="94423937"/>
        <c:axId val="43707983"/>
      </c:lineChart>
      <c:catAx>
        <c:axId val="54993751"/>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8818100"/>
        <c:crosses val="autoZero"/>
        <c:auto val="1"/>
        <c:lblAlgn val="ctr"/>
        <c:lblOffset val="100"/>
        <c:noMultiLvlLbl val="0"/>
      </c:catAx>
      <c:valAx>
        <c:axId val="68818100"/>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4993751"/>
        <c:crosses val="max"/>
        <c:crossBetween val="between"/>
      </c:valAx>
      <c:catAx>
        <c:axId val="94423937"/>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707983"/>
        <c:crosses val="autoZero"/>
        <c:auto val="1"/>
        <c:lblAlgn val="ctr"/>
        <c:lblOffset val="100"/>
        <c:noMultiLvlLbl val="0"/>
      </c:catAx>
      <c:valAx>
        <c:axId val="43707983"/>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42393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Electric two-wheeler ramp and penetration</a:t>
            </a:r>
          </a:p>
        </c:rich>
      </c:tx>
      <c:overlay val="0"/>
      <c:spPr>
        <a:noFill/>
        <a:ln w="0">
          <a:noFill/>
        </a:ln>
      </c:spPr>
    </c:title>
    <c:autoTitleDeleted val="0"/>
    <c:plotArea>
      <c:layout/>
      <c:barChart>
        <c:barDir val="col"/>
        <c:grouping val="clustered"/>
        <c:varyColors val="0"/>
        <c:ser>
          <c:idx val="0"/>
          <c:order val="0"/>
          <c:tx>
            <c:strRef>
              <c:f>'Graphical Representation'!$B$229</c:f>
              <c:strCache>
                <c:ptCount val="1"/>
                <c:pt idx="0">
                  <c:v>Electric 2W volume (lakh)</c:v>
                </c:pt>
              </c:strCache>
            </c:strRef>
          </c:tx>
          <c:spPr>
            <a:solidFill>
              <a:srgbClr val="4F8F5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Representation'!$C$229:$L$229</c:f>
              <c:numCache>
                <c:formatCode>#,##0.0;\(#,##0.0\);\-</c:formatCode>
                <c:ptCount val="10"/>
                <c:pt idx="0">
                  <c:v>0.16</c:v>
                </c:pt>
                <c:pt idx="1">
                  <c:v>0.93</c:v>
                </c:pt>
                <c:pt idx="2">
                  <c:v>1.85</c:v>
                </c:pt>
                <c:pt idx="3">
                  <c:v>2.78</c:v>
                </c:pt>
                <c:pt idx="4">
                  <c:v>3.7</c:v>
                </c:pt>
                <c:pt idx="5">
                  <c:v>6.29</c:v>
                </c:pt>
                <c:pt idx="6">
                  <c:v>9.1204999999999998</c:v>
                </c:pt>
                <c:pt idx="7">
                  <c:v>12.039059999999999</c:v>
                </c:pt>
                <c:pt idx="8">
                  <c:v>15.048825000000001</c:v>
                </c:pt>
                <c:pt idx="9">
                  <c:v>18.058589999999999</c:v>
                </c:pt>
              </c:numCache>
            </c:numRef>
          </c:val>
          <c:extLst>
            <c:ext xmlns:c16="http://schemas.microsoft.com/office/drawing/2014/chart" uri="{C3380CC4-5D6E-409C-BE32-E72D297353CC}">
              <c16:uniqueId val="{00000000-A8EB-490A-8F3C-3C5A6535EFC5}"/>
            </c:ext>
          </c:extLst>
        </c:ser>
        <c:dLbls>
          <c:showLegendKey val="0"/>
          <c:showVal val="0"/>
          <c:showCatName val="0"/>
          <c:showSerName val="0"/>
          <c:showPercent val="0"/>
          <c:showBubbleSize val="0"/>
        </c:dLbls>
        <c:gapWidth val="70"/>
        <c:axId val="22816403"/>
        <c:axId val="65019344"/>
      </c:barChart>
      <c:lineChart>
        <c:grouping val="standard"/>
        <c:varyColors val="0"/>
        <c:ser>
          <c:idx val="1"/>
          <c:order val="1"/>
          <c:tx>
            <c:strRef>
              <c:f>'Graphical Representation'!$B$230</c:f>
              <c:strCache>
                <c:ptCount val="1"/>
                <c:pt idx="0">
                  <c:v>EV share of 2W volume</c:v>
                </c:pt>
              </c:strCache>
            </c:strRef>
          </c:tx>
          <c:spPr>
            <a:ln w="21960">
              <a:solidFill>
                <a:srgbClr val="113A44"/>
              </a:solidFill>
              <a:round/>
            </a:ln>
          </c:spPr>
          <c:marker>
            <c:symbol val="circle"/>
            <c:size val="6"/>
            <c:spPr>
              <a:solidFill>
                <a:srgbClr val="113A4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Representation'!$C$230:$L$230</c:f>
              <c:numCache>
                <c:formatCode>0.0%;\(0.0%\);\-</c:formatCode>
                <c:ptCount val="10"/>
                <c:pt idx="0">
                  <c:v>5.2270499836654686E-3</c:v>
                </c:pt>
                <c:pt idx="1">
                  <c:v>2.5326797385620915E-2</c:v>
                </c:pt>
                <c:pt idx="2">
                  <c:v>4.5917101017622239E-2</c:v>
                </c:pt>
                <c:pt idx="3">
                  <c:v>6.0316771533955302E-2</c:v>
                </c:pt>
                <c:pt idx="4">
                  <c:v>6.5255731922398585E-2</c:v>
                </c:pt>
                <c:pt idx="5">
                  <c:v>9.4302848575712139E-2</c:v>
                </c:pt>
                <c:pt idx="6">
                  <c:v>0.11986422440927394</c:v>
                </c:pt>
                <c:pt idx="7">
                  <c:v>0.14198874949925006</c:v>
                </c:pt>
                <c:pt idx="8">
                  <c:v>0.16227263355847843</c:v>
                </c:pt>
                <c:pt idx="9">
                  <c:v>0.17994582975978457</c:v>
                </c:pt>
              </c:numCache>
            </c:numRef>
          </c:val>
          <c:smooth val="0"/>
          <c:extLst>
            <c:ext xmlns:c16="http://schemas.microsoft.com/office/drawing/2014/chart" uri="{C3380CC4-5D6E-409C-BE32-E72D297353CC}">
              <c16:uniqueId val="{00000001-A8EB-490A-8F3C-3C5A6535EFC5}"/>
            </c:ext>
          </c:extLst>
        </c:ser>
        <c:dLbls>
          <c:showLegendKey val="0"/>
          <c:showVal val="0"/>
          <c:showCatName val="0"/>
          <c:showSerName val="0"/>
          <c:showPercent val="0"/>
          <c:showBubbleSize val="0"/>
        </c:dLbls>
        <c:hiLowLines>
          <c:spPr>
            <a:ln w="0">
              <a:noFill/>
            </a:ln>
          </c:spPr>
        </c:hiLowLines>
        <c:marker val="1"/>
        <c:smooth val="0"/>
        <c:axId val="50706847"/>
        <c:axId val="18652836"/>
      </c:lineChart>
      <c:catAx>
        <c:axId val="22816403"/>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019344"/>
        <c:crosses val="autoZero"/>
        <c:auto val="1"/>
        <c:lblAlgn val="ctr"/>
        <c:lblOffset val="100"/>
        <c:noMultiLvlLbl val="0"/>
      </c:catAx>
      <c:valAx>
        <c:axId val="65019344"/>
        <c:scaling>
          <c:orientation val="minMax"/>
        </c:scaling>
        <c:delete val="0"/>
        <c:axPos val="r"/>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816403"/>
        <c:crosses val="max"/>
        <c:crossBetween val="between"/>
      </c:valAx>
      <c:catAx>
        <c:axId val="50706847"/>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8652836"/>
        <c:crosses val="autoZero"/>
        <c:auto val="1"/>
        <c:lblAlgn val="ctr"/>
        <c:lblOffset val="100"/>
        <c:noMultiLvlLbl val="0"/>
      </c:catAx>
      <c:valAx>
        <c:axId val="18652836"/>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070684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Capacity, volume and utilisation</a:t>
            </a:r>
          </a:p>
        </c:rich>
      </c:tx>
      <c:overlay val="0"/>
      <c:spPr>
        <a:noFill/>
        <a:ln w="0">
          <a:noFill/>
        </a:ln>
      </c:spPr>
    </c:title>
    <c:autoTitleDeleted val="0"/>
    <c:plotArea>
      <c:layout/>
      <c:barChart>
        <c:barDir val="col"/>
        <c:grouping val="clustered"/>
        <c:varyColors val="0"/>
        <c:ser>
          <c:idx val="0"/>
          <c:order val="0"/>
          <c:tx>
            <c:strRef>
              <c:f>'Graphical Representation'!$B$217</c:f>
              <c:strCache>
                <c:ptCount val="1"/>
                <c:pt idx="0">
                  <c:v>Installed capacity (lakh)</c:v>
                </c:pt>
              </c:strCache>
            </c:strRef>
          </c:tx>
          <c:spPr>
            <a:solidFill>
              <a:srgbClr val="8CBAC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Representation'!$C$217:$L$217</c:f>
              <c:numCache>
                <c:formatCode>#,##0.0;\(#,##0.0\);\-</c:formatCode>
                <c:ptCount val="10"/>
                <c:pt idx="0">
                  <c:v>42</c:v>
                </c:pt>
                <c:pt idx="1">
                  <c:v>48</c:v>
                </c:pt>
                <c:pt idx="2">
                  <c:v>54</c:v>
                </c:pt>
                <c:pt idx="3">
                  <c:v>60</c:v>
                </c:pt>
                <c:pt idx="4">
                  <c:v>66</c:v>
                </c:pt>
                <c:pt idx="5">
                  <c:v>74</c:v>
                </c:pt>
                <c:pt idx="6">
                  <c:v>84</c:v>
                </c:pt>
                <c:pt idx="7">
                  <c:v>94</c:v>
                </c:pt>
                <c:pt idx="8">
                  <c:v>103</c:v>
                </c:pt>
                <c:pt idx="9">
                  <c:v>112</c:v>
                </c:pt>
              </c:numCache>
            </c:numRef>
          </c:val>
          <c:extLst>
            <c:ext xmlns:c16="http://schemas.microsoft.com/office/drawing/2014/chart" uri="{C3380CC4-5D6E-409C-BE32-E72D297353CC}">
              <c16:uniqueId val="{00000000-B114-4AAE-B88B-5AD496800282}"/>
            </c:ext>
          </c:extLst>
        </c:ser>
        <c:ser>
          <c:idx val="1"/>
          <c:order val="1"/>
          <c:tx>
            <c:strRef>
              <c:f>'Graphical Representation'!$B$218</c:f>
              <c:strCache>
                <c:ptCount val="1"/>
                <c:pt idx="0">
                  <c:v>Volume (lakh units)</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Representation'!$C$218:$L$218</c:f>
              <c:numCache>
                <c:formatCode>#,##0.0;\(#,##0.0\);\-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B114-4AAE-B88B-5AD496800282}"/>
            </c:ext>
          </c:extLst>
        </c:ser>
        <c:dLbls>
          <c:showLegendKey val="0"/>
          <c:showVal val="0"/>
          <c:showCatName val="0"/>
          <c:showSerName val="0"/>
          <c:showPercent val="0"/>
          <c:showBubbleSize val="0"/>
        </c:dLbls>
        <c:gapWidth val="70"/>
        <c:axId val="2211351"/>
        <c:axId val="88602374"/>
      </c:barChart>
      <c:lineChart>
        <c:grouping val="standard"/>
        <c:varyColors val="0"/>
        <c:ser>
          <c:idx val="2"/>
          <c:order val="2"/>
          <c:tx>
            <c:strRef>
              <c:f>'Graphical Representation'!$B$219</c:f>
              <c:strCache>
                <c:ptCount val="1"/>
                <c:pt idx="0">
                  <c:v>Capacity utilisation</c:v>
                </c:pt>
              </c:strCache>
            </c:strRef>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Representation'!$C$219:$L$219</c:f>
              <c:numCache>
                <c:formatCode>0.0%;\(0.0%\);\-</c:formatCode>
                <c:ptCount val="10"/>
                <c:pt idx="0">
                  <c:v>0.7288095238095238</c:v>
                </c:pt>
                <c:pt idx="1">
                  <c:v>0.76500000000000001</c:v>
                </c:pt>
                <c:pt idx="2">
                  <c:v>0.74611111111111106</c:v>
                </c:pt>
                <c:pt idx="3">
                  <c:v>0.76816666666666666</c:v>
                </c:pt>
                <c:pt idx="4">
                  <c:v>0.85909090909090913</c:v>
                </c:pt>
                <c:pt idx="5">
                  <c:v>0.90135135135135136</c:v>
                </c:pt>
                <c:pt idx="6">
                  <c:v>0.90583642857142854</c:v>
                </c:pt>
                <c:pt idx="7">
                  <c:v>0.90200883404255328</c:v>
                </c:pt>
                <c:pt idx="8">
                  <c:v>0.90036806504854394</c:v>
                </c:pt>
                <c:pt idx="9">
                  <c:v>0.89603305022142876</c:v>
                </c:pt>
              </c:numCache>
            </c:numRef>
          </c:val>
          <c:smooth val="0"/>
          <c:extLst>
            <c:ext xmlns:c16="http://schemas.microsoft.com/office/drawing/2014/chart" uri="{C3380CC4-5D6E-409C-BE32-E72D297353CC}">
              <c16:uniqueId val="{00000002-B114-4AAE-B88B-5AD496800282}"/>
            </c:ext>
          </c:extLst>
        </c:ser>
        <c:dLbls>
          <c:showLegendKey val="0"/>
          <c:showVal val="0"/>
          <c:showCatName val="0"/>
          <c:showSerName val="0"/>
          <c:showPercent val="0"/>
          <c:showBubbleSize val="0"/>
        </c:dLbls>
        <c:hiLowLines>
          <c:spPr>
            <a:ln w="0">
              <a:noFill/>
            </a:ln>
          </c:spPr>
        </c:hiLowLines>
        <c:marker val="1"/>
        <c:smooth val="0"/>
        <c:axId val="99488022"/>
        <c:axId val="66812452"/>
      </c:lineChart>
      <c:catAx>
        <c:axId val="2211351"/>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602374"/>
        <c:crosses val="autoZero"/>
        <c:auto val="1"/>
        <c:lblAlgn val="ctr"/>
        <c:lblOffset val="100"/>
        <c:noMultiLvlLbl val="0"/>
      </c:catAx>
      <c:valAx>
        <c:axId val="88602374"/>
        <c:scaling>
          <c:orientation val="minMax"/>
        </c:scaling>
        <c:delete val="0"/>
        <c:axPos val="r"/>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11351"/>
        <c:crosses val="max"/>
        <c:crossBetween val="between"/>
      </c:valAx>
      <c:catAx>
        <c:axId val="99488022"/>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6812452"/>
        <c:crosses val="autoZero"/>
        <c:auto val="1"/>
        <c:lblAlgn val="ctr"/>
        <c:lblOffset val="100"/>
        <c:noMultiLvlLbl val="0"/>
      </c:catAx>
      <c:valAx>
        <c:axId val="66812452"/>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48802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Capital investment cycle — capex, depreciation and intensity</a:t>
            </a:r>
          </a:p>
        </c:rich>
      </c:tx>
      <c:overlay val="0"/>
      <c:spPr>
        <a:noFill/>
        <a:ln w="0">
          <a:noFill/>
        </a:ln>
      </c:spPr>
    </c:title>
    <c:autoTitleDeleted val="0"/>
    <c:plotArea>
      <c:layout/>
      <c:barChart>
        <c:barDir val="col"/>
        <c:grouping val="clustered"/>
        <c:varyColors val="0"/>
        <c:ser>
          <c:idx val="0"/>
          <c:order val="0"/>
          <c:tx>
            <c:strRef>
              <c:f>'Graphical Representation'!$B$214</c:f>
              <c:strCache>
                <c:ptCount val="1"/>
                <c:pt idx="0">
                  <c:v>Capital expenditure</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Representation'!$C$214:$L$214</c:f>
              <c:numCache>
                <c:formatCode>#,##0;\(#,##0\);\-</c:formatCode>
                <c:ptCount val="10"/>
                <c:pt idx="0">
                  <c:v>728</c:v>
                </c:pt>
                <c:pt idx="1">
                  <c:v>997</c:v>
                </c:pt>
                <c:pt idx="2">
                  <c:v>1055</c:v>
                </c:pt>
                <c:pt idx="3">
                  <c:v>1780</c:v>
                </c:pt>
                <c:pt idx="4">
                  <c:v>1925</c:v>
                </c:pt>
                <c:pt idx="5">
                  <c:v>2466.9748996200001</c:v>
                </c:pt>
                <c:pt idx="6">
                  <c:v>2798.1815739794401</c:v>
                </c:pt>
                <c:pt idx="7">
                  <c:v>3071.1168124634078</c:v>
                </c:pt>
                <c:pt idx="8">
                  <c:v>3294.1925916811592</c:v>
                </c:pt>
                <c:pt idx="9">
                  <c:v>3584.4232951260728</c:v>
                </c:pt>
              </c:numCache>
            </c:numRef>
          </c:val>
          <c:extLst>
            <c:ext xmlns:c16="http://schemas.microsoft.com/office/drawing/2014/chart" uri="{C3380CC4-5D6E-409C-BE32-E72D297353CC}">
              <c16:uniqueId val="{00000000-BE57-4D0D-9ED0-1BADB2B037BD}"/>
            </c:ext>
          </c:extLst>
        </c:ser>
        <c:dLbls>
          <c:showLegendKey val="0"/>
          <c:showVal val="0"/>
          <c:showCatName val="0"/>
          <c:showSerName val="0"/>
          <c:showPercent val="0"/>
          <c:showBubbleSize val="0"/>
        </c:dLbls>
        <c:gapWidth val="70"/>
        <c:axId val="52426055"/>
        <c:axId val="46177142"/>
      </c:barChart>
      <c:lineChart>
        <c:grouping val="standard"/>
        <c:varyColors val="0"/>
        <c:ser>
          <c:idx val="1"/>
          <c:order val="1"/>
          <c:tx>
            <c:strRef>
              <c:f>'Graphical Representation'!$B$215</c:f>
              <c:strCache>
                <c:ptCount val="1"/>
                <c:pt idx="0">
                  <c:v>Capex % of sales</c:v>
                </c:pt>
              </c:strCache>
            </c:strRef>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Representation'!$C$215:$L$215</c:f>
              <c:numCache>
                <c:formatCode>0.0%;\(0.0%\);\-</c:formatCode>
                <c:ptCount val="10"/>
                <c:pt idx="0">
                  <c:v>3.5015150786397962E-2</c:v>
                </c:pt>
                <c:pt idx="1">
                  <c:v>3.7796648722420195E-2</c:v>
                </c:pt>
                <c:pt idx="2">
                  <c:v>3.3201158106747231E-2</c:v>
                </c:pt>
                <c:pt idx="3">
                  <c:v>4.9102093735345229E-2</c:v>
                </c:pt>
                <c:pt idx="4">
                  <c:v>4.0723503279035331E-2</c:v>
                </c:pt>
                <c:pt idx="5">
                  <c:v>4.2000000000000003E-2</c:v>
                </c:pt>
                <c:pt idx="6">
                  <c:v>0.04</c:v>
                </c:pt>
                <c:pt idx="7">
                  <c:v>3.7999999999999999E-2</c:v>
                </c:pt>
                <c:pt idx="8">
                  <c:v>3.5999999999999997E-2</c:v>
                </c:pt>
                <c:pt idx="9">
                  <c:v>3.5000000000000003E-2</c:v>
                </c:pt>
              </c:numCache>
            </c:numRef>
          </c:val>
          <c:smooth val="0"/>
          <c:extLst>
            <c:ext xmlns:c16="http://schemas.microsoft.com/office/drawing/2014/chart" uri="{C3380CC4-5D6E-409C-BE32-E72D297353CC}">
              <c16:uniqueId val="{00000001-BE57-4D0D-9ED0-1BADB2B037BD}"/>
            </c:ext>
          </c:extLst>
        </c:ser>
        <c:dLbls>
          <c:showLegendKey val="0"/>
          <c:showVal val="0"/>
          <c:showCatName val="0"/>
          <c:showSerName val="0"/>
          <c:showPercent val="0"/>
          <c:showBubbleSize val="0"/>
        </c:dLbls>
        <c:hiLowLines>
          <c:spPr>
            <a:ln w="0">
              <a:noFill/>
            </a:ln>
          </c:spPr>
        </c:hiLowLines>
        <c:marker val="1"/>
        <c:smooth val="0"/>
        <c:axId val="76747603"/>
        <c:axId val="45916154"/>
      </c:lineChart>
      <c:catAx>
        <c:axId val="52426055"/>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177142"/>
        <c:crosses val="autoZero"/>
        <c:auto val="1"/>
        <c:lblAlgn val="ctr"/>
        <c:lblOffset val="100"/>
        <c:noMultiLvlLbl val="0"/>
      </c:catAx>
      <c:valAx>
        <c:axId val="46177142"/>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2426055"/>
        <c:crosses val="max"/>
        <c:crossBetween val="between"/>
      </c:valAx>
      <c:catAx>
        <c:axId val="76747603"/>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5916154"/>
        <c:crosses val="autoZero"/>
        <c:auto val="1"/>
        <c:lblAlgn val="ctr"/>
        <c:lblOffset val="100"/>
        <c:noMultiLvlLbl val="0"/>
      </c:catAx>
      <c:valAx>
        <c:axId val="45916154"/>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74760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R&amp;D spend and intensity</a:t>
            </a:r>
          </a:p>
        </c:rich>
      </c:tx>
      <c:overlay val="0"/>
      <c:spPr>
        <a:noFill/>
        <a:ln w="0">
          <a:noFill/>
        </a:ln>
      </c:spPr>
    </c:title>
    <c:autoTitleDeleted val="0"/>
    <c:plotArea>
      <c:layout/>
      <c:barChart>
        <c:barDir val="col"/>
        <c:grouping val="clustered"/>
        <c:varyColors val="0"/>
        <c:ser>
          <c:idx val="0"/>
          <c:order val="0"/>
          <c:tx>
            <c:strRef>
              <c:f>'Graphical Representation'!$B$240</c:f>
              <c:strCache>
                <c:ptCount val="1"/>
                <c:pt idx="0">
                  <c:v>R&amp;D spend</c:v>
                </c:pt>
              </c:strCache>
            </c:strRef>
          </c:tx>
          <c:spPr>
            <a:solidFill>
              <a:srgbClr val="4F8F5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Representation'!$C$240:$L$240</c:f>
              <c:numCache>
                <c:formatCode>#,##0;\(#,##0\);\-</c:formatCode>
                <c:ptCount val="10"/>
                <c:pt idx="0">
                  <c:v>610</c:v>
                </c:pt>
                <c:pt idx="1">
                  <c:v>750</c:v>
                </c:pt>
                <c:pt idx="2">
                  <c:v>940</c:v>
                </c:pt>
                <c:pt idx="3">
                  <c:v>1140</c:v>
                </c:pt>
                <c:pt idx="4">
                  <c:v>1455</c:v>
                </c:pt>
                <c:pt idx="5">
                  <c:v>1820.8624259100002</c:v>
                </c:pt>
                <c:pt idx="6">
                  <c:v>2168.5907198340665</c:v>
                </c:pt>
                <c:pt idx="7">
                  <c:v>2505.3847680622539</c:v>
                </c:pt>
                <c:pt idx="8">
                  <c:v>2836.665842836554</c:v>
                </c:pt>
                <c:pt idx="9">
                  <c:v>3174.7749185402358</c:v>
                </c:pt>
              </c:numCache>
            </c:numRef>
          </c:val>
          <c:extLst>
            <c:ext xmlns:c16="http://schemas.microsoft.com/office/drawing/2014/chart" uri="{C3380CC4-5D6E-409C-BE32-E72D297353CC}">
              <c16:uniqueId val="{00000000-59B6-4BD3-BB96-B675756DB4A1}"/>
            </c:ext>
          </c:extLst>
        </c:ser>
        <c:dLbls>
          <c:showLegendKey val="0"/>
          <c:showVal val="0"/>
          <c:showCatName val="0"/>
          <c:showSerName val="0"/>
          <c:showPercent val="0"/>
          <c:showBubbleSize val="0"/>
        </c:dLbls>
        <c:gapWidth val="70"/>
        <c:axId val="86984064"/>
        <c:axId val="89805277"/>
      </c:barChart>
      <c:lineChart>
        <c:grouping val="standard"/>
        <c:varyColors val="0"/>
        <c:ser>
          <c:idx val="1"/>
          <c:order val="1"/>
          <c:tx>
            <c:strRef>
              <c:f>'Graphical Representation'!$B$241</c:f>
              <c:strCache>
                <c:ptCount val="1"/>
                <c:pt idx="0">
                  <c:v>R&amp;D % of revenue</c:v>
                </c:pt>
              </c:strCache>
            </c:strRef>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Representation'!$C$241:$L$241</c:f>
              <c:numCache>
                <c:formatCode>0.0%;\(0.0%\);\-</c:formatCode>
                <c:ptCount val="10"/>
                <c:pt idx="0">
                  <c:v>2.9339618103987303E-2</c:v>
                </c:pt>
                <c:pt idx="1">
                  <c:v>2.8432784896504661E-2</c:v>
                </c:pt>
                <c:pt idx="2">
                  <c:v>2.9582074521651562E-2</c:v>
                </c:pt>
                <c:pt idx="3">
                  <c:v>3.1447408347355932E-2</c:v>
                </c:pt>
                <c:pt idx="4">
                  <c:v>3.078062195895917E-2</c:v>
                </c:pt>
                <c:pt idx="5">
                  <c:v>3.1000000000000003E-2</c:v>
                </c:pt>
                <c:pt idx="6">
                  <c:v>3.1000000000000007E-2</c:v>
                </c:pt>
                <c:pt idx="7">
                  <c:v>3.1000000000000003E-2</c:v>
                </c:pt>
                <c:pt idx="8">
                  <c:v>3.1000000000000003E-2</c:v>
                </c:pt>
                <c:pt idx="9">
                  <c:v>3.1E-2</c:v>
                </c:pt>
              </c:numCache>
            </c:numRef>
          </c:val>
          <c:smooth val="0"/>
          <c:extLst>
            <c:ext xmlns:c16="http://schemas.microsoft.com/office/drawing/2014/chart" uri="{C3380CC4-5D6E-409C-BE32-E72D297353CC}">
              <c16:uniqueId val="{00000001-59B6-4BD3-BB96-B675756DB4A1}"/>
            </c:ext>
          </c:extLst>
        </c:ser>
        <c:dLbls>
          <c:showLegendKey val="0"/>
          <c:showVal val="0"/>
          <c:showCatName val="0"/>
          <c:showSerName val="0"/>
          <c:showPercent val="0"/>
          <c:showBubbleSize val="0"/>
        </c:dLbls>
        <c:hiLowLines>
          <c:spPr>
            <a:ln w="0">
              <a:noFill/>
            </a:ln>
          </c:spPr>
        </c:hiLowLines>
        <c:marker val="1"/>
        <c:smooth val="0"/>
        <c:axId val="80678075"/>
        <c:axId val="9598474"/>
      </c:lineChart>
      <c:catAx>
        <c:axId val="86984064"/>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805277"/>
        <c:crosses val="autoZero"/>
        <c:auto val="1"/>
        <c:lblAlgn val="ctr"/>
        <c:lblOffset val="100"/>
        <c:noMultiLvlLbl val="0"/>
      </c:catAx>
      <c:valAx>
        <c:axId val="89805277"/>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6984064"/>
        <c:crosses val="max"/>
        <c:crossBetween val="between"/>
      </c:valAx>
      <c:catAx>
        <c:axId val="80678075"/>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98474"/>
        <c:crosses val="autoZero"/>
        <c:auto val="1"/>
        <c:lblAlgn val="ctr"/>
        <c:lblOffset val="100"/>
        <c:noMultiLvlLbl val="0"/>
      </c:catAx>
      <c:valAx>
        <c:axId val="9598474"/>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678075"/>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Cost stack as a share of revenue</a:t>
            </a:r>
          </a:p>
        </c:rich>
      </c:tx>
      <c:overlay val="0"/>
      <c:spPr>
        <a:noFill/>
        <a:ln w="0">
          <a:noFill/>
        </a:ln>
      </c:spPr>
    </c:title>
    <c:autoTitleDeleted val="0"/>
    <c:plotArea>
      <c:layout/>
      <c:barChart>
        <c:barDir val="col"/>
        <c:grouping val="percentStacked"/>
        <c:varyColors val="0"/>
        <c:ser>
          <c:idx val="0"/>
          <c:order val="0"/>
          <c:tx>
            <c:strRef>
              <c:f>'Graphical Representation'!$B$234</c:f>
              <c:strCache>
                <c:ptCount val="1"/>
                <c:pt idx="0">
                  <c:v>Raw material</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Representation'!$C$234:$L$234</c:f>
              <c:numCache>
                <c:formatCode>0.0%;\(0.0%\);\-</c:formatCode>
                <c:ptCount val="10"/>
                <c:pt idx="0">
                  <c:v>0.74498581116829399</c:v>
                </c:pt>
                <c:pt idx="1">
                  <c:v>0.74001061490636133</c:v>
                </c:pt>
                <c:pt idx="2">
                  <c:v>0.72900931520644507</c:v>
                </c:pt>
                <c:pt idx="3">
                  <c:v>0.71898706242586408</c:v>
                </c:pt>
                <c:pt idx="4">
                  <c:v>0.71599323037867568</c:v>
                </c:pt>
                <c:pt idx="5">
                  <c:v>0.71199999999999997</c:v>
                </c:pt>
                <c:pt idx="6">
                  <c:v>0.70799999999999996</c:v>
                </c:pt>
                <c:pt idx="7">
                  <c:v>0.70499999999999996</c:v>
                </c:pt>
                <c:pt idx="8">
                  <c:v>0.70299999999999996</c:v>
                </c:pt>
                <c:pt idx="9">
                  <c:v>0.70100000000000007</c:v>
                </c:pt>
              </c:numCache>
            </c:numRef>
          </c:val>
          <c:extLst>
            <c:ext xmlns:c16="http://schemas.microsoft.com/office/drawing/2014/chart" uri="{C3380CC4-5D6E-409C-BE32-E72D297353CC}">
              <c16:uniqueId val="{00000000-610D-48E3-BBD8-7D4B703AFE83}"/>
            </c:ext>
          </c:extLst>
        </c:ser>
        <c:ser>
          <c:idx val="1"/>
          <c:order val="1"/>
          <c:tx>
            <c:strRef>
              <c:f>'Graphical Representation'!$B$235</c:f>
              <c:strCache>
                <c:ptCount val="1"/>
                <c:pt idx="0">
                  <c:v>Employee cost</c:v>
                </c:pt>
              </c:strCache>
            </c:strRef>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Representation'!$C$235:$L$235</c:f>
              <c:numCache>
                <c:formatCode>0.0%;\(0.0%\);\-</c:formatCode>
                <c:ptCount val="10"/>
                <c:pt idx="0">
                  <c:v>5.8005867923620801E-2</c:v>
                </c:pt>
                <c:pt idx="1">
                  <c:v>5.5007961179771019E-2</c:v>
                </c:pt>
                <c:pt idx="2">
                  <c:v>5.5010070493454181E-2</c:v>
                </c:pt>
                <c:pt idx="3">
                  <c:v>5.5998455215028553E-2</c:v>
                </c:pt>
                <c:pt idx="4">
                  <c:v>5.4008885127988154E-2</c:v>
                </c:pt>
                <c:pt idx="5">
                  <c:v>5.3999999999999999E-2</c:v>
                </c:pt>
                <c:pt idx="6">
                  <c:v>5.3999999999999999E-2</c:v>
                </c:pt>
                <c:pt idx="7">
                  <c:v>5.3999999999999999E-2</c:v>
                </c:pt>
                <c:pt idx="8">
                  <c:v>5.3999999999999992E-2</c:v>
                </c:pt>
                <c:pt idx="9">
                  <c:v>5.3999999999999999E-2</c:v>
                </c:pt>
              </c:numCache>
            </c:numRef>
          </c:val>
          <c:extLst>
            <c:ext xmlns:c16="http://schemas.microsoft.com/office/drawing/2014/chart" uri="{C3380CC4-5D6E-409C-BE32-E72D297353CC}">
              <c16:uniqueId val="{00000001-610D-48E3-BBD8-7D4B703AFE83}"/>
            </c:ext>
          </c:extLst>
        </c:ser>
        <c:ser>
          <c:idx val="2"/>
          <c:order val="2"/>
          <c:tx>
            <c:strRef>
              <c:f>'Graphical Representation'!$B$236</c:f>
              <c:strCache>
                <c:ptCount val="1"/>
                <c:pt idx="0">
                  <c:v>Other expenses</c:v>
                </c:pt>
              </c:strCache>
            </c:strRef>
          </c:tx>
          <c:spPr>
            <a:solidFill>
              <a:srgbClr val="8CBAC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Representation'!$C$236:$L$236</c:f>
              <c:numCache>
                <c:formatCode>0.0%;\(0.0%\);\-</c:formatCode>
                <c:ptCount val="10"/>
                <c:pt idx="0">
                  <c:v>0.10264056562935886</c:v>
                </c:pt>
                <c:pt idx="1">
                  <c:v>0.10357115778300098</c:v>
                </c:pt>
                <c:pt idx="2">
                  <c:v>0.10542547834843907</c:v>
                </c:pt>
                <c:pt idx="3">
                  <c:v>0.10190063722380072</c:v>
                </c:pt>
                <c:pt idx="4">
                  <c:v>0.10139623439813836</c:v>
                </c:pt>
                <c:pt idx="5">
                  <c:v>0.1</c:v>
                </c:pt>
                <c:pt idx="6">
                  <c:v>0.1</c:v>
                </c:pt>
                <c:pt idx="7">
                  <c:v>0.1</c:v>
                </c:pt>
                <c:pt idx="8">
                  <c:v>0.1</c:v>
                </c:pt>
                <c:pt idx="9">
                  <c:v>0.1</c:v>
                </c:pt>
              </c:numCache>
            </c:numRef>
          </c:val>
          <c:extLst>
            <c:ext xmlns:c16="http://schemas.microsoft.com/office/drawing/2014/chart" uri="{C3380CC4-5D6E-409C-BE32-E72D297353CC}">
              <c16:uniqueId val="{00000002-610D-48E3-BBD8-7D4B703AFE83}"/>
            </c:ext>
          </c:extLst>
        </c:ser>
        <c:ser>
          <c:idx val="3"/>
          <c:order val="3"/>
          <c:tx>
            <c:strRef>
              <c:f>'Graphical Representation'!$B$237</c:f>
              <c:strCache>
                <c:ptCount val="1"/>
                <c:pt idx="0">
                  <c:v>EBITDA</c:v>
                </c:pt>
              </c:strCache>
            </c:strRef>
          </c:tx>
          <c:spPr>
            <a:solidFill>
              <a:srgbClr val="4F8F5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Representation'!$C$237:$L$237</c:f>
              <c:numCache>
                <c:formatCode>0.0%;\(0.0%\);\-</c:formatCode>
                <c:ptCount val="10"/>
                <c:pt idx="0">
                  <c:v>9.4367755278726373E-2</c:v>
                </c:pt>
                <c:pt idx="1">
                  <c:v>0.10141026613086664</c:v>
                </c:pt>
                <c:pt idx="2">
                  <c:v>0.11055513595166164</c:v>
                </c:pt>
                <c:pt idx="3">
                  <c:v>0.12311384513530661</c:v>
                </c:pt>
                <c:pt idx="4">
                  <c:v>0.12860165009519781</c:v>
                </c:pt>
                <c:pt idx="5">
                  <c:v>0.13400000000000012</c:v>
                </c:pt>
                <c:pt idx="6">
                  <c:v>0.13800000000000004</c:v>
                </c:pt>
                <c:pt idx="7">
                  <c:v>0.14099999999999993</c:v>
                </c:pt>
                <c:pt idx="8">
                  <c:v>0.14299999999999999</c:v>
                </c:pt>
                <c:pt idx="9">
                  <c:v>0.14499999999999991</c:v>
                </c:pt>
              </c:numCache>
            </c:numRef>
          </c:val>
          <c:extLst>
            <c:ext xmlns:c16="http://schemas.microsoft.com/office/drawing/2014/chart" uri="{C3380CC4-5D6E-409C-BE32-E72D297353CC}">
              <c16:uniqueId val="{00000003-610D-48E3-BBD8-7D4B703AFE83}"/>
            </c:ext>
          </c:extLst>
        </c:ser>
        <c:dLbls>
          <c:showLegendKey val="0"/>
          <c:showVal val="0"/>
          <c:showCatName val="0"/>
          <c:showSerName val="0"/>
          <c:showPercent val="0"/>
          <c:showBubbleSize val="0"/>
        </c:dLbls>
        <c:gapWidth val="70"/>
        <c:overlap val="100"/>
        <c:axId val="80554820"/>
        <c:axId val="75700012"/>
      </c:barChart>
      <c:catAx>
        <c:axId val="80554820"/>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700012"/>
        <c:crosses val="autoZero"/>
        <c:auto val="1"/>
        <c:lblAlgn val="ctr"/>
        <c:lblOffset val="100"/>
        <c:noMultiLvlLbl val="0"/>
      </c:catAx>
      <c:valAx>
        <c:axId val="75700012"/>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55482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Per-vehicle economics (₹)</a:t>
            </a:r>
          </a:p>
        </c:rich>
      </c:tx>
      <c:overlay val="0"/>
      <c:spPr>
        <a:noFill/>
        <a:ln w="0">
          <a:noFill/>
        </a:ln>
      </c:spPr>
    </c:title>
    <c:autoTitleDeleted val="0"/>
    <c:plotArea>
      <c:layout/>
      <c:barChart>
        <c:barDir val="col"/>
        <c:grouping val="clustered"/>
        <c:varyColors val="0"/>
        <c:ser>
          <c:idx val="0"/>
          <c:order val="0"/>
          <c:tx>
            <c:strRef>
              <c:f>'Graphical Representation'!$B$238</c:f>
              <c:strCache>
                <c:ptCount val="1"/>
                <c:pt idx="0">
                  <c:v>Contribution per vehicle</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Representation'!$C$238:$L$238</c:f>
              <c:numCache>
                <c:formatCode>#,##0</c:formatCode>
                <c:ptCount val="10"/>
                <c:pt idx="0">
                  <c:v>16465.838509316767</c:v>
                </c:pt>
                <c:pt idx="1">
                  <c:v>17850.078084331079</c:v>
                </c:pt>
                <c:pt idx="2">
                  <c:v>20536.60863343667</c:v>
                </c:pt>
                <c:pt idx="3">
                  <c:v>21473.44013490725</c:v>
                </c:pt>
                <c:pt idx="4">
                  <c:v>22796.739684156906</c:v>
                </c:pt>
                <c:pt idx="5">
                  <c:v>24323.693777848079</c:v>
                </c:pt>
                <c:pt idx="6">
                  <c:v>25691.842029397179</c:v>
                </c:pt>
                <c:pt idx="7">
                  <c:v>26873.518258692573</c:v>
                </c:pt>
                <c:pt idx="8">
                  <c:v>27977.746547613075</c:v>
                </c:pt>
                <c:pt idx="9">
                  <c:v>29108.710897445402</c:v>
                </c:pt>
              </c:numCache>
            </c:numRef>
          </c:val>
          <c:extLst>
            <c:ext xmlns:c16="http://schemas.microsoft.com/office/drawing/2014/chart" uri="{C3380CC4-5D6E-409C-BE32-E72D297353CC}">
              <c16:uniqueId val="{00000000-3EDC-44BE-A326-F079769059AE}"/>
            </c:ext>
          </c:extLst>
        </c:ser>
        <c:dLbls>
          <c:showLegendKey val="0"/>
          <c:showVal val="0"/>
          <c:showCatName val="0"/>
          <c:showSerName val="0"/>
          <c:showPercent val="0"/>
          <c:showBubbleSize val="0"/>
        </c:dLbls>
        <c:gapWidth val="70"/>
        <c:axId val="91860231"/>
        <c:axId val="2239098"/>
      </c:barChart>
      <c:lineChart>
        <c:grouping val="standard"/>
        <c:varyColors val="0"/>
        <c:ser>
          <c:idx val="1"/>
          <c:order val="1"/>
          <c:tx>
            <c:strRef>
              <c:f>'Graphical Representation'!$B$239</c:f>
              <c:strCache>
                <c:ptCount val="1"/>
                <c:pt idx="0">
                  <c:v>EBITDA per vehicle</c:v>
                </c:pt>
              </c:strCache>
            </c:strRef>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Representation'!$C$239:$L$239</c:f>
              <c:numCache>
                <c:formatCode>#,##0</c:formatCode>
                <c:ptCount val="10"/>
                <c:pt idx="0">
                  <c:v>6093.1677018633536</c:v>
                </c:pt>
                <c:pt idx="1">
                  <c:v>6962.5195210827696</c:v>
                </c:pt>
                <c:pt idx="2">
                  <c:v>8378.2494633913666</c:v>
                </c:pt>
                <c:pt idx="3">
                  <c:v>9407.6728499156834</c:v>
                </c:pt>
                <c:pt idx="4">
                  <c:v>10322.635421973171</c:v>
                </c:pt>
                <c:pt idx="5">
                  <c:v>11317.27418830432</c:v>
                </c:pt>
                <c:pt idx="6">
                  <c:v>12142.034931701408</c:v>
                </c:pt>
                <c:pt idx="7">
                  <c:v>12844.630760934409</c:v>
                </c:pt>
                <c:pt idx="8">
                  <c:v>13470.766856258144</c:v>
                </c:pt>
                <c:pt idx="9">
                  <c:v>14116.264482038738</c:v>
                </c:pt>
              </c:numCache>
            </c:numRef>
          </c:val>
          <c:smooth val="0"/>
          <c:extLst>
            <c:ext xmlns:c16="http://schemas.microsoft.com/office/drawing/2014/chart" uri="{C3380CC4-5D6E-409C-BE32-E72D297353CC}">
              <c16:uniqueId val="{00000001-3EDC-44BE-A326-F079769059AE}"/>
            </c:ext>
          </c:extLst>
        </c:ser>
        <c:dLbls>
          <c:showLegendKey val="0"/>
          <c:showVal val="0"/>
          <c:showCatName val="0"/>
          <c:showSerName val="0"/>
          <c:showPercent val="0"/>
          <c:showBubbleSize val="0"/>
        </c:dLbls>
        <c:hiLowLines>
          <c:spPr>
            <a:ln w="0">
              <a:noFill/>
            </a:ln>
          </c:spPr>
        </c:hiLowLines>
        <c:marker val="1"/>
        <c:smooth val="0"/>
        <c:axId val="78867973"/>
        <c:axId val="36187215"/>
      </c:lineChart>
      <c:catAx>
        <c:axId val="91860231"/>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39098"/>
        <c:crosses val="autoZero"/>
        <c:auto val="1"/>
        <c:lblAlgn val="ctr"/>
        <c:lblOffset val="100"/>
        <c:noMultiLvlLbl val="0"/>
      </c:catAx>
      <c:valAx>
        <c:axId val="2239098"/>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860231"/>
        <c:crosses val="max"/>
        <c:crossBetween val="between"/>
      </c:valAx>
      <c:catAx>
        <c:axId val="78867973"/>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187215"/>
        <c:crosses val="autoZero"/>
        <c:auto val="1"/>
        <c:lblAlgn val="ctr"/>
        <c:lblOffset val="100"/>
        <c:noMultiLvlLbl val="0"/>
      </c:catAx>
      <c:valAx>
        <c:axId val="36187215"/>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86797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Revenue and EBITDA margin</a:t>
            </a:r>
          </a:p>
        </c:rich>
      </c:tx>
      <c:overlay val="0"/>
      <c:spPr>
        <a:noFill/>
        <a:ln w="0">
          <a:noFill/>
        </a:ln>
      </c:spPr>
    </c:title>
    <c:autoTitleDeleted val="0"/>
    <c:plotArea>
      <c:layout/>
      <c:barChart>
        <c:barDir val="col"/>
        <c:grouping val="clustered"/>
        <c:varyColors val="0"/>
        <c:ser>
          <c:idx val="0"/>
          <c:order val="0"/>
          <c:tx>
            <c:strRef>
              <c:f>'Graphical Representation'!$B$207</c:f>
              <c:strCache>
                <c:ptCount val="1"/>
                <c:pt idx="0">
                  <c:v>Revenue</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Representation'!$C$207:$L$207</c:f>
              <c:numCache>
                <c:formatCode>#,##0;\(#,##0\);\-</c:formatCode>
                <c:ptCount val="10"/>
                <c:pt idx="0">
                  <c:v>0</c:v>
                </c:pt>
                <c:pt idx="1">
                  <c:v>0</c:v>
                </c:pt>
                <c:pt idx="2">
                  <c:v>0</c:v>
                </c:pt>
                <c:pt idx="3">
                  <c:v>0</c:v>
                </c:pt>
                <c:pt idx="4">
                  <c:v>0</c:v>
                </c:pt>
                <c:pt idx="5">
                  <c:v>0</c:v>
                </c:pt>
                <c:pt idx="6">
                  <c:v>0</c:v>
                </c:pt>
                <c:pt idx="7">
                  <c:v>80818.863485879148</c:v>
                </c:pt>
                <c:pt idx="8">
                  <c:v>91505.349768921093</c:v>
                </c:pt>
                <c:pt idx="9">
                  <c:v>102412.09414645922</c:v>
                </c:pt>
              </c:numCache>
            </c:numRef>
          </c:val>
          <c:extLst>
            <c:ext xmlns:c16="http://schemas.microsoft.com/office/drawing/2014/chart" uri="{C3380CC4-5D6E-409C-BE32-E72D297353CC}">
              <c16:uniqueId val="{00000000-DA66-48C8-8A5A-169A5B3495EB}"/>
            </c:ext>
          </c:extLst>
        </c:ser>
        <c:dLbls>
          <c:showLegendKey val="0"/>
          <c:showVal val="0"/>
          <c:showCatName val="0"/>
          <c:showSerName val="0"/>
          <c:showPercent val="0"/>
          <c:showBubbleSize val="0"/>
        </c:dLbls>
        <c:gapWidth val="70"/>
        <c:axId val="25389623"/>
        <c:axId val="29524428"/>
      </c:barChart>
      <c:lineChart>
        <c:grouping val="standard"/>
        <c:varyColors val="0"/>
        <c:ser>
          <c:idx val="1"/>
          <c:order val="1"/>
          <c:tx>
            <c:strRef>
              <c:f>'Graphical Representation'!$B$209</c:f>
              <c:strCache>
                <c:ptCount val="1"/>
                <c:pt idx="0">
                  <c:v>EBITDA margin</c:v>
                </c:pt>
              </c:strCache>
            </c:strRef>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Representation'!$C$209:$L$209</c:f>
              <c:numCache>
                <c:formatCode>0.0%;\(0.0%\);\-</c:formatCode>
                <c:ptCount val="10"/>
                <c:pt idx="0">
                  <c:v>0</c:v>
                </c:pt>
                <c:pt idx="1">
                  <c:v>0</c:v>
                </c:pt>
                <c:pt idx="2">
                  <c:v>0</c:v>
                </c:pt>
                <c:pt idx="3">
                  <c:v>0</c:v>
                </c:pt>
                <c:pt idx="4">
                  <c:v>0</c:v>
                </c:pt>
                <c:pt idx="5">
                  <c:v>0</c:v>
                </c:pt>
                <c:pt idx="6">
                  <c:v>0</c:v>
                </c:pt>
                <c:pt idx="7">
                  <c:v>0.14099999999999993</c:v>
                </c:pt>
                <c:pt idx="8">
                  <c:v>0.14299999999999999</c:v>
                </c:pt>
                <c:pt idx="9">
                  <c:v>0.14499999999999991</c:v>
                </c:pt>
              </c:numCache>
            </c:numRef>
          </c:val>
          <c:smooth val="0"/>
          <c:extLst>
            <c:ext xmlns:c16="http://schemas.microsoft.com/office/drawing/2014/chart" uri="{C3380CC4-5D6E-409C-BE32-E72D297353CC}">
              <c16:uniqueId val="{00000001-DA66-48C8-8A5A-169A5B3495EB}"/>
            </c:ext>
          </c:extLst>
        </c:ser>
        <c:dLbls>
          <c:showLegendKey val="0"/>
          <c:showVal val="0"/>
          <c:showCatName val="0"/>
          <c:showSerName val="0"/>
          <c:showPercent val="0"/>
          <c:showBubbleSize val="0"/>
        </c:dLbls>
        <c:hiLowLines>
          <c:spPr>
            <a:ln w="0">
              <a:noFill/>
            </a:ln>
          </c:spPr>
        </c:hiLowLines>
        <c:marker val="1"/>
        <c:smooth val="0"/>
        <c:axId val="59331299"/>
        <c:axId val="43162829"/>
      </c:lineChart>
      <c:catAx>
        <c:axId val="25389623"/>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524428"/>
        <c:crosses val="autoZero"/>
        <c:auto val="1"/>
        <c:lblAlgn val="ctr"/>
        <c:lblOffset val="100"/>
        <c:noMultiLvlLbl val="0"/>
      </c:catAx>
      <c:valAx>
        <c:axId val="29524428"/>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5389623"/>
        <c:crosses val="max"/>
        <c:crossBetween val="between"/>
      </c:valAx>
      <c:catAx>
        <c:axId val="59331299"/>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162829"/>
        <c:crosses val="autoZero"/>
        <c:auto val="1"/>
        <c:lblAlgn val="ctr"/>
        <c:lblOffset val="100"/>
        <c:noMultiLvlLbl val="0"/>
      </c:catAx>
      <c:valAx>
        <c:axId val="43162829"/>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33129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PAT and earnings per share</a:t>
            </a:r>
          </a:p>
        </c:rich>
      </c:tx>
      <c:overlay val="0"/>
      <c:spPr>
        <a:noFill/>
        <a:ln w="0">
          <a:noFill/>
        </a:ln>
      </c:spPr>
    </c:title>
    <c:autoTitleDeleted val="0"/>
    <c:plotArea>
      <c:layout/>
      <c:barChart>
        <c:barDir val="col"/>
        <c:grouping val="clustered"/>
        <c:varyColors val="0"/>
        <c:ser>
          <c:idx val="0"/>
          <c:order val="0"/>
          <c:tx>
            <c:strRef>
              <c:f>'Graphical Representation'!$B$210</c:f>
              <c:strCache>
                <c:ptCount val="1"/>
                <c:pt idx="0">
                  <c:v>PAT</c:v>
                </c:pt>
              </c:strCache>
            </c:strRef>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Representation'!$C$210:$L$210</c:f>
              <c:numCache>
                <c:formatCode>#,##0;\(#,##0\);\-</c:formatCode>
                <c:ptCount val="10"/>
                <c:pt idx="0">
                  <c:v>0</c:v>
                </c:pt>
                <c:pt idx="1">
                  <c:v>0</c:v>
                </c:pt>
                <c:pt idx="2">
                  <c:v>0</c:v>
                </c:pt>
                <c:pt idx="3">
                  <c:v>0</c:v>
                </c:pt>
                <c:pt idx="4">
                  <c:v>0</c:v>
                </c:pt>
                <c:pt idx="5">
                  <c:v>0</c:v>
                </c:pt>
                <c:pt idx="6">
                  <c:v>0</c:v>
                </c:pt>
                <c:pt idx="7">
                  <c:v>7381.2324139855391</c:v>
                </c:pt>
                <c:pt idx="8">
                  <c:v>8478.311124137057</c:v>
                </c:pt>
                <c:pt idx="9">
                  <c:v>9631.3340572897487</c:v>
                </c:pt>
              </c:numCache>
            </c:numRef>
          </c:val>
          <c:extLst>
            <c:ext xmlns:c16="http://schemas.microsoft.com/office/drawing/2014/chart" uri="{C3380CC4-5D6E-409C-BE32-E72D297353CC}">
              <c16:uniqueId val="{00000000-5FD7-4128-A13E-CEACB4033617}"/>
            </c:ext>
          </c:extLst>
        </c:ser>
        <c:dLbls>
          <c:showLegendKey val="0"/>
          <c:showVal val="0"/>
          <c:showCatName val="0"/>
          <c:showSerName val="0"/>
          <c:showPercent val="0"/>
          <c:showBubbleSize val="0"/>
        </c:dLbls>
        <c:gapWidth val="70"/>
        <c:axId val="32634791"/>
        <c:axId val="33688892"/>
      </c:barChart>
      <c:lineChart>
        <c:grouping val="standard"/>
        <c:varyColors val="0"/>
        <c:ser>
          <c:idx val="1"/>
          <c:order val="1"/>
          <c:tx>
            <c:strRef>
              <c:f>'Graphical Representation'!$B$211</c:f>
              <c:strCache>
                <c:ptCount val="1"/>
                <c:pt idx="0">
                  <c:v>EPS (₹)</c:v>
                </c:pt>
              </c:strCache>
            </c:strRef>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Representation'!$C$211:$L$211</c:f>
              <c:numCache>
                <c:formatCode>#,##0.0;\(#,##0.0\);\-</c:formatCode>
                <c:ptCount val="10"/>
                <c:pt idx="0">
                  <c:v>0</c:v>
                </c:pt>
                <c:pt idx="1">
                  <c:v>0</c:v>
                </c:pt>
                <c:pt idx="2">
                  <c:v>0</c:v>
                </c:pt>
                <c:pt idx="3">
                  <c:v>0</c:v>
                </c:pt>
                <c:pt idx="4">
                  <c:v>0</c:v>
                </c:pt>
                <c:pt idx="5">
                  <c:v>0</c:v>
                </c:pt>
                <c:pt idx="6">
                  <c:v>0</c:v>
                </c:pt>
                <c:pt idx="7">
                  <c:v>155.36591011721094</c:v>
                </c:pt>
                <c:pt idx="8">
                  <c:v>178.45807450292384</c:v>
                </c:pt>
                <c:pt idx="9">
                  <c:v>202.72779632550984</c:v>
                </c:pt>
              </c:numCache>
            </c:numRef>
          </c:val>
          <c:smooth val="0"/>
          <c:extLst>
            <c:ext xmlns:c16="http://schemas.microsoft.com/office/drawing/2014/chart" uri="{C3380CC4-5D6E-409C-BE32-E72D297353CC}">
              <c16:uniqueId val="{00000001-5FD7-4128-A13E-CEACB4033617}"/>
            </c:ext>
          </c:extLst>
        </c:ser>
        <c:dLbls>
          <c:showLegendKey val="0"/>
          <c:showVal val="0"/>
          <c:showCatName val="0"/>
          <c:showSerName val="0"/>
          <c:showPercent val="0"/>
          <c:showBubbleSize val="0"/>
        </c:dLbls>
        <c:hiLowLines>
          <c:spPr>
            <a:ln w="0">
              <a:noFill/>
            </a:ln>
          </c:spPr>
        </c:hiLowLines>
        <c:marker val="1"/>
        <c:smooth val="0"/>
        <c:axId val="38146389"/>
        <c:axId val="99872747"/>
      </c:lineChart>
      <c:catAx>
        <c:axId val="32634791"/>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3688892"/>
        <c:crosses val="autoZero"/>
        <c:auto val="1"/>
        <c:lblAlgn val="ctr"/>
        <c:lblOffset val="100"/>
        <c:noMultiLvlLbl val="0"/>
      </c:catAx>
      <c:valAx>
        <c:axId val="33688892"/>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2634791"/>
        <c:crosses val="max"/>
        <c:crossBetween val="between"/>
      </c:valAx>
      <c:catAx>
        <c:axId val="38146389"/>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872747"/>
        <c:crosses val="autoZero"/>
        <c:auto val="1"/>
        <c:lblAlgn val="ctr"/>
        <c:lblOffset val="100"/>
        <c:noMultiLvlLbl val="0"/>
      </c:catAx>
      <c:valAx>
        <c:axId val="99872747"/>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14638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Return ratios</a:t>
            </a:r>
          </a:p>
        </c:rich>
      </c:tx>
      <c:overlay val="0"/>
      <c:spPr>
        <a:noFill/>
        <a:ln w="0">
          <a:noFill/>
        </a:ln>
      </c:spPr>
    </c:title>
    <c:autoTitleDeleted val="0"/>
    <c:plotArea>
      <c:layout/>
      <c:lineChart>
        <c:grouping val="standard"/>
        <c:varyColors val="0"/>
        <c:ser>
          <c:idx val="0"/>
          <c:order val="0"/>
          <c:tx>
            <c:strRef>
              <c:f>'Graphical Representation'!$B$212</c:f>
              <c:strCache>
                <c:ptCount val="1"/>
                <c:pt idx="0">
                  <c:v>ROCE</c:v>
                </c:pt>
              </c:strCache>
            </c:strRef>
          </c:tx>
          <c:spPr>
            <a:ln w="21960">
              <a:solidFill>
                <a:srgbClr val="113A44"/>
              </a:solidFill>
              <a:round/>
            </a:ln>
          </c:spPr>
          <c:marker>
            <c:symbol val="circle"/>
            <c:size val="6"/>
            <c:spPr>
              <a:solidFill>
                <a:srgbClr val="113A4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Representation'!$C$212:$L$212</c:f>
              <c:numCache>
                <c:formatCode>0.0%;\(0.0%\);\-</c:formatCode>
                <c:ptCount val="10"/>
                <c:pt idx="0">
                  <c:v>0</c:v>
                </c:pt>
                <c:pt idx="1">
                  <c:v>0</c:v>
                </c:pt>
                <c:pt idx="2">
                  <c:v>0</c:v>
                </c:pt>
                <c:pt idx="3">
                  <c:v>0</c:v>
                </c:pt>
                <c:pt idx="4">
                  <c:v>0</c:v>
                </c:pt>
                <c:pt idx="5">
                  <c:v>0</c:v>
                </c:pt>
                <c:pt idx="6">
                  <c:v>0</c:v>
                </c:pt>
                <c:pt idx="7">
                  <c:v>0.33703329431130075</c:v>
                </c:pt>
                <c:pt idx="8">
                  <c:v>0.31551357580093531</c:v>
                </c:pt>
                <c:pt idx="9">
                  <c:v>0.29678391116209213</c:v>
                </c:pt>
              </c:numCache>
            </c:numRef>
          </c:val>
          <c:smooth val="0"/>
          <c:extLst>
            <c:ext xmlns:c16="http://schemas.microsoft.com/office/drawing/2014/chart" uri="{C3380CC4-5D6E-409C-BE32-E72D297353CC}">
              <c16:uniqueId val="{00000000-8DFD-4449-A6EC-9BE1FADE5B8E}"/>
            </c:ext>
          </c:extLst>
        </c:ser>
        <c:ser>
          <c:idx val="1"/>
          <c:order val="1"/>
          <c:tx>
            <c:strRef>
              <c:f>'Graphical Representation'!$B$213</c:f>
              <c:strCache>
                <c:ptCount val="1"/>
                <c:pt idx="0">
                  <c:v>ROE</c:v>
                </c:pt>
              </c:strCache>
            </c:strRef>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Representation'!$C$213:$L$213</c:f>
              <c:numCache>
                <c:formatCode>0.0%;\(0.0%\);\-</c:formatCode>
                <c:ptCount val="10"/>
                <c:pt idx="0">
                  <c:v>0</c:v>
                </c:pt>
                <c:pt idx="1">
                  <c:v>0</c:v>
                </c:pt>
                <c:pt idx="2">
                  <c:v>0</c:v>
                </c:pt>
                <c:pt idx="3">
                  <c:v>0</c:v>
                </c:pt>
                <c:pt idx="4">
                  <c:v>0</c:v>
                </c:pt>
                <c:pt idx="5">
                  <c:v>0</c:v>
                </c:pt>
                <c:pt idx="6">
                  <c:v>0</c:v>
                </c:pt>
                <c:pt idx="7">
                  <c:v>0.28022391487147119</c:v>
                </c:pt>
                <c:pt idx="8">
                  <c:v>0.2566203280511416</c:v>
                </c:pt>
                <c:pt idx="9">
                  <c:v>0.23751288034234153</c:v>
                </c:pt>
              </c:numCache>
            </c:numRef>
          </c:val>
          <c:smooth val="0"/>
          <c:extLst>
            <c:ext xmlns:c16="http://schemas.microsoft.com/office/drawing/2014/chart" uri="{C3380CC4-5D6E-409C-BE32-E72D297353CC}">
              <c16:uniqueId val="{00000001-8DFD-4449-A6EC-9BE1FADE5B8E}"/>
            </c:ext>
          </c:extLst>
        </c:ser>
        <c:dLbls>
          <c:showLegendKey val="0"/>
          <c:showVal val="0"/>
          <c:showCatName val="0"/>
          <c:showSerName val="0"/>
          <c:showPercent val="0"/>
          <c:showBubbleSize val="0"/>
        </c:dLbls>
        <c:hiLowLines>
          <c:spPr>
            <a:ln w="0">
              <a:noFill/>
            </a:ln>
          </c:spPr>
        </c:hiLowLines>
        <c:marker val="1"/>
        <c:smooth val="0"/>
        <c:axId val="80484518"/>
        <c:axId val="49655453"/>
      </c:lineChart>
      <c:catAx>
        <c:axId val="80484518"/>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655453"/>
        <c:crosses val="autoZero"/>
        <c:auto val="1"/>
        <c:lblAlgn val="ctr"/>
        <c:lblOffset val="100"/>
        <c:noMultiLvlLbl val="0"/>
      </c:catAx>
      <c:valAx>
        <c:axId val="49655453"/>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48451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Working capital cycle (days)</a:t>
            </a:r>
          </a:p>
        </c:rich>
      </c:tx>
      <c:overlay val="0"/>
      <c:spPr>
        <a:noFill/>
        <a:ln w="0">
          <a:noFill/>
        </a:ln>
      </c:spPr>
    </c:title>
    <c:autoTitleDeleted val="0"/>
    <c:plotArea>
      <c:layout/>
      <c:barChart>
        <c:barDir val="col"/>
        <c:grouping val="stacked"/>
        <c:varyColors val="0"/>
        <c:ser>
          <c:idx val="0"/>
          <c:order val="0"/>
          <c:tx>
            <c:strRef>
              <c:f>'Graphical Representation'!$B$220</c:f>
              <c:strCache>
                <c:ptCount val="1"/>
                <c:pt idx="0">
                  <c:v>Inventory days</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Representation'!$C$220:$L$220</c:f>
              <c:numCache>
                <c:formatCode>#,##0</c:formatCode>
                <c:ptCount val="10"/>
                <c:pt idx="0">
                  <c:v>26</c:v>
                </c:pt>
                <c:pt idx="1">
                  <c:v>23</c:v>
                </c:pt>
                <c:pt idx="2">
                  <c:v>21</c:v>
                </c:pt>
                <c:pt idx="3">
                  <c:v>24</c:v>
                </c:pt>
                <c:pt idx="4">
                  <c:v>17</c:v>
                </c:pt>
                <c:pt idx="5">
                  <c:v>17</c:v>
                </c:pt>
                <c:pt idx="6">
                  <c:v>17</c:v>
                </c:pt>
                <c:pt idx="7">
                  <c:v>17</c:v>
                </c:pt>
                <c:pt idx="8">
                  <c:v>17</c:v>
                </c:pt>
                <c:pt idx="9">
                  <c:v>17</c:v>
                </c:pt>
              </c:numCache>
            </c:numRef>
          </c:val>
          <c:extLst>
            <c:ext xmlns:c16="http://schemas.microsoft.com/office/drawing/2014/chart" uri="{C3380CC4-5D6E-409C-BE32-E72D297353CC}">
              <c16:uniqueId val="{00000000-61A7-4E62-A40D-D9A6EAFADB00}"/>
            </c:ext>
          </c:extLst>
        </c:ser>
        <c:ser>
          <c:idx val="1"/>
          <c:order val="1"/>
          <c:tx>
            <c:strRef>
              <c:f>'Graphical Representation'!$B$221</c:f>
              <c:strCache>
                <c:ptCount val="1"/>
                <c:pt idx="0">
                  <c:v>Receivable days</c:v>
                </c:pt>
              </c:strCache>
            </c:strRef>
          </c:tx>
          <c:spPr>
            <a:solidFill>
              <a:srgbClr val="8CBAC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Representation'!$C$221:$L$221</c:f>
              <c:numCache>
                <c:formatCode>#,##0</c:formatCode>
                <c:ptCount val="10"/>
                <c:pt idx="0">
                  <c:v>17</c:v>
                </c:pt>
                <c:pt idx="1">
                  <c:v>14</c:v>
                </c:pt>
                <c:pt idx="2">
                  <c:v>15</c:v>
                </c:pt>
                <c:pt idx="3">
                  <c:v>13</c:v>
                </c:pt>
                <c:pt idx="4">
                  <c:v>16</c:v>
                </c:pt>
                <c:pt idx="5">
                  <c:v>16</c:v>
                </c:pt>
                <c:pt idx="6">
                  <c:v>16</c:v>
                </c:pt>
                <c:pt idx="7">
                  <c:v>16</c:v>
                </c:pt>
                <c:pt idx="8">
                  <c:v>16</c:v>
                </c:pt>
                <c:pt idx="9">
                  <c:v>16</c:v>
                </c:pt>
              </c:numCache>
            </c:numRef>
          </c:val>
          <c:extLst>
            <c:ext xmlns:c16="http://schemas.microsoft.com/office/drawing/2014/chart" uri="{C3380CC4-5D6E-409C-BE32-E72D297353CC}">
              <c16:uniqueId val="{00000001-61A7-4E62-A40D-D9A6EAFADB00}"/>
            </c:ext>
          </c:extLst>
        </c:ser>
        <c:ser>
          <c:idx val="2"/>
          <c:order val="2"/>
          <c:tx>
            <c:strRef>
              <c:f>'Graphical Representation'!$B$222</c:f>
              <c:strCache>
                <c:ptCount val="1"/>
                <c:pt idx="0">
                  <c:v>Payable days</c:v>
                </c:pt>
              </c:strCache>
            </c:strRef>
          </c:tx>
          <c:spPr>
            <a:solidFill>
              <a:srgbClr val="BE6E2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Representation'!$C$222:$L$222</c:f>
              <c:numCache>
                <c:formatCode>#,##0</c:formatCode>
                <c:ptCount val="10"/>
                <c:pt idx="0">
                  <c:v>-93</c:v>
                </c:pt>
                <c:pt idx="1">
                  <c:v>-75</c:v>
                </c:pt>
                <c:pt idx="2">
                  <c:v>-80</c:v>
                </c:pt>
                <c:pt idx="3">
                  <c:v>-87</c:v>
                </c:pt>
                <c:pt idx="4">
                  <c:v>-90</c:v>
                </c:pt>
                <c:pt idx="5">
                  <c:v>-90</c:v>
                </c:pt>
                <c:pt idx="6">
                  <c:v>-90</c:v>
                </c:pt>
                <c:pt idx="7">
                  <c:v>-90</c:v>
                </c:pt>
                <c:pt idx="8">
                  <c:v>-90</c:v>
                </c:pt>
                <c:pt idx="9">
                  <c:v>-90</c:v>
                </c:pt>
              </c:numCache>
            </c:numRef>
          </c:val>
          <c:extLst>
            <c:ext xmlns:c16="http://schemas.microsoft.com/office/drawing/2014/chart" uri="{C3380CC4-5D6E-409C-BE32-E72D297353CC}">
              <c16:uniqueId val="{00000002-61A7-4E62-A40D-D9A6EAFADB00}"/>
            </c:ext>
          </c:extLst>
        </c:ser>
        <c:dLbls>
          <c:showLegendKey val="0"/>
          <c:showVal val="0"/>
          <c:showCatName val="0"/>
          <c:showSerName val="0"/>
          <c:showPercent val="0"/>
          <c:showBubbleSize val="0"/>
        </c:dLbls>
        <c:gapWidth val="70"/>
        <c:overlap val="100"/>
        <c:axId val="96092995"/>
        <c:axId val="41510723"/>
      </c:barChart>
      <c:lineChart>
        <c:grouping val="stacked"/>
        <c:varyColors val="0"/>
        <c:ser>
          <c:idx val="3"/>
          <c:order val="3"/>
          <c:tx>
            <c:strRef>
              <c:f>'Graphical Representation'!$B$223</c:f>
              <c:strCache>
                <c:ptCount val="1"/>
                <c:pt idx="0">
                  <c:v>Cash conversion cycle</c:v>
                </c:pt>
              </c:strCache>
            </c:strRef>
          </c:tx>
          <c:spPr>
            <a:ln w="21960">
              <a:solidFill>
                <a:srgbClr val="4F8F5B"/>
              </a:solidFill>
              <a:round/>
            </a:ln>
          </c:spPr>
          <c:marker>
            <c:symbol val="circle"/>
            <c:size val="6"/>
            <c:spPr>
              <a:solidFill>
                <a:srgbClr val="4F8F5B"/>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Representation'!$C$223:$L$223</c:f>
              <c:numCache>
                <c:formatCode>#,##0</c:formatCode>
                <c:ptCount val="10"/>
                <c:pt idx="0">
                  <c:v>-50</c:v>
                </c:pt>
                <c:pt idx="1">
                  <c:v>-38</c:v>
                </c:pt>
                <c:pt idx="2">
                  <c:v>-44</c:v>
                </c:pt>
                <c:pt idx="3">
                  <c:v>-50</c:v>
                </c:pt>
                <c:pt idx="4">
                  <c:v>-57</c:v>
                </c:pt>
                <c:pt idx="5">
                  <c:v>-57</c:v>
                </c:pt>
                <c:pt idx="6">
                  <c:v>-57</c:v>
                </c:pt>
                <c:pt idx="7">
                  <c:v>-57</c:v>
                </c:pt>
                <c:pt idx="8">
                  <c:v>-57</c:v>
                </c:pt>
                <c:pt idx="9">
                  <c:v>-57</c:v>
                </c:pt>
              </c:numCache>
            </c:numRef>
          </c:val>
          <c:smooth val="0"/>
          <c:extLst>
            <c:ext xmlns:c16="http://schemas.microsoft.com/office/drawing/2014/chart" uri="{C3380CC4-5D6E-409C-BE32-E72D297353CC}">
              <c16:uniqueId val="{00000003-61A7-4E62-A40D-D9A6EAFADB00}"/>
            </c:ext>
          </c:extLst>
        </c:ser>
        <c:dLbls>
          <c:showLegendKey val="0"/>
          <c:showVal val="0"/>
          <c:showCatName val="0"/>
          <c:showSerName val="0"/>
          <c:showPercent val="0"/>
          <c:showBubbleSize val="0"/>
        </c:dLbls>
        <c:hiLowLines>
          <c:spPr>
            <a:ln w="0">
              <a:noFill/>
            </a:ln>
          </c:spPr>
        </c:hiLowLines>
        <c:marker val="1"/>
        <c:smooth val="0"/>
        <c:axId val="48094924"/>
        <c:axId val="75072421"/>
      </c:lineChart>
      <c:catAx>
        <c:axId val="96092995"/>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510723"/>
        <c:crosses val="autoZero"/>
        <c:auto val="1"/>
        <c:lblAlgn val="ctr"/>
        <c:lblOffset val="100"/>
        <c:noMultiLvlLbl val="0"/>
      </c:catAx>
      <c:valAx>
        <c:axId val="41510723"/>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092995"/>
        <c:crosses val="max"/>
        <c:crossBetween val="between"/>
      </c:valAx>
      <c:catAx>
        <c:axId val="48094924"/>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072421"/>
        <c:crosses val="autoZero"/>
        <c:auto val="1"/>
        <c:lblAlgn val="ctr"/>
        <c:lblOffset val="100"/>
        <c:noMultiLvlLbl val="0"/>
      </c:catAx>
      <c:valAx>
        <c:axId val="75072421"/>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09492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Cash conversion — EBITDA, CFO and FCFF (₹ cr)</a:t>
            </a:r>
          </a:p>
        </c:rich>
      </c:tx>
      <c:overlay val="0"/>
      <c:spPr>
        <a:noFill/>
        <a:ln w="0">
          <a:noFill/>
        </a:ln>
      </c:spPr>
    </c:title>
    <c:autoTitleDeleted val="0"/>
    <c:plotArea>
      <c:layout/>
      <c:barChart>
        <c:barDir val="col"/>
        <c:grouping val="clustered"/>
        <c:varyColors val="0"/>
        <c:ser>
          <c:idx val="0"/>
          <c:order val="0"/>
          <c:tx>
            <c:strRef>
              <c:f>'Graphical Representation'!$B$208</c:f>
              <c:strCache>
                <c:ptCount val="1"/>
                <c:pt idx="0">
                  <c:v>EBITDA</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Representation'!$C$208:$L$208</c:f>
              <c:numCache>
                <c:formatCode>#,##0;\(#,##0\);\-</c:formatCode>
                <c:ptCount val="10"/>
                <c:pt idx="0">
                  <c:v>0</c:v>
                </c:pt>
                <c:pt idx="1">
                  <c:v>0</c:v>
                </c:pt>
                <c:pt idx="2">
                  <c:v>0</c:v>
                </c:pt>
                <c:pt idx="3">
                  <c:v>0</c:v>
                </c:pt>
                <c:pt idx="4">
                  <c:v>0</c:v>
                </c:pt>
                <c:pt idx="5">
                  <c:v>0</c:v>
                </c:pt>
                <c:pt idx="6">
                  <c:v>0</c:v>
                </c:pt>
                <c:pt idx="7">
                  <c:v>11395.459751508955</c:v>
                </c:pt>
                <c:pt idx="8">
                  <c:v>13085.265016955716</c:v>
                </c:pt>
                <c:pt idx="9">
                  <c:v>14849.753651236577</c:v>
                </c:pt>
              </c:numCache>
            </c:numRef>
          </c:val>
          <c:extLst>
            <c:ext xmlns:c16="http://schemas.microsoft.com/office/drawing/2014/chart" uri="{C3380CC4-5D6E-409C-BE32-E72D297353CC}">
              <c16:uniqueId val="{00000000-9B36-43CC-99A6-02A412BEFB6C}"/>
            </c:ext>
          </c:extLst>
        </c:ser>
        <c:ser>
          <c:idx val="1"/>
          <c:order val="1"/>
          <c:tx>
            <c:strRef>
              <c:f>'Graphical Representation'!$B$224</c:f>
              <c:strCache>
                <c:ptCount val="1"/>
                <c:pt idx="0">
                  <c:v>Operating cash flow</c:v>
                </c:pt>
              </c:strCache>
            </c:strRef>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Representation'!$C$224:$L$224</c:f>
              <c:numCache>
                <c:formatCode>#,##0;\(#,##0\);\-</c:formatCode>
                <c:ptCount val="10"/>
                <c:pt idx="0">
                  <c:v>1643</c:v>
                </c:pt>
                <c:pt idx="1">
                  <c:v>2057.3342465753431</c:v>
                </c:pt>
                <c:pt idx="2">
                  <c:v>3484.4438356164383</c:v>
                </c:pt>
                <c:pt idx="3">
                  <c:v>4314.9698630136982</c:v>
                </c:pt>
                <c:pt idx="4">
                  <c:v>6279.3041095890412</c:v>
                </c:pt>
                <c:pt idx="5">
                  <c:v>7262.67489585372</c:v>
                </c:pt>
                <c:pt idx="6">
                  <c:v>8604.4264863479366</c:v>
                </c:pt>
                <c:pt idx="7">
                  <c:v>9926.3431770866791</c:v>
                </c:pt>
                <c:pt idx="8">
                  <c:v>11235.223469330493</c:v>
                </c:pt>
                <c:pt idx="9">
                  <c:v>12624.554364258254</c:v>
                </c:pt>
              </c:numCache>
            </c:numRef>
          </c:val>
          <c:extLst>
            <c:ext xmlns:c16="http://schemas.microsoft.com/office/drawing/2014/chart" uri="{C3380CC4-5D6E-409C-BE32-E72D297353CC}">
              <c16:uniqueId val="{00000001-9B36-43CC-99A6-02A412BEFB6C}"/>
            </c:ext>
          </c:extLst>
        </c:ser>
        <c:ser>
          <c:idx val="2"/>
          <c:order val="2"/>
          <c:tx>
            <c:strRef>
              <c:f>'Graphical Representation'!$B$225</c:f>
              <c:strCache>
                <c:ptCount val="1"/>
                <c:pt idx="0">
                  <c:v>Free cash flow to firm</c:v>
                </c:pt>
              </c:strCache>
            </c:strRef>
          </c:tx>
          <c:spPr>
            <a:solidFill>
              <a:srgbClr val="4F8F5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Representation'!$C$225:$L$225</c:f>
              <c:numCache>
                <c:formatCode>#,##0;\(#,##0\);\-</c:formatCode>
                <c:ptCount val="10"/>
                <c:pt idx="0">
                  <c:v>879.0008237232289</c:v>
                </c:pt>
                <c:pt idx="1">
                  <c:v>1050.1146856970995</c:v>
                </c:pt>
                <c:pt idx="2">
                  <c:v>2421.1582241056467</c:v>
                </c:pt>
                <c:pt idx="3">
                  <c:v>2492.8890634641489</c:v>
                </c:pt>
                <c:pt idx="4">
                  <c:v>4282.0065366744993</c:v>
                </c:pt>
                <c:pt idx="5">
                  <c:v>4727.2974001537186</c:v>
                </c:pt>
                <c:pt idx="6">
                  <c:v>5737.8423162884947</c:v>
                </c:pt>
                <c:pt idx="7">
                  <c:v>6786.8237685432723</c:v>
                </c:pt>
                <c:pt idx="8">
                  <c:v>7872.6282815693321</c:v>
                </c:pt>
                <c:pt idx="9">
                  <c:v>8971.7284730521806</c:v>
                </c:pt>
              </c:numCache>
            </c:numRef>
          </c:val>
          <c:extLst>
            <c:ext xmlns:c16="http://schemas.microsoft.com/office/drawing/2014/chart" uri="{C3380CC4-5D6E-409C-BE32-E72D297353CC}">
              <c16:uniqueId val="{00000002-9B36-43CC-99A6-02A412BEFB6C}"/>
            </c:ext>
          </c:extLst>
        </c:ser>
        <c:dLbls>
          <c:showLegendKey val="0"/>
          <c:showVal val="0"/>
          <c:showCatName val="0"/>
          <c:showSerName val="0"/>
          <c:showPercent val="0"/>
          <c:showBubbleSize val="0"/>
        </c:dLbls>
        <c:gapWidth val="70"/>
        <c:axId val="7360205"/>
        <c:axId val="88395418"/>
      </c:barChart>
      <c:catAx>
        <c:axId val="7360205"/>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395418"/>
        <c:crosses val="autoZero"/>
        <c:auto val="1"/>
        <c:lblAlgn val="ctr"/>
        <c:lblOffset val="100"/>
        <c:noMultiLvlLbl val="0"/>
      </c:catAx>
      <c:valAx>
        <c:axId val="88395418"/>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36020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Leverage and interest cover</a:t>
            </a:r>
          </a:p>
        </c:rich>
      </c:tx>
      <c:overlay val="0"/>
      <c:spPr>
        <a:noFill/>
        <a:ln w="0">
          <a:noFill/>
        </a:ln>
      </c:spPr>
    </c:title>
    <c:autoTitleDeleted val="0"/>
    <c:plotArea>
      <c:layout/>
      <c:barChart>
        <c:barDir val="col"/>
        <c:grouping val="clustered"/>
        <c:varyColors val="0"/>
        <c:ser>
          <c:idx val="0"/>
          <c:order val="0"/>
          <c:tx>
            <c:strRef>
              <c:f>'Graphical Representation'!$B$227</c:f>
              <c:strCache>
                <c:ptCount val="1"/>
                <c:pt idx="0">
                  <c:v>Net debt / EBITDA</c:v>
                </c:pt>
              </c:strCache>
            </c:strRef>
          </c:tx>
          <c:spPr>
            <a:solidFill>
              <a:srgbClr val="BE6E2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Representation'!$C$227:$L$227</c:f>
              <c:numCache>
                <c:formatCode>#,##0.00;\(#,##0.00\);\-</c:formatCode>
                <c:ptCount val="10"/>
                <c:pt idx="0">
                  <c:v>0</c:v>
                </c:pt>
                <c:pt idx="1">
                  <c:v>0</c:v>
                </c:pt>
                <c:pt idx="2">
                  <c:v>0</c:v>
                </c:pt>
                <c:pt idx="3">
                  <c:v>0</c:v>
                </c:pt>
                <c:pt idx="4">
                  <c:v>0</c:v>
                </c:pt>
                <c:pt idx="5">
                  <c:v>0</c:v>
                </c:pt>
                <c:pt idx="6">
                  <c:v>0</c:v>
                </c:pt>
                <c:pt idx="7">
                  <c:v>-1.057292476907967</c:v>
                </c:pt>
                <c:pt idx="8">
                  <c:v>-1.3760100315186716</c:v>
                </c:pt>
                <c:pt idx="9">
                  <c:v>-1.6649863902436883</c:v>
                </c:pt>
              </c:numCache>
            </c:numRef>
          </c:val>
          <c:extLst>
            <c:ext xmlns:c16="http://schemas.microsoft.com/office/drawing/2014/chart" uri="{C3380CC4-5D6E-409C-BE32-E72D297353CC}">
              <c16:uniqueId val="{00000000-616B-4D70-B88B-F7BB3711B94C}"/>
            </c:ext>
          </c:extLst>
        </c:ser>
        <c:dLbls>
          <c:showLegendKey val="0"/>
          <c:showVal val="0"/>
          <c:showCatName val="0"/>
          <c:showSerName val="0"/>
          <c:showPercent val="0"/>
          <c:showBubbleSize val="0"/>
        </c:dLbls>
        <c:gapWidth val="70"/>
        <c:axId val="13279973"/>
        <c:axId val="70402667"/>
      </c:barChart>
      <c:lineChart>
        <c:grouping val="standard"/>
        <c:varyColors val="0"/>
        <c:ser>
          <c:idx val="1"/>
          <c:order val="1"/>
          <c:tx>
            <c:strRef>
              <c:f>'Graphical Representation'!$B$228</c:f>
              <c:strCache>
                <c:ptCount val="1"/>
                <c:pt idx="0">
                  <c:v>Interest coverage (x)</c:v>
                </c:pt>
              </c:strCache>
            </c:strRef>
          </c:tx>
          <c:spPr>
            <a:ln w="21960">
              <a:solidFill>
                <a:srgbClr val="113A44"/>
              </a:solidFill>
              <a:round/>
            </a:ln>
          </c:spPr>
          <c:marker>
            <c:symbol val="circle"/>
            <c:size val="6"/>
            <c:spPr>
              <a:solidFill>
                <a:srgbClr val="113A4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Representation'!$C$201:$L$201</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'Graphical Representation'!$C$228:$L$228</c:f>
              <c:numCache>
                <c:formatCode>#,##0.0;\(#,##0.0\);\-</c:formatCode>
                <c:ptCount val="10"/>
                <c:pt idx="0">
                  <c:v>15.571428571428571</c:v>
                </c:pt>
                <c:pt idx="1">
                  <c:v>18.971631205673759</c:v>
                </c:pt>
                <c:pt idx="2">
                  <c:v>19.302197802197803</c:v>
                </c:pt>
                <c:pt idx="3">
                  <c:v>32.10791366906475</c:v>
                </c:pt>
                <c:pt idx="4">
                  <c:v>29.799019607843139</c:v>
                </c:pt>
                <c:pt idx="5">
                  <c:v>28.962154734209022</c:v>
                </c:pt>
                <c:pt idx="6">
                  <c:v>35.52267138584687</c:v>
                </c:pt>
                <c:pt idx="7">
                  <c:v>41.931701190116641</c:v>
                </c:pt>
                <c:pt idx="8">
                  <c:v>48.149652111387432</c:v>
                </c:pt>
                <c:pt idx="9">
                  <c:v>54.642414297329488</c:v>
                </c:pt>
              </c:numCache>
            </c:numRef>
          </c:val>
          <c:smooth val="0"/>
          <c:extLst>
            <c:ext xmlns:c16="http://schemas.microsoft.com/office/drawing/2014/chart" uri="{C3380CC4-5D6E-409C-BE32-E72D297353CC}">
              <c16:uniqueId val="{00000001-616B-4D70-B88B-F7BB3711B94C}"/>
            </c:ext>
          </c:extLst>
        </c:ser>
        <c:dLbls>
          <c:showLegendKey val="0"/>
          <c:showVal val="0"/>
          <c:showCatName val="0"/>
          <c:showSerName val="0"/>
          <c:showPercent val="0"/>
          <c:showBubbleSize val="0"/>
        </c:dLbls>
        <c:hiLowLines>
          <c:spPr>
            <a:ln w="0">
              <a:noFill/>
            </a:ln>
          </c:spPr>
        </c:hiLowLines>
        <c:marker val="1"/>
        <c:smooth val="0"/>
        <c:axId val="51373953"/>
        <c:axId val="37850786"/>
      </c:lineChart>
      <c:catAx>
        <c:axId val="13279973"/>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402667"/>
        <c:crosses val="autoZero"/>
        <c:auto val="1"/>
        <c:lblAlgn val="ctr"/>
        <c:lblOffset val="100"/>
        <c:noMultiLvlLbl val="0"/>
      </c:catAx>
      <c:valAx>
        <c:axId val="70402667"/>
        <c:scaling>
          <c:orientation val="minMax"/>
        </c:scaling>
        <c:delete val="0"/>
        <c:axPos val="r"/>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3279973"/>
        <c:crosses val="max"/>
        <c:crossBetween val="between"/>
      </c:valAx>
      <c:catAx>
        <c:axId val="51373953"/>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850786"/>
        <c:crosses val="autoZero"/>
        <c:auto val="1"/>
        <c:lblAlgn val="ctr"/>
        <c:lblOffset val="100"/>
        <c:noMultiLvlLbl val="0"/>
      </c:catAx>
      <c:valAx>
        <c:axId val="37850786"/>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137395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Traded multiple history</a:t>
            </a:r>
          </a:p>
        </c:rich>
      </c:tx>
      <c:overlay val="0"/>
      <c:spPr>
        <a:noFill/>
        <a:ln w="0">
          <a:noFill/>
        </a:ln>
      </c:spPr>
    </c:title>
    <c:autoTitleDeleted val="0"/>
    <c:plotArea>
      <c:layout/>
      <c:barChart>
        <c:barDir val="col"/>
        <c:grouping val="clustered"/>
        <c:varyColors val="0"/>
        <c:ser>
          <c:idx val="0"/>
          <c:order val="0"/>
          <c:tx>
            <c:strRef>
              <c:f>'Graphical Representation'!$B$254</c:f>
              <c:strCache>
                <c:ptCount val="1"/>
                <c:pt idx="0">
                  <c:v>EV/EBITDA (x)</c:v>
                </c:pt>
              </c:strCache>
            </c:strRef>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Representation'!$C$252:$G$252</c:f>
              <c:strCache>
                <c:ptCount val="5"/>
                <c:pt idx="0">
                  <c:v>FY2022</c:v>
                </c:pt>
                <c:pt idx="1">
                  <c:v>FY2023</c:v>
                </c:pt>
                <c:pt idx="2">
                  <c:v>FY2024</c:v>
                </c:pt>
                <c:pt idx="3">
                  <c:v>FY2025</c:v>
                </c:pt>
                <c:pt idx="4">
                  <c:v>FY2026</c:v>
                </c:pt>
              </c:strCache>
            </c:strRef>
          </c:cat>
          <c:val>
            <c:numRef>
              <c:f>'Graphical Representation'!$C$254:$G$254</c:f>
              <c:numCache>
                <c:formatCode>0.0\x</c:formatCode>
                <c:ptCount val="5"/>
                <c:pt idx="0">
                  <c:v>16.571742813455653</c:v>
                </c:pt>
                <c:pt idx="1">
                  <c:v>19.540086242990654</c:v>
                </c:pt>
                <c:pt idx="2">
                  <c:v>27.997251266723598</c:v>
                </c:pt>
                <c:pt idx="3">
                  <c:v>25.536670961236833</c:v>
                </c:pt>
                <c:pt idx="4">
                  <c:v>30.612217305477873</c:v>
                </c:pt>
              </c:numCache>
            </c:numRef>
          </c:val>
          <c:extLst>
            <c:ext xmlns:c16="http://schemas.microsoft.com/office/drawing/2014/chart" uri="{C3380CC4-5D6E-409C-BE32-E72D297353CC}">
              <c16:uniqueId val="{00000000-0482-4CDE-B067-FAB2BD603100}"/>
            </c:ext>
          </c:extLst>
        </c:ser>
        <c:dLbls>
          <c:showLegendKey val="0"/>
          <c:showVal val="0"/>
          <c:showCatName val="0"/>
          <c:showSerName val="0"/>
          <c:showPercent val="0"/>
          <c:showBubbleSize val="0"/>
        </c:dLbls>
        <c:gapWidth val="70"/>
        <c:axId val="65132812"/>
        <c:axId val="8743974"/>
      </c:barChart>
      <c:lineChart>
        <c:grouping val="standard"/>
        <c:varyColors val="0"/>
        <c:ser>
          <c:idx val="1"/>
          <c:order val="1"/>
          <c:tx>
            <c:strRef>
              <c:f>'Graphical Representation'!$B$253</c:f>
              <c:strCache>
                <c:ptCount val="1"/>
                <c:pt idx="0">
                  <c:v>P/E (x)</c:v>
                </c:pt>
              </c:strCache>
            </c:strRef>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Representation'!$C$252:$G$252</c:f>
              <c:strCache>
                <c:ptCount val="5"/>
                <c:pt idx="0">
                  <c:v>FY2022</c:v>
                </c:pt>
                <c:pt idx="1">
                  <c:v>FY2023</c:v>
                </c:pt>
                <c:pt idx="2">
                  <c:v>FY2024</c:v>
                </c:pt>
                <c:pt idx="3">
                  <c:v>FY2025</c:v>
                </c:pt>
                <c:pt idx="4">
                  <c:v>FY2026</c:v>
                </c:pt>
              </c:strCache>
            </c:strRef>
          </c:cat>
          <c:val>
            <c:numRef>
              <c:f>'Graphical Representation'!$C$253:$G$253</c:f>
              <c:numCache>
                <c:formatCode>0.0\x</c:formatCode>
                <c:ptCount val="5"/>
                <c:pt idx="0">
                  <c:v>35.140513296089381</c:v>
                </c:pt>
                <c:pt idx="1">
                  <c:v>33.78467205093834</c:v>
                </c:pt>
                <c:pt idx="2">
                  <c:v>46.801317819404417</c:v>
                </c:pt>
                <c:pt idx="3">
                  <c:v>42.820934535104364</c:v>
                </c:pt>
                <c:pt idx="4">
                  <c:v>50.874009131156605</c:v>
                </c:pt>
              </c:numCache>
            </c:numRef>
          </c:val>
          <c:smooth val="0"/>
          <c:extLst>
            <c:ext xmlns:c16="http://schemas.microsoft.com/office/drawing/2014/chart" uri="{C3380CC4-5D6E-409C-BE32-E72D297353CC}">
              <c16:uniqueId val="{00000001-0482-4CDE-B067-FAB2BD603100}"/>
            </c:ext>
          </c:extLst>
        </c:ser>
        <c:dLbls>
          <c:showLegendKey val="0"/>
          <c:showVal val="0"/>
          <c:showCatName val="0"/>
          <c:showSerName val="0"/>
          <c:showPercent val="0"/>
          <c:showBubbleSize val="0"/>
        </c:dLbls>
        <c:hiLowLines>
          <c:spPr>
            <a:ln w="0">
              <a:noFill/>
            </a:ln>
          </c:spPr>
        </c:hiLowLines>
        <c:marker val="1"/>
        <c:smooth val="0"/>
        <c:axId val="74383397"/>
        <c:axId val="87581965"/>
      </c:lineChart>
      <c:catAx>
        <c:axId val="65132812"/>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743974"/>
        <c:crosses val="autoZero"/>
        <c:auto val="1"/>
        <c:lblAlgn val="ctr"/>
        <c:lblOffset val="100"/>
        <c:noMultiLvlLbl val="0"/>
      </c:catAx>
      <c:valAx>
        <c:axId val="8743974"/>
        <c:scaling>
          <c:orientation val="minMax"/>
        </c:scaling>
        <c:delete val="0"/>
        <c:axPos val="r"/>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132812"/>
        <c:crosses val="max"/>
        <c:crossBetween val="between"/>
      </c:valAx>
      <c:catAx>
        <c:axId val="74383397"/>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7581965"/>
        <c:crosses val="autoZero"/>
        <c:auto val="1"/>
        <c:lblAlgn val="ctr"/>
        <c:lblOffset val="100"/>
        <c:noMultiLvlLbl val="0"/>
      </c:catAx>
      <c:valAx>
        <c:axId val="87581965"/>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38339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Peer set — EV/EBITDA against EBITDA margin</a:t>
            </a:r>
          </a:p>
        </c:rich>
      </c:tx>
      <c:overlay val="0"/>
      <c:spPr>
        <a:noFill/>
        <a:ln w="0">
          <a:noFill/>
        </a:ln>
      </c:spPr>
    </c:title>
    <c:autoTitleDeleted val="0"/>
    <c:plotArea>
      <c:layout/>
      <c:barChart>
        <c:barDir val="col"/>
        <c:grouping val="clustered"/>
        <c:varyColors val="0"/>
        <c:ser>
          <c:idx val="0"/>
          <c:order val="0"/>
          <c:tx>
            <c:strRef>
              <c:f>'Graphical Representation'!$C$245</c:f>
              <c:strCache>
                <c:ptCount val="1"/>
                <c:pt idx="0">
                  <c:v>EV/EBITDA</c:v>
                </c:pt>
              </c:strCache>
            </c:strRef>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Representation'!$B$246:$B$249</c:f>
              <c:strCache>
                <c:ptCount val="4"/>
                <c:pt idx="0">
                  <c:v>Bajaj Auto</c:v>
                </c:pt>
                <c:pt idx="1">
                  <c:v>Hero MotoCorp</c:v>
                </c:pt>
                <c:pt idx="2">
                  <c:v>Eicher Motors</c:v>
                </c:pt>
                <c:pt idx="3">
                  <c:v>TVS Motor</c:v>
                </c:pt>
              </c:strCache>
            </c:strRef>
          </c:cat>
          <c:val>
            <c:numRef>
              <c:f>'Graphical Representation'!$C$246:$C$249</c:f>
              <c:numCache>
                <c:formatCode>0.0\x</c:formatCode>
                <c:ptCount val="4"/>
                <c:pt idx="0">
                  <c:v>26.102337964888925</c:v>
                </c:pt>
                <c:pt idx="1">
                  <c:v>15.877687391051714</c:v>
                </c:pt>
                <c:pt idx="2">
                  <c:v>30.710307692307694</c:v>
                </c:pt>
                <c:pt idx="3">
                  <c:v>34.083678443239215</c:v>
                </c:pt>
              </c:numCache>
            </c:numRef>
          </c:val>
          <c:extLst>
            <c:ext xmlns:c16="http://schemas.microsoft.com/office/drawing/2014/chart" uri="{C3380CC4-5D6E-409C-BE32-E72D297353CC}">
              <c16:uniqueId val="{00000000-461F-4825-9D5A-3504188D3390}"/>
            </c:ext>
          </c:extLst>
        </c:ser>
        <c:dLbls>
          <c:showLegendKey val="0"/>
          <c:showVal val="0"/>
          <c:showCatName val="0"/>
          <c:showSerName val="0"/>
          <c:showPercent val="0"/>
          <c:showBubbleSize val="0"/>
        </c:dLbls>
        <c:gapWidth val="70"/>
        <c:axId val="96569404"/>
        <c:axId val="31567387"/>
      </c:barChart>
      <c:lineChart>
        <c:grouping val="standard"/>
        <c:varyColors val="0"/>
        <c:ser>
          <c:idx val="1"/>
          <c:order val="1"/>
          <c:tx>
            <c:strRef>
              <c:f>'Graphical Representation'!$E$245</c:f>
              <c:strCache>
                <c:ptCount val="1"/>
                <c:pt idx="0">
                  <c:v>EBITDA margin</c:v>
                </c:pt>
              </c:strCache>
            </c:strRef>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Representation'!$B$246:$B$249</c:f>
              <c:strCache>
                <c:ptCount val="4"/>
                <c:pt idx="0">
                  <c:v>Bajaj Auto</c:v>
                </c:pt>
                <c:pt idx="1">
                  <c:v>Hero MotoCorp</c:v>
                </c:pt>
                <c:pt idx="2">
                  <c:v>Eicher Motors</c:v>
                </c:pt>
                <c:pt idx="3">
                  <c:v>TVS Motor</c:v>
                </c:pt>
              </c:strCache>
            </c:strRef>
          </c:cat>
          <c:val>
            <c:numRef>
              <c:f>'Graphical Representation'!$E$246:$E$249</c:f>
              <c:numCache>
                <c:formatCode>0.0%;\(0.0%\);\-</c:formatCode>
                <c:ptCount val="4"/>
                <c:pt idx="0">
                  <c:v>0.20464142205271402</c:v>
                </c:pt>
                <c:pt idx="1">
                  <c:v>0.14699978646166986</c:v>
                </c:pt>
                <c:pt idx="2">
                  <c:v>0.26002080166413311</c:v>
                </c:pt>
                <c:pt idx="3">
                  <c:v>0.12860165009519781</c:v>
                </c:pt>
              </c:numCache>
            </c:numRef>
          </c:val>
          <c:smooth val="0"/>
          <c:extLst>
            <c:ext xmlns:c16="http://schemas.microsoft.com/office/drawing/2014/chart" uri="{C3380CC4-5D6E-409C-BE32-E72D297353CC}">
              <c16:uniqueId val="{00000001-461F-4825-9D5A-3504188D3390}"/>
            </c:ext>
          </c:extLst>
        </c:ser>
        <c:dLbls>
          <c:showLegendKey val="0"/>
          <c:showVal val="0"/>
          <c:showCatName val="0"/>
          <c:showSerName val="0"/>
          <c:showPercent val="0"/>
          <c:showBubbleSize val="0"/>
        </c:dLbls>
        <c:hiLowLines>
          <c:spPr>
            <a:ln w="0">
              <a:noFill/>
            </a:ln>
          </c:spPr>
        </c:hiLowLines>
        <c:marker val="1"/>
        <c:smooth val="0"/>
        <c:axId val="71611108"/>
        <c:axId val="35815485"/>
      </c:lineChart>
      <c:catAx>
        <c:axId val="96569404"/>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567387"/>
        <c:crosses val="autoZero"/>
        <c:auto val="1"/>
        <c:lblAlgn val="ctr"/>
        <c:lblOffset val="100"/>
        <c:noMultiLvlLbl val="0"/>
      </c:catAx>
      <c:valAx>
        <c:axId val="31567387"/>
        <c:scaling>
          <c:orientation val="minMax"/>
        </c:scaling>
        <c:delete val="0"/>
        <c:axPos val="r"/>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569404"/>
        <c:crosses val="max"/>
        <c:crossBetween val="between"/>
      </c:valAx>
      <c:catAx>
        <c:axId val="71611108"/>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5815485"/>
        <c:crosses val="autoZero"/>
        <c:auto val="1"/>
        <c:lblAlgn val="ctr"/>
        <c:lblOffset val="100"/>
        <c:noMultiLvlLbl val="0"/>
      </c:catAx>
      <c:valAx>
        <c:axId val="35815485"/>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61110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±10% commodity move — FY2027E EBITDA impact (₹ cr)</a:t>
            </a:r>
          </a:p>
        </c:rich>
      </c:tx>
      <c:overlay val="0"/>
      <c:spPr>
        <a:noFill/>
        <a:ln w="0">
          <a:noFill/>
        </a:ln>
      </c:spPr>
    </c:title>
    <c:autoTitleDeleted val="0"/>
    <c:plotArea>
      <c:layout/>
      <c:barChart>
        <c:barDir val="bar"/>
        <c:grouping val="clustered"/>
        <c:varyColors val="0"/>
        <c:ser>
          <c:idx val="0"/>
          <c:order val="0"/>
          <c:tx>
            <c:strRef>
              <c:f>'Cost Structure &amp; Hedging'!$D$43</c:f>
              <c:strCache>
                <c:ptCount val="1"/>
                <c:pt idx="0">
                  <c:v>±10% price move → FY2027E EBITDA (₹ cr)</c:v>
                </c:pt>
              </c:strCache>
            </c:strRef>
          </c:tx>
          <c:spPr>
            <a:solidFill>
              <a:srgbClr val="BE6E2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'Cost Structure &amp; Hedging'!$B$44:$B$51</c:f>
              <c:strCache>
                <c:ptCount val="8"/>
                <c:pt idx="0">
                  <c:v>Steel — flat, long and tubes</c:v>
                </c:pt>
                <c:pt idx="1">
                  <c:v>Aluminium, castings and forgings</c:v>
                </c:pt>
                <c:pt idx="2">
                  <c:v>Plastics, polymers and paints</c:v>
                </c:pt>
                <c:pt idx="3">
                  <c:v>Rubber, tyres and tubes</c:v>
                </c:pt>
                <c:pt idx="4">
                  <c:v>Electricals, electronics and semiconductors</c:v>
                </c:pt>
                <c:pt idx="5">
                  <c:v>Li-ion cells and EV powertrain</c:v>
                </c:pt>
                <c:pt idx="6">
                  <c:v>Precious metals — Pt / Pd / Rh (catalysts)</c:v>
                </c:pt>
                <c:pt idx="7">
                  <c:v>Other bought-outs, fasteners, packaging, freight-in</c:v>
                </c:pt>
              </c:strCache>
            </c:strRef>
          </c:cat>
          <c:val>
            <c:numRef>
              <c:f>'Cost Structure &amp; Hedging'!$D$44:$D$51</c:f>
              <c:numCache>
                <c:formatCode>#,##0;\(#,##0\);\-</c:formatCode>
                <c:ptCount val="8"/>
                <c:pt idx="0">
                  <c:v>-1066.4380066071599</c:v>
                </c:pt>
                <c:pt idx="1">
                  <c:v>-606.40592532563994</c:v>
                </c:pt>
                <c:pt idx="2">
                  <c:v>-480.94263043067997</c:v>
                </c:pt>
                <c:pt idx="3">
                  <c:v>-313.65823723739999</c:v>
                </c:pt>
                <c:pt idx="4">
                  <c:v>-543.67427787815996</c:v>
                </c:pt>
                <c:pt idx="5">
                  <c:v>-397.30043383403995</c:v>
                </c:pt>
                <c:pt idx="6">
                  <c:v>-125.46329489495997</c:v>
                </c:pt>
                <c:pt idx="7">
                  <c:v>-648.22702362396001</c:v>
                </c:pt>
              </c:numCache>
            </c:numRef>
          </c:val>
          <c:extLst>
            <c:ext xmlns:c16="http://schemas.microsoft.com/office/drawing/2014/chart" uri="{C3380CC4-5D6E-409C-BE32-E72D297353CC}">
              <c16:uniqueId val="{00000000-668B-4427-A042-8B1BC6BCAD17}"/>
            </c:ext>
          </c:extLst>
        </c:ser>
        <c:dLbls>
          <c:showLegendKey val="0"/>
          <c:showVal val="0"/>
          <c:showCatName val="0"/>
          <c:showSerName val="0"/>
          <c:showPercent val="0"/>
          <c:showBubbleSize val="0"/>
        </c:dLbls>
        <c:gapWidth val="70"/>
        <c:axId val="11673089"/>
        <c:axId val="60710392"/>
      </c:barChart>
      <c:catAx>
        <c:axId val="11673089"/>
        <c:scaling>
          <c:orientation val="minMax"/>
        </c:scaling>
        <c:delete val="0"/>
        <c:axPos val="l"/>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710392"/>
        <c:crosses val="autoZero"/>
        <c:auto val="1"/>
        <c:lblAlgn val="ctr"/>
        <c:lblOffset val="100"/>
        <c:noMultiLvlLbl val="0"/>
      </c:catAx>
      <c:valAx>
        <c:axId val="6071039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67308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FCFF and its present value (₹ cr)</a:t>
            </a:r>
          </a:p>
        </c:rich>
      </c:tx>
      <c:overlay val="0"/>
      <c:spPr>
        <a:noFill/>
        <a:ln w="0">
          <a:noFill/>
        </a:ln>
      </c:spPr>
    </c:title>
    <c:autoTitleDeleted val="0"/>
    <c:plotArea>
      <c:layout/>
      <c:barChart>
        <c:barDir val="col"/>
        <c:grouping val="clustered"/>
        <c:varyColors val="0"/>
        <c:ser>
          <c:idx val="0"/>
          <c:order val="0"/>
          <c:tx>
            <c:strRef>
              <c:f>'DCF - FCFF'!$B$103</c:f>
              <c:strCache>
                <c:ptCount val="1"/>
                <c:pt idx="0">
                  <c:v>FCFF (post-valuation-date)</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'DCF - FCFF'!$C$102:$G$102</c:f>
              <c:strCache>
                <c:ptCount val="5"/>
                <c:pt idx="0">
                  <c:v>FY2027E</c:v>
                </c:pt>
                <c:pt idx="1">
                  <c:v>FY2028E</c:v>
                </c:pt>
                <c:pt idx="2">
                  <c:v>FY2029E</c:v>
                </c:pt>
                <c:pt idx="3">
                  <c:v>FY2030E</c:v>
                </c:pt>
                <c:pt idx="4">
                  <c:v>FY2031E</c:v>
                </c:pt>
              </c:strCache>
            </c:strRef>
          </c:cat>
          <c:val>
            <c:numRef>
              <c:f>'DCF - FCFF'!$C$103:$G$103</c:f>
              <c:numCache>
                <c:formatCode>#,##0;\(#,##0\);\-</c:formatCode>
                <c:ptCount val="5"/>
                <c:pt idx="0">
                  <c:v>2991.7964368096136</c:v>
                </c:pt>
                <c:pt idx="1">
                  <c:v>5737.8423162884947</c:v>
                </c:pt>
                <c:pt idx="2">
                  <c:v>6786.8237685432723</c:v>
                </c:pt>
                <c:pt idx="3">
                  <c:v>7872.6282815693339</c:v>
                </c:pt>
                <c:pt idx="4">
                  <c:v>8971.7284730521806</c:v>
                </c:pt>
              </c:numCache>
            </c:numRef>
          </c:val>
          <c:extLst>
            <c:ext xmlns:c16="http://schemas.microsoft.com/office/drawing/2014/chart" uri="{C3380CC4-5D6E-409C-BE32-E72D297353CC}">
              <c16:uniqueId val="{00000000-DAA1-48C2-8C08-B7728E2BE6EB}"/>
            </c:ext>
          </c:extLst>
        </c:ser>
        <c:ser>
          <c:idx val="1"/>
          <c:order val="1"/>
          <c:tx>
            <c:strRef>
              <c:f>'DCF - FCFF'!$B$104</c:f>
              <c:strCache>
                <c:ptCount val="1"/>
                <c:pt idx="0">
                  <c:v>PV of FCFF</c:v>
                </c:pt>
              </c:strCache>
            </c:strRef>
          </c:tx>
          <c:spPr>
            <a:solidFill>
              <a:srgbClr val="8CBAC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'DCF - FCFF'!$C$102:$G$102</c:f>
              <c:strCache>
                <c:ptCount val="5"/>
                <c:pt idx="0">
                  <c:v>FY2027E</c:v>
                </c:pt>
                <c:pt idx="1">
                  <c:v>FY2028E</c:v>
                </c:pt>
                <c:pt idx="2">
                  <c:v>FY2029E</c:v>
                </c:pt>
                <c:pt idx="3">
                  <c:v>FY2030E</c:v>
                </c:pt>
                <c:pt idx="4">
                  <c:v>FY2031E</c:v>
                </c:pt>
              </c:strCache>
            </c:strRef>
          </c:cat>
          <c:val>
            <c:numRef>
              <c:f>'DCF - FCFF'!$C$104:$G$104</c:f>
              <c:numCache>
                <c:formatCode>#,##0;\(#,##0\);\-</c:formatCode>
                <c:ptCount val="5"/>
                <c:pt idx="0">
                  <c:v>2757.4590521728364</c:v>
                </c:pt>
                <c:pt idx="1">
                  <c:v>4647.3024418327605</c:v>
                </c:pt>
                <c:pt idx="2">
                  <c:v>4832.2293912112409</c:v>
                </c:pt>
                <c:pt idx="3">
                  <c:v>4927.5309303037129</c:v>
                </c:pt>
                <c:pt idx="4">
                  <c:v>4936.4458444745123</c:v>
                </c:pt>
              </c:numCache>
            </c:numRef>
          </c:val>
          <c:extLst>
            <c:ext xmlns:c16="http://schemas.microsoft.com/office/drawing/2014/chart" uri="{C3380CC4-5D6E-409C-BE32-E72D297353CC}">
              <c16:uniqueId val="{00000001-DAA1-48C2-8C08-B7728E2BE6EB}"/>
            </c:ext>
          </c:extLst>
        </c:ser>
        <c:dLbls>
          <c:showLegendKey val="0"/>
          <c:showVal val="0"/>
          <c:showCatName val="0"/>
          <c:showSerName val="0"/>
          <c:showPercent val="0"/>
          <c:showBubbleSize val="0"/>
        </c:dLbls>
        <c:gapWidth val="70"/>
        <c:axId val="81688597"/>
        <c:axId val="66126415"/>
      </c:barChart>
      <c:catAx>
        <c:axId val="81688597"/>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6126415"/>
        <c:crosses val="autoZero"/>
        <c:auto val="1"/>
        <c:lblAlgn val="ctr"/>
        <c:lblOffset val="100"/>
        <c:noMultiLvlLbl val="0"/>
      </c:catAx>
      <c:valAx>
        <c:axId val="66126415"/>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68859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Scenario values against the market price (₹/share)</a:t>
            </a:r>
          </a:p>
        </c:rich>
      </c:tx>
      <c:overlay val="0"/>
      <c:spPr>
        <a:noFill/>
        <a:ln w="0">
          <a:noFill/>
        </a:ln>
      </c:spPr>
    </c:title>
    <c:autoTitleDeleted val="0"/>
    <c:plotArea>
      <c:layout/>
      <c:barChart>
        <c:barDir val="col"/>
        <c:grouping val="clustered"/>
        <c:varyColors val="0"/>
        <c:ser>
          <c:idx val="0"/>
          <c:order val="0"/>
          <c:tx>
            <c:strRef>
              <c:f>'Graphical Representation'!$C$274</c:f>
              <c:strCache>
                <c:ptCount val="1"/>
                <c:pt idx="0">
                  <c:v>₹ per share</c:v>
                </c:pt>
              </c:strCache>
            </c:strRef>
          </c:tx>
          <c:spPr>
            <a:solidFill>
              <a:srgbClr val="113A44"/>
            </a:solidFill>
            <a:ln w="0">
              <a:noFill/>
            </a:ln>
          </c:spPr>
          <c:invertIfNegative val="0"/>
          <c:dPt>
            <c:idx val="0"/>
            <c:invertIfNegative val="0"/>
            <c:bubble3D val="0"/>
            <c:spPr>
              <a:solidFill>
                <a:srgbClr val="BE6E2E"/>
              </a:solidFill>
              <a:ln w="0">
                <a:noFill/>
              </a:ln>
            </c:spPr>
            <c:extLst>
              <c:ext xmlns:c16="http://schemas.microsoft.com/office/drawing/2014/chart" uri="{C3380CC4-5D6E-409C-BE32-E72D297353CC}">
                <c16:uniqueId val="{00000001-6480-4956-BA30-AC25A178C15C}"/>
              </c:ext>
            </c:extLst>
          </c:dPt>
          <c:dPt>
            <c:idx val="1"/>
            <c:invertIfNegative val="0"/>
            <c:bubble3D val="0"/>
            <c:spPr>
              <a:solidFill>
                <a:srgbClr val="2E7D8C"/>
              </a:solidFill>
              <a:ln w="0">
                <a:noFill/>
              </a:ln>
            </c:spPr>
            <c:extLst>
              <c:ext xmlns:c16="http://schemas.microsoft.com/office/drawing/2014/chart" uri="{C3380CC4-5D6E-409C-BE32-E72D297353CC}">
                <c16:uniqueId val="{00000003-6480-4956-BA30-AC25A178C15C}"/>
              </c:ext>
            </c:extLst>
          </c:dPt>
          <c:dPt>
            <c:idx val="2"/>
            <c:invertIfNegative val="0"/>
            <c:bubble3D val="0"/>
            <c:spPr>
              <a:solidFill>
                <a:srgbClr val="4F8F5B"/>
              </a:solidFill>
              <a:ln w="0">
                <a:noFill/>
              </a:ln>
            </c:spPr>
            <c:extLst>
              <c:ext xmlns:c16="http://schemas.microsoft.com/office/drawing/2014/chart" uri="{C3380CC4-5D6E-409C-BE32-E72D297353CC}">
                <c16:uniqueId val="{00000005-6480-4956-BA30-AC25A178C15C}"/>
              </c:ext>
            </c:extLst>
          </c:dPt>
          <c:dPt>
            <c:idx val="3"/>
            <c:invertIfNegative val="0"/>
            <c:bubble3D val="0"/>
            <c:spPr>
              <a:solidFill>
                <a:srgbClr val="B03A2E"/>
              </a:solidFill>
              <a:ln w="0">
                <a:noFill/>
              </a:ln>
            </c:spPr>
            <c:extLst>
              <c:ext xmlns:c16="http://schemas.microsoft.com/office/drawing/2014/chart" uri="{C3380CC4-5D6E-409C-BE32-E72D297353CC}">
                <c16:uniqueId val="{00000007-6480-4956-BA30-AC25A178C15C}"/>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6480-4956-BA30-AC25A178C15C}"/>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6480-4956-BA30-AC25A178C15C}"/>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6480-4956-BA30-AC25A178C15C}"/>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6480-4956-BA30-AC25A178C15C}"/>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Representation'!$B$275:$B$278</c:f>
              <c:strCache>
                <c:ptCount val="4"/>
                <c:pt idx="0">
                  <c:v>Bear</c:v>
                </c:pt>
                <c:pt idx="1">
                  <c:v>Base</c:v>
                </c:pt>
                <c:pt idx="2">
                  <c:v>Bull</c:v>
                </c:pt>
                <c:pt idx="3">
                  <c:v>Market price</c:v>
                </c:pt>
              </c:strCache>
            </c:strRef>
          </c:cat>
          <c:val>
            <c:numRef>
              <c:f>'Graphical Representation'!$C$275:$C$278</c:f>
              <c:numCache>
                <c:formatCode>#,##0;\(#,##0\);\-</c:formatCode>
                <c:ptCount val="4"/>
                <c:pt idx="0">
                  <c:v>1336.9129232190116</c:v>
                </c:pt>
                <c:pt idx="1">
                  <c:v>2193.9285914448819</c:v>
                </c:pt>
                <c:pt idx="2">
                  <c:v>3337.8820137867147</c:v>
                </c:pt>
                <c:pt idx="3">
                  <c:v>4343</c:v>
                </c:pt>
              </c:numCache>
            </c:numRef>
          </c:val>
          <c:extLst>
            <c:ext xmlns:c16="http://schemas.microsoft.com/office/drawing/2014/chart" uri="{C3380CC4-5D6E-409C-BE32-E72D297353CC}">
              <c16:uniqueId val="{00000008-6480-4956-BA30-AC25A178C15C}"/>
            </c:ext>
          </c:extLst>
        </c:ser>
        <c:dLbls>
          <c:showLegendKey val="0"/>
          <c:showVal val="0"/>
          <c:showCatName val="0"/>
          <c:showSerName val="0"/>
          <c:showPercent val="0"/>
          <c:showBubbleSize val="0"/>
        </c:dLbls>
        <c:gapWidth val="80"/>
        <c:axId val="4970015"/>
        <c:axId val="81673073"/>
      </c:barChart>
      <c:catAx>
        <c:axId val="4970015"/>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673073"/>
        <c:crosses val="autoZero"/>
        <c:auto val="1"/>
        <c:lblAlgn val="ctr"/>
        <c:lblOffset val="100"/>
        <c:noMultiLvlLbl val="0"/>
      </c:catAx>
      <c:valAx>
        <c:axId val="81673073"/>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7001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Valuation football field — ₹ per share</a:t>
            </a:r>
          </a:p>
        </c:rich>
      </c:tx>
      <c:overlay val="0"/>
      <c:spPr>
        <a:noFill/>
        <a:ln w="0">
          <a:noFill/>
        </a:ln>
      </c:spPr>
    </c:title>
    <c:autoTitleDeleted val="0"/>
    <c:plotArea>
      <c:layout/>
      <c:barChart>
        <c:barDir val="col"/>
        <c:grouping val="stacked"/>
        <c:varyColors val="0"/>
        <c:ser>
          <c:idx val="0"/>
          <c:order val="0"/>
          <c:tx>
            <c:strRef>
              <c:f>'Graphical Representation'!$C$258</c:f>
              <c:strCache>
                <c:ptCount val="1"/>
                <c:pt idx="0">
                  <c:v>Base (hidden)</c:v>
                </c:pt>
              </c:strCache>
            </c:strRef>
          </c:tx>
          <c:spPr>
            <a:no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Representation'!$B$259:$B$265</c:f>
              <c:strCache>
                <c:ptCount val="7"/>
                <c:pt idx="0">
                  <c:v>DCF — FCFF</c:v>
                </c:pt>
                <c:pt idx="1">
                  <c:v>DCF — FCFE</c:v>
                </c:pt>
                <c:pt idx="2">
                  <c:v>EV/EBITDA</c:v>
                </c:pt>
                <c:pt idx="3">
                  <c:v>P/E</c:v>
                </c:pt>
                <c:pt idx="4">
                  <c:v>Precedent</c:v>
                </c:pt>
                <c:pt idx="5">
                  <c:v>Adjusted NAV</c:v>
                </c:pt>
                <c:pt idx="6">
                  <c:v>DDM</c:v>
                </c:pt>
              </c:strCache>
            </c:strRef>
          </c:cat>
          <c:val>
            <c:numRef>
              <c:f>'Graphical Representation'!$C$259:$C$265</c:f>
              <c:numCache>
                <c:formatCode>#,##0;\(#,##0\);\-</c:formatCode>
                <c:ptCount val="7"/>
                <c:pt idx="0">
                  <c:v>1788.5054629254382</c:v>
                </c:pt>
                <c:pt idx="1">
                  <c:v>1818.923558156996</c:v>
                </c:pt>
                <c:pt idx="2">
                  <c:v>3082.524289621269</c:v>
                </c:pt>
                <c:pt idx="3">
                  <c:v>2376.354164193921</c:v>
                </c:pt>
                <c:pt idx="4">
                  <c:v>2099.520021152573</c:v>
                </c:pt>
                <c:pt idx="5">
                  <c:v>324.93154323865548</c:v>
                </c:pt>
                <c:pt idx="6">
                  <c:v>206.45731071019054</c:v>
                </c:pt>
              </c:numCache>
            </c:numRef>
          </c:val>
          <c:extLst>
            <c:ext xmlns:c16="http://schemas.microsoft.com/office/drawing/2014/chart" uri="{C3380CC4-5D6E-409C-BE32-E72D297353CC}">
              <c16:uniqueId val="{00000000-5FB9-4359-910D-1763117A07A3}"/>
            </c:ext>
          </c:extLst>
        </c:ser>
        <c:ser>
          <c:idx val="1"/>
          <c:order val="1"/>
          <c:tx>
            <c:strRef>
              <c:f>'Graphical Representation'!$D$258</c:f>
              <c:strCache>
                <c:ptCount val="1"/>
                <c:pt idx="0">
                  <c:v>Range</c:v>
                </c:pt>
              </c:strCache>
            </c:strRef>
          </c:tx>
          <c:spPr>
            <a:solidFill>
              <a:srgbClr val="2E7D8C"/>
            </a:solidFill>
            <a:ln w="19080">
              <a:solidFill>
                <a:srgbClr val="113A4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Representation'!$B$259:$B$265</c:f>
              <c:strCache>
                <c:ptCount val="7"/>
                <c:pt idx="0">
                  <c:v>DCF — FCFF</c:v>
                </c:pt>
                <c:pt idx="1">
                  <c:v>DCF — FCFE</c:v>
                </c:pt>
                <c:pt idx="2">
                  <c:v>EV/EBITDA</c:v>
                </c:pt>
                <c:pt idx="3">
                  <c:v>P/E</c:v>
                </c:pt>
                <c:pt idx="4">
                  <c:v>Precedent</c:v>
                </c:pt>
                <c:pt idx="5">
                  <c:v>Adjusted NAV</c:v>
                </c:pt>
                <c:pt idx="6">
                  <c:v>DDM</c:v>
                </c:pt>
              </c:strCache>
            </c:strRef>
          </c:cat>
          <c:val>
            <c:numRef>
              <c:f>'Graphical Representation'!$D$259:$D$265</c:f>
              <c:numCache>
                <c:formatCode>#,##0;\(#,##0\);\-</c:formatCode>
                <c:ptCount val="7"/>
                <c:pt idx="0">
                  <c:v>665.49040480946542</c:v>
                </c:pt>
                <c:pt idx="1">
                  <c:v>444.62575866059888</c:v>
                </c:pt>
                <c:pt idx="2">
                  <c:v>1269.2747074911108</c:v>
                </c:pt>
                <c:pt idx="3">
                  <c:v>978.49877349161443</c:v>
                </c:pt>
                <c:pt idx="4">
                  <c:v>87.083894040689756</c:v>
                </c:pt>
                <c:pt idx="5">
                  <c:v>90.258762010737598</c:v>
                </c:pt>
                <c:pt idx="6">
                  <c:v>72.867286133008406</c:v>
                </c:pt>
              </c:numCache>
            </c:numRef>
          </c:val>
          <c:extLst>
            <c:ext xmlns:c16="http://schemas.microsoft.com/office/drawing/2014/chart" uri="{C3380CC4-5D6E-409C-BE32-E72D297353CC}">
              <c16:uniqueId val="{00000001-5FB9-4359-910D-1763117A07A3}"/>
            </c:ext>
          </c:extLst>
        </c:ser>
        <c:dLbls>
          <c:showLegendKey val="0"/>
          <c:showVal val="0"/>
          <c:showCatName val="0"/>
          <c:showSerName val="0"/>
          <c:showPercent val="0"/>
          <c:showBubbleSize val="0"/>
        </c:dLbls>
        <c:gapWidth val="55"/>
        <c:overlap val="100"/>
        <c:axId val="31218262"/>
        <c:axId val="36745931"/>
      </c:barChart>
      <c:lineChart>
        <c:grouping val="stacked"/>
        <c:varyColors val="0"/>
        <c:ser>
          <c:idx val="2"/>
          <c:order val="2"/>
          <c:tx>
            <c:strRef>
              <c:f>'Graphical Representation'!$E$258</c:f>
              <c:strCache>
                <c:ptCount val="1"/>
                <c:pt idx="0">
                  <c:v>Market price</c:v>
                </c:pt>
              </c:strCache>
            </c:strRef>
          </c:tx>
          <c:spPr>
            <a:ln w="24840">
              <a:solidFill>
                <a:srgbClr val="B03A2E"/>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Representation'!$B$259:$B$265</c:f>
              <c:strCache>
                <c:ptCount val="7"/>
                <c:pt idx="0">
                  <c:v>DCF — FCFF</c:v>
                </c:pt>
                <c:pt idx="1">
                  <c:v>DCF — FCFE</c:v>
                </c:pt>
                <c:pt idx="2">
                  <c:v>EV/EBITDA</c:v>
                </c:pt>
                <c:pt idx="3">
                  <c:v>P/E</c:v>
                </c:pt>
                <c:pt idx="4">
                  <c:v>Precedent</c:v>
                </c:pt>
                <c:pt idx="5">
                  <c:v>Adjusted NAV</c:v>
                </c:pt>
                <c:pt idx="6">
                  <c:v>DDM</c:v>
                </c:pt>
              </c:strCache>
            </c:strRef>
          </c:cat>
          <c:val>
            <c:numRef>
              <c:f>'Graphical Representation'!$E$259:$E$265</c:f>
              <c:numCache>
                <c:formatCode>#,##0;\(#,##0\);\-</c:formatCode>
                <c:ptCount val="7"/>
                <c:pt idx="0">
                  <c:v>4343</c:v>
                </c:pt>
                <c:pt idx="1">
                  <c:v>4343</c:v>
                </c:pt>
                <c:pt idx="2">
                  <c:v>4343</c:v>
                </c:pt>
                <c:pt idx="3">
                  <c:v>4343</c:v>
                </c:pt>
                <c:pt idx="4">
                  <c:v>4343</c:v>
                </c:pt>
                <c:pt idx="5">
                  <c:v>4343</c:v>
                </c:pt>
                <c:pt idx="6">
                  <c:v>4343</c:v>
                </c:pt>
              </c:numCache>
            </c:numRef>
          </c:val>
          <c:smooth val="0"/>
          <c:extLst>
            <c:ext xmlns:c16="http://schemas.microsoft.com/office/drawing/2014/chart" uri="{C3380CC4-5D6E-409C-BE32-E72D297353CC}">
              <c16:uniqueId val="{00000002-5FB9-4359-910D-1763117A07A3}"/>
            </c:ext>
          </c:extLst>
        </c:ser>
        <c:ser>
          <c:idx val="3"/>
          <c:order val="3"/>
          <c:tx>
            <c:strRef>
              <c:f>'Graphical Representation'!$F$258</c:f>
              <c:strCache>
                <c:ptCount val="1"/>
                <c:pt idx="0">
                  <c:v>Concluded value</c:v>
                </c:pt>
              </c:strCache>
            </c:strRef>
          </c:tx>
          <c:spPr>
            <a:ln w="24840">
              <a:solidFill>
                <a:srgbClr val="C9A227"/>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Representation'!$B$259:$B$265</c:f>
              <c:strCache>
                <c:ptCount val="7"/>
                <c:pt idx="0">
                  <c:v>DCF — FCFF</c:v>
                </c:pt>
                <c:pt idx="1">
                  <c:v>DCF — FCFE</c:v>
                </c:pt>
                <c:pt idx="2">
                  <c:v>EV/EBITDA</c:v>
                </c:pt>
                <c:pt idx="3">
                  <c:v>P/E</c:v>
                </c:pt>
                <c:pt idx="4">
                  <c:v>Precedent</c:v>
                </c:pt>
                <c:pt idx="5">
                  <c:v>Adjusted NAV</c:v>
                </c:pt>
                <c:pt idx="6">
                  <c:v>DDM</c:v>
                </c:pt>
              </c:strCache>
            </c:strRef>
          </c:cat>
          <c:val>
            <c:numRef>
              <c:f>'Graphical Representation'!$F$259:$F$265</c:f>
              <c:numCache>
                <c:formatCode>#,##0;\(#,##0\);\-</c:formatCode>
                <c:ptCount val="7"/>
                <c:pt idx="0">
                  <c:v>2615.7926478206796</c:v>
                </c:pt>
                <c:pt idx="1">
                  <c:v>2615.7926478206796</c:v>
                </c:pt>
                <c:pt idx="2">
                  <c:v>2615.7926478206796</c:v>
                </c:pt>
                <c:pt idx="3">
                  <c:v>2615.7926478206796</c:v>
                </c:pt>
                <c:pt idx="4">
                  <c:v>2615.7926478206796</c:v>
                </c:pt>
                <c:pt idx="5">
                  <c:v>2615.7926478206796</c:v>
                </c:pt>
                <c:pt idx="6">
                  <c:v>2615.7926478206796</c:v>
                </c:pt>
              </c:numCache>
            </c:numRef>
          </c:val>
          <c:smooth val="0"/>
          <c:extLst>
            <c:ext xmlns:c16="http://schemas.microsoft.com/office/drawing/2014/chart" uri="{C3380CC4-5D6E-409C-BE32-E72D297353CC}">
              <c16:uniqueId val="{00000003-5FB9-4359-910D-1763117A07A3}"/>
            </c:ext>
          </c:extLst>
        </c:ser>
        <c:dLbls>
          <c:showLegendKey val="0"/>
          <c:showVal val="0"/>
          <c:showCatName val="0"/>
          <c:showSerName val="0"/>
          <c:showPercent val="0"/>
          <c:showBubbleSize val="0"/>
        </c:dLbls>
        <c:hiLowLines>
          <c:spPr>
            <a:ln w="0">
              <a:noFill/>
            </a:ln>
          </c:spPr>
        </c:hiLowLines>
        <c:marker val="1"/>
        <c:smooth val="0"/>
        <c:axId val="31218262"/>
        <c:axId val="36745931"/>
      </c:lineChart>
      <c:catAx>
        <c:axId val="31218262"/>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745931"/>
        <c:crosses val="autoZero"/>
        <c:auto val="1"/>
        <c:lblAlgn val="ctr"/>
        <c:lblOffset val="100"/>
        <c:noMultiLvlLbl val="0"/>
      </c:catAx>
      <c:valAx>
        <c:axId val="36745931"/>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21826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SOTP contribution by leg (₹ per share)</a:t>
            </a:r>
          </a:p>
        </c:rich>
      </c:tx>
      <c:overlay val="0"/>
      <c:spPr>
        <a:noFill/>
        <a:ln w="0">
          <a:noFill/>
        </a:ln>
      </c:spPr>
    </c:title>
    <c:autoTitleDeleted val="0"/>
    <c:plotArea>
      <c:layout/>
      <c:barChart>
        <c:barDir val="col"/>
        <c:grouping val="clustered"/>
        <c:varyColors val="0"/>
        <c:ser>
          <c:idx val="0"/>
          <c:order val="0"/>
          <c:tx>
            <c:strRef>
              <c:f>'Graphical Representation'!$C$268</c:f>
              <c:strCache>
                <c:ptCount val="1"/>
                <c:pt idx="0">
                  <c:v>₹ per share</c:v>
                </c:pt>
              </c:strCache>
            </c:strRef>
          </c:tx>
          <c:spPr>
            <a:solidFill>
              <a:srgbClr val="113A44"/>
            </a:solidFill>
            <a:ln w="0">
              <a:noFill/>
            </a:ln>
          </c:spPr>
          <c:invertIfNegative val="0"/>
          <c:dPt>
            <c:idx val="0"/>
            <c:invertIfNegative val="0"/>
            <c:bubble3D val="0"/>
            <c:extLst>
              <c:ext xmlns:c16="http://schemas.microsoft.com/office/drawing/2014/chart" uri="{C3380CC4-5D6E-409C-BE32-E72D297353CC}">
                <c16:uniqueId val="{00000001-6E8A-4B94-A0AA-B4C803E31A4D}"/>
              </c:ext>
            </c:extLst>
          </c:dPt>
          <c:dPt>
            <c:idx val="1"/>
            <c:invertIfNegative val="0"/>
            <c:bubble3D val="0"/>
            <c:spPr>
              <a:solidFill>
                <a:srgbClr val="2E7D8C"/>
              </a:solidFill>
              <a:ln w="0">
                <a:noFill/>
              </a:ln>
            </c:spPr>
            <c:extLst>
              <c:ext xmlns:c16="http://schemas.microsoft.com/office/drawing/2014/chart" uri="{C3380CC4-5D6E-409C-BE32-E72D297353CC}">
                <c16:uniqueId val="{00000003-6E8A-4B94-A0AA-B4C803E31A4D}"/>
              </c:ext>
            </c:extLst>
          </c:dPt>
          <c:dPt>
            <c:idx val="2"/>
            <c:invertIfNegative val="0"/>
            <c:bubble3D val="0"/>
            <c:spPr>
              <a:solidFill>
                <a:srgbClr val="BE6E2E"/>
              </a:solidFill>
              <a:ln w="0">
                <a:noFill/>
              </a:ln>
            </c:spPr>
            <c:extLst>
              <c:ext xmlns:c16="http://schemas.microsoft.com/office/drawing/2014/chart" uri="{C3380CC4-5D6E-409C-BE32-E72D297353CC}">
                <c16:uniqueId val="{00000005-6E8A-4B94-A0AA-B4C803E31A4D}"/>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6E8A-4B94-A0AA-B4C803E31A4D}"/>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6E8A-4B94-A0AA-B4C803E31A4D}"/>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6E8A-4B94-A0AA-B4C803E31A4D}"/>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Representation'!$B$269:$B$271</c:f>
              <c:strCache>
                <c:ptCount val="3"/>
                <c:pt idx="0">
                  <c:v>Core automotive</c:v>
                </c:pt>
                <c:pt idx="1">
                  <c:v>TVS Credit (85.15%)</c:v>
                </c:pt>
                <c:pt idx="2">
                  <c:v>Other subsidiaries</c:v>
                </c:pt>
              </c:strCache>
            </c:strRef>
          </c:cat>
          <c:val>
            <c:numRef>
              <c:f>'Graphical Representation'!$C$269:$C$271</c:f>
              <c:numCache>
                <c:formatCode>#,##0;\(#,##0\);\-</c:formatCode>
                <c:ptCount val="3"/>
                <c:pt idx="0">
                  <c:v>1774.9018489518817</c:v>
                </c:pt>
                <c:pt idx="1">
                  <c:v>226.87519365896179</c:v>
                </c:pt>
                <c:pt idx="2">
                  <c:v>77.880472418735934</c:v>
                </c:pt>
              </c:numCache>
            </c:numRef>
          </c:val>
          <c:extLst>
            <c:ext xmlns:c16="http://schemas.microsoft.com/office/drawing/2014/chart" uri="{C3380CC4-5D6E-409C-BE32-E72D297353CC}">
              <c16:uniqueId val="{00000006-6E8A-4B94-A0AA-B4C803E31A4D}"/>
            </c:ext>
          </c:extLst>
        </c:ser>
        <c:dLbls>
          <c:showLegendKey val="0"/>
          <c:showVal val="0"/>
          <c:showCatName val="0"/>
          <c:showSerName val="0"/>
          <c:showPercent val="0"/>
          <c:showBubbleSize val="0"/>
        </c:dLbls>
        <c:gapWidth val="90"/>
        <c:axId val="52114457"/>
        <c:axId val="7621591"/>
      </c:barChart>
      <c:catAx>
        <c:axId val="52114457"/>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21591"/>
        <c:crosses val="autoZero"/>
        <c:auto val="1"/>
        <c:lblAlgn val="ctr"/>
        <c:lblOffset val="100"/>
        <c:noMultiLvlLbl val="0"/>
      </c:catAx>
      <c:valAx>
        <c:axId val="7621591"/>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211445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Monte Carlo — distribution of intrinsic value</a:t>
            </a:r>
          </a:p>
        </c:rich>
      </c:tx>
      <c:overlay val="0"/>
      <c:spPr>
        <a:noFill/>
        <a:ln w="0">
          <a:noFill/>
        </a:ln>
      </c:spPr>
    </c:title>
    <c:autoTitleDeleted val="0"/>
    <c:plotArea>
      <c:layout/>
      <c:barChart>
        <c:barDir val="col"/>
        <c:grouping val="clustered"/>
        <c:varyColors val="0"/>
        <c:ser>
          <c:idx val="0"/>
          <c:order val="0"/>
          <c:tx>
            <c:strRef>
              <c:f>'Graphical Representation'!$D$281</c:f>
              <c:strCache>
                <c:ptCount val="1"/>
                <c:pt idx="0">
                  <c:v>Frequency</c:v>
                </c:pt>
              </c:strCache>
            </c:strRef>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'Graphical Representation'!$C$282:$C$301</c:f>
              <c:numCache>
                <c:formatCode>#,##0;\(#,##0\);\-</c:formatCode>
                <c:ptCount val="20"/>
                <c:pt idx="0">
                  <c:v>1674.0675332040739</c:v>
                </c:pt>
                <c:pt idx="1">
                  <c:v>1745.3003176368152</c:v>
                </c:pt>
                <c:pt idx="2">
                  <c:v>1816.5331020695562</c:v>
                </c:pt>
                <c:pt idx="3">
                  <c:v>1887.7658865022972</c:v>
                </c:pt>
                <c:pt idx="4">
                  <c:v>1958.9986709350385</c:v>
                </c:pt>
                <c:pt idx="5">
                  <c:v>2030.2314553677795</c:v>
                </c:pt>
                <c:pt idx="6">
                  <c:v>2101.4642398005208</c:v>
                </c:pt>
                <c:pt idx="7">
                  <c:v>2172.6970242332618</c:v>
                </c:pt>
                <c:pt idx="8">
                  <c:v>2243.9298086660028</c:v>
                </c:pt>
                <c:pt idx="9">
                  <c:v>2315.1625930987439</c:v>
                </c:pt>
                <c:pt idx="10">
                  <c:v>2386.3953775314849</c:v>
                </c:pt>
                <c:pt idx="11">
                  <c:v>2457.6281619642264</c:v>
                </c:pt>
                <c:pt idx="12">
                  <c:v>2528.8609463969674</c:v>
                </c:pt>
                <c:pt idx="13">
                  <c:v>2600.0937308297084</c:v>
                </c:pt>
                <c:pt idx="14">
                  <c:v>2671.3265152624499</c:v>
                </c:pt>
                <c:pt idx="15">
                  <c:v>2742.5592996951909</c:v>
                </c:pt>
                <c:pt idx="16">
                  <c:v>2813.792084127932</c:v>
                </c:pt>
                <c:pt idx="17">
                  <c:v>2885.024868560673</c:v>
                </c:pt>
                <c:pt idx="18">
                  <c:v>2956.257652993414</c:v>
                </c:pt>
                <c:pt idx="19">
                  <c:v>3027.490437426155</c:v>
                </c:pt>
              </c:numCache>
            </c:numRef>
          </c:cat>
          <c:val>
            <c:numRef>
              <c:f>'Graphical Representation'!$D$282:$D$301</c:f>
              <c:numCache>
                <c:formatCode>#,##0</c:formatCode>
                <c:ptCount val="20"/>
                <c:pt idx="0">
                  <c:v>78</c:v>
                </c:pt>
                <c:pt idx="1">
                  <c:v>36</c:v>
                </c:pt>
                <c:pt idx="2">
                  <c:v>55</c:v>
                </c:pt>
                <c:pt idx="3">
                  <c:v>47</c:v>
                </c:pt>
                <c:pt idx="4">
                  <c:v>62</c:v>
                </c:pt>
                <c:pt idx="5">
                  <c:v>64</c:v>
                </c:pt>
                <c:pt idx="6">
                  <c:v>77</c:v>
                </c:pt>
                <c:pt idx="7">
                  <c:v>66</c:v>
                </c:pt>
                <c:pt idx="8">
                  <c:v>75</c:v>
                </c:pt>
                <c:pt idx="9">
                  <c:v>65</c:v>
                </c:pt>
                <c:pt idx="10">
                  <c:v>56</c:v>
                </c:pt>
                <c:pt idx="11">
                  <c:v>54</c:v>
                </c:pt>
                <c:pt idx="12">
                  <c:v>46</c:v>
                </c:pt>
                <c:pt idx="13">
                  <c:v>32</c:v>
                </c:pt>
                <c:pt idx="14">
                  <c:v>40</c:v>
                </c:pt>
                <c:pt idx="15">
                  <c:v>24</c:v>
                </c:pt>
                <c:pt idx="16">
                  <c:v>29</c:v>
                </c:pt>
                <c:pt idx="17">
                  <c:v>23</c:v>
                </c:pt>
                <c:pt idx="18">
                  <c:v>11</c:v>
                </c:pt>
                <c:pt idx="19">
                  <c:v>10</c:v>
                </c:pt>
              </c:numCache>
            </c:numRef>
          </c:val>
          <c:extLst>
            <c:ext xmlns:c16="http://schemas.microsoft.com/office/drawing/2014/chart" uri="{C3380CC4-5D6E-409C-BE32-E72D297353CC}">
              <c16:uniqueId val="{00000000-63E2-4ADC-ACCF-99F6AF6247FE}"/>
            </c:ext>
          </c:extLst>
        </c:ser>
        <c:dLbls>
          <c:showLegendKey val="0"/>
          <c:showVal val="0"/>
          <c:showCatName val="0"/>
          <c:showSerName val="0"/>
          <c:showPercent val="0"/>
          <c:showBubbleSize val="0"/>
        </c:dLbls>
        <c:gapWidth val="8"/>
        <c:axId val="4984721"/>
        <c:axId val="98306882"/>
      </c:barChart>
      <c:catAx>
        <c:axId val="4984721"/>
        <c:scaling>
          <c:orientation val="minMax"/>
        </c:scaling>
        <c:delete val="0"/>
        <c:axPos val="b"/>
        <c:numFmt formatCode="#,##0;\(#,##0\);\-"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8306882"/>
        <c:crosses val="autoZero"/>
        <c:auto val="1"/>
        <c:lblAlgn val="ctr"/>
        <c:lblOffset val="100"/>
        <c:noMultiLvlLbl val="0"/>
      </c:catAx>
      <c:valAx>
        <c:axId val="98306882"/>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8472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Altman Z-Score</a:t>
            </a:r>
          </a:p>
        </c:rich>
      </c:tx>
      <c:overlay val="0"/>
      <c:spPr>
        <a:noFill/>
        <a:ln w="0">
          <a:noFill/>
        </a:ln>
      </c:spPr>
    </c:title>
    <c:autoTitleDeleted val="0"/>
    <c:plotArea>
      <c:layout/>
      <c:barChart>
        <c:barDir val="col"/>
        <c:grouping val="clustered"/>
        <c:varyColors val="0"/>
        <c:ser>
          <c:idx val="0"/>
          <c:order val="0"/>
          <c:tx>
            <c:strRef>
              <c:f>'Graphical Representation'!$B$305</c:f>
              <c:strCache>
                <c:ptCount val="1"/>
                <c:pt idx="0">
                  <c:v>Altman Z-Score</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Representation'!$C$304:$G$304</c:f>
              <c:strCache>
                <c:ptCount val="5"/>
                <c:pt idx="0">
                  <c:v>FY2022</c:v>
                </c:pt>
                <c:pt idx="1">
                  <c:v>FY2023</c:v>
                </c:pt>
                <c:pt idx="2">
                  <c:v>FY2024</c:v>
                </c:pt>
                <c:pt idx="3">
                  <c:v>FY2025</c:v>
                </c:pt>
                <c:pt idx="4">
                  <c:v>FY2026</c:v>
                </c:pt>
              </c:strCache>
            </c:strRef>
          </c:cat>
          <c:val>
            <c:numRef>
              <c:f>'Graphical Representation'!$C$305:$G$305</c:f>
              <c:numCache>
                <c:formatCode>#,##0.0;\(#,##0.0\);\-</c:formatCode>
                <c:ptCount val="5"/>
                <c:pt idx="0">
                  <c:v>5.1803765697327018</c:v>
                </c:pt>
                <c:pt idx="1">
                  <c:v>6.6720158886364844</c:v>
                </c:pt>
                <c:pt idx="2">
                  <c:v>10.093511537906132</c:v>
                </c:pt>
                <c:pt idx="3">
                  <c:v>9.6836807868879902</c:v>
                </c:pt>
                <c:pt idx="4">
                  <c:v>10.439768870840373</c:v>
                </c:pt>
              </c:numCache>
            </c:numRef>
          </c:val>
          <c:extLst>
            <c:ext xmlns:c16="http://schemas.microsoft.com/office/drawing/2014/chart" uri="{C3380CC4-5D6E-409C-BE32-E72D297353CC}">
              <c16:uniqueId val="{00000000-A557-43A4-BAD0-DC2A8C5B86D8}"/>
            </c:ext>
          </c:extLst>
        </c:ser>
        <c:dLbls>
          <c:showLegendKey val="0"/>
          <c:showVal val="0"/>
          <c:showCatName val="0"/>
          <c:showSerName val="0"/>
          <c:showPercent val="0"/>
          <c:showBubbleSize val="0"/>
        </c:dLbls>
        <c:gapWidth val="70"/>
        <c:axId val="19209761"/>
        <c:axId val="74887380"/>
      </c:barChart>
      <c:catAx>
        <c:axId val="19209761"/>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887380"/>
        <c:crosses val="autoZero"/>
        <c:auto val="1"/>
        <c:lblAlgn val="ctr"/>
        <c:lblOffset val="100"/>
        <c:noMultiLvlLbl val="0"/>
      </c:catAx>
      <c:valAx>
        <c:axId val="74887380"/>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20976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Piotroski F-Score</a:t>
            </a:r>
          </a:p>
        </c:rich>
      </c:tx>
      <c:overlay val="0"/>
      <c:spPr>
        <a:noFill/>
        <a:ln w="0">
          <a:noFill/>
        </a:ln>
      </c:spPr>
    </c:title>
    <c:autoTitleDeleted val="0"/>
    <c:plotArea>
      <c:layout/>
      <c:barChart>
        <c:barDir val="col"/>
        <c:grouping val="clustered"/>
        <c:varyColors val="0"/>
        <c:ser>
          <c:idx val="0"/>
          <c:order val="0"/>
          <c:tx>
            <c:strRef>
              <c:f>'Graphical Representation'!$B$306</c:f>
              <c:strCache>
                <c:ptCount val="1"/>
                <c:pt idx="0">
                  <c:v>Piotroski F-Score</c:v>
                </c:pt>
              </c:strCache>
            </c:strRef>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Representation'!$C$304:$G$304</c:f>
              <c:strCache>
                <c:ptCount val="5"/>
                <c:pt idx="0">
                  <c:v>FY2022</c:v>
                </c:pt>
                <c:pt idx="1">
                  <c:v>FY2023</c:v>
                </c:pt>
                <c:pt idx="2">
                  <c:v>FY2024</c:v>
                </c:pt>
                <c:pt idx="3">
                  <c:v>FY2025</c:v>
                </c:pt>
                <c:pt idx="4">
                  <c:v>FY2026</c:v>
                </c:pt>
              </c:strCache>
            </c:strRef>
          </c:cat>
          <c:val>
            <c:numRef>
              <c:f>'Graphical Representation'!$C$306:$G$306</c:f>
              <c:numCache>
                <c:formatCode>#,##0</c:formatCode>
                <c:ptCount val="5"/>
                <c:pt idx="0">
                  <c:v>0</c:v>
                </c:pt>
                <c:pt idx="1">
                  <c:v>8</c:v>
                </c:pt>
                <c:pt idx="2">
                  <c:v>8</c:v>
                </c:pt>
                <c:pt idx="3">
                  <c:v>7</c:v>
                </c:pt>
                <c:pt idx="4">
                  <c:v>8</c:v>
                </c:pt>
              </c:numCache>
            </c:numRef>
          </c:val>
          <c:extLst>
            <c:ext xmlns:c16="http://schemas.microsoft.com/office/drawing/2014/chart" uri="{C3380CC4-5D6E-409C-BE32-E72D297353CC}">
              <c16:uniqueId val="{00000000-940E-43DA-A4CA-1ED844285156}"/>
            </c:ext>
          </c:extLst>
        </c:ser>
        <c:dLbls>
          <c:showLegendKey val="0"/>
          <c:showVal val="0"/>
          <c:showCatName val="0"/>
          <c:showSerName val="0"/>
          <c:showPercent val="0"/>
          <c:showBubbleSize val="0"/>
        </c:dLbls>
        <c:gapWidth val="70"/>
        <c:axId val="29552116"/>
        <c:axId val="11312663"/>
      </c:barChart>
      <c:catAx>
        <c:axId val="29552116"/>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312663"/>
        <c:crosses val="autoZero"/>
        <c:auto val="1"/>
        <c:lblAlgn val="ctr"/>
        <c:lblOffset val="100"/>
        <c:noMultiLvlLbl val="0"/>
      </c:catAx>
      <c:valAx>
        <c:axId val="11312663"/>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55211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Sloan accrual ratio — earnings quality</a:t>
            </a:r>
          </a:p>
        </c:rich>
      </c:tx>
      <c:overlay val="0"/>
      <c:spPr>
        <a:noFill/>
        <a:ln w="0">
          <a:noFill/>
        </a:ln>
      </c:spPr>
    </c:title>
    <c:autoTitleDeleted val="0"/>
    <c:plotArea>
      <c:layout/>
      <c:lineChart>
        <c:grouping val="standard"/>
        <c:varyColors val="0"/>
        <c:ser>
          <c:idx val="0"/>
          <c:order val="0"/>
          <c:tx>
            <c:strRef>
              <c:f>'Graphical Representation'!$B$307</c:f>
              <c:strCache>
                <c:ptCount val="1"/>
                <c:pt idx="0">
                  <c:v>Sloan accrual ratio</c:v>
                </c:pt>
              </c:strCache>
            </c:strRef>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'Graphical Representation'!$C$304:$G$304</c:f>
              <c:strCache>
                <c:ptCount val="5"/>
                <c:pt idx="0">
                  <c:v>FY2022</c:v>
                </c:pt>
                <c:pt idx="1">
                  <c:v>FY2023</c:v>
                </c:pt>
                <c:pt idx="2">
                  <c:v>FY2024</c:v>
                </c:pt>
                <c:pt idx="3">
                  <c:v>FY2025</c:v>
                </c:pt>
                <c:pt idx="4">
                  <c:v>FY2026</c:v>
                </c:pt>
              </c:strCache>
            </c:strRef>
          </c:cat>
          <c:val>
            <c:numRef>
              <c:f>'Graphical Representation'!$C$307:$G$307</c:f>
              <c:numCache>
                <c:formatCode>0.0%;\(0.0%\);\-</c:formatCode>
                <c:ptCount val="5"/>
                <c:pt idx="0">
                  <c:v>-5.0663753990925896E-2</c:v>
                </c:pt>
                <c:pt idx="1">
                  <c:v>-3.8694728712106587E-2</c:v>
                </c:pt>
                <c:pt idx="2">
                  <c:v>-0.10214606554649809</c:v>
                </c:pt>
                <c:pt idx="3">
                  <c:v>-9.2022325271429756E-2</c:v>
                </c:pt>
                <c:pt idx="4">
                  <c:v>-9.226677131706891E-2</c:v>
                </c:pt>
              </c:numCache>
            </c:numRef>
          </c:val>
          <c:smooth val="0"/>
          <c:extLst>
            <c:ext xmlns:c16="http://schemas.microsoft.com/office/drawing/2014/chart" uri="{C3380CC4-5D6E-409C-BE32-E72D297353CC}">
              <c16:uniqueId val="{00000000-38C5-47A0-9E38-1478F530B2FA}"/>
            </c:ext>
          </c:extLst>
        </c:ser>
        <c:dLbls>
          <c:showLegendKey val="0"/>
          <c:showVal val="0"/>
          <c:showCatName val="0"/>
          <c:showSerName val="0"/>
          <c:showPercent val="0"/>
          <c:showBubbleSize val="0"/>
        </c:dLbls>
        <c:hiLowLines>
          <c:spPr>
            <a:ln w="0">
              <a:noFill/>
            </a:ln>
          </c:spPr>
        </c:hiLowLines>
        <c:marker val="1"/>
        <c:smooth val="0"/>
        <c:axId val="62040367"/>
        <c:axId val="97908271"/>
      </c:lineChart>
      <c:catAx>
        <c:axId val="62040367"/>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7908271"/>
        <c:crosses val="autoZero"/>
        <c:auto val="1"/>
        <c:lblAlgn val="ctr"/>
        <c:lblOffset val="100"/>
        <c:noMultiLvlLbl val="0"/>
      </c:catAx>
      <c:valAx>
        <c:axId val="97908271"/>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204036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Revenue by segment (₹ cr)</a:t>
            </a:r>
          </a:p>
        </c:rich>
      </c:tx>
      <c:overlay val="0"/>
      <c:spPr>
        <a:noFill/>
        <a:ln w="0">
          <a:noFill/>
        </a:ln>
      </c:spPr>
    </c:title>
    <c:autoTitleDeleted val="0"/>
    <c:plotArea>
      <c:layout/>
      <c:barChart>
        <c:barDir val="col"/>
        <c:grouping val="stacked"/>
        <c:varyColors val="0"/>
        <c:ser>
          <c:idx val="0"/>
          <c:order val="0"/>
          <c:tx>
            <c:v>Motorcycles</c:v>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Segments'!$AH$126:$AQ$126</c:f>
              <c:numCache>
                <c:formatCode>#,##0;\(#,##0\);\-</c:formatCode>
                <c:ptCount val="10"/>
                <c:pt idx="0">
                  <c:v>8810.2000000000007</c:v>
                </c:pt>
                <c:pt idx="1">
                  <c:v>11129</c:v>
                </c:pt>
                <c:pt idx="2">
                  <c:v>13243.5</c:v>
                </c:pt>
                <c:pt idx="3">
                  <c:v>15104.25</c:v>
                </c:pt>
                <c:pt idx="4">
                  <c:v>19080</c:v>
                </c:pt>
                <c:pt idx="5">
                  <c:v>23189.831999999999</c:v>
                </c:pt>
                <c:pt idx="6">
                  <c:v>27229.500734400008</c:v>
                </c:pt>
                <c:pt idx="7">
                  <c:v>31131.488189639531</c:v>
                </c:pt>
                <c:pt idx="8">
                  <c:v>34951.321790508307</c:v>
                </c:pt>
                <c:pt idx="9">
                  <c:v>38879.850359761447</c:v>
                </c:pt>
              </c:numCache>
            </c:numRef>
          </c:val>
          <c:extLst>
            <c:ext xmlns:c16="http://schemas.microsoft.com/office/drawing/2014/chart" uri="{C3380CC4-5D6E-409C-BE32-E72D297353CC}">
              <c16:uniqueId val="{00000000-1A7C-4488-B4C2-7EB259E2F40F}"/>
            </c:ext>
          </c:extLst>
        </c:ser>
        <c:ser>
          <c:idx val="1"/>
          <c:order val="1"/>
          <c:tx>
            <c:v>Scooters — ICE</c:v>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Segments'!$AH$127:$AQ$127</c:f>
              <c:numCache>
                <c:formatCode>#,##0;\(#,##0\);\-</c:formatCode>
                <c:ptCount val="10"/>
                <c:pt idx="0">
                  <c:v>6136.45</c:v>
                </c:pt>
                <c:pt idx="1">
                  <c:v>8031.3</c:v>
                </c:pt>
                <c:pt idx="2">
                  <c:v>9594</c:v>
                </c:pt>
                <c:pt idx="3">
                  <c:v>11251.8</c:v>
                </c:pt>
                <c:pt idx="4">
                  <c:v>13926</c:v>
                </c:pt>
                <c:pt idx="5">
                  <c:v>16221.004800000001</c:v>
                </c:pt>
                <c:pt idx="6">
                  <c:v>18299.72656512</c:v>
                </c:pt>
                <c:pt idx="7">
                  <c:v>20168.128647418751</c:v>
                </c:pt>
                <c:pt idx="8">
                  <c:v>21811.831132183379</c:v>
                </c:pt>
                <c:pt idx="9">
                  <c:v>23364.833508794836</c:v>
                </c:pt>
              </c:numCache>
            </c:numRef>
          </c:val>
          <c:extLst>
            <c:ext xmlns:c16="http://schemas.microsoft.com/office/drawing/2014/chart" uri="{C3380CC4-5D6E-409C-BE32-E72D297353CC}">
              <c16:uniqueId val="{00000001-1A7C-4488-B4C2-7EB259E2F40F}"/>
            </c:ext>
          </c:extLst>
        </c:ser>
        <c:ser>
          <c:idx val="2"/>
          <c:order val="2"/>
          <c:tx>
            <c:v>Electric 2W</c:v>
          </c:tx>
          <c:spPr>
            <a:solidFill>
              <a:srgbClr val="4F8F5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Segments'!$AH$128:$AQ$128</c:f>
              <c:numCache>
                <c:formatCode>#,##0;\(#,##0\);\-</c:formatCode>
                <c:ptCount val="10"/>
                <c:pt idx="0">
                  <c:v>152</c:v>
                </c:pt>
                <c:pt idx="1">
                  <c:v>939.3</c:v>
                </c:pt>
                <c:pt idx="2">
                  <c:v>1905.5</c:v>
                </c:pt>
                <c:pt idx="3">
                  <c:v>2891.2</c:v>
                </c:pt>
                <c:pt idx="4">
                  <c:v>3885</c:v>
                </c:pt>
                <c:pt idx="5">
                  <c:v>6472.41</c:v>
                </c:pt>
                <c:pt idx="6">
                  <c:v>9244.2195824999999</c:v>
                </c:pt>
                <c:pt idx="7">
                  <c:v>12080.346150411</c:v>
                </c:pt>
                <c:pt idx="8">
                  <c:v>15100.432688013749</c:v>
                </c:pt>
                <c:pt idx="9">
                  <c:v>18301.724417872665</c:v>
                </c:pt>
              </c:numCache>
            </c:numRef>
          </c:val>
          <c:extLst>
            <c:ext xmlns:c16="http://schemas.microsoft.com/office/drawing/2014/chart" uri="{C3380CC4-5D6E-409C-BE32-E72D297353CC}">
              <c16:uniqueId val="{00000002-1A7C-4488-B4C2-7EB259E2F40F}"/>
            </c:ext>
          </c:extLst>
        </c:ser>
        <c:ser>
          <c:idx val="3"/>
          <c:order val="3"/>
          <c:tx>
            <c:v>Mopeds</c:v>
          </c:tx>
          <c:spPr>
            <a:solidFill>
              <a:srgbClr val="C9A22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Segments'!$AH$129:$AQ$129</c:f>
              <c:numCache>
                <c:formatCode>#,##0;\(#,##0\);\-</c:formatCode>
                <c:ptCount val="10"/>
                <c:pt idx="0">
                  <c:v>1326.5</c:v>
                </c:pt>
                <c:pt idx="1">
                  <c:v>1387.5</c:v>
                </c:pt>
                <c:pt idx="2">
                  <c:v>1271.9000000000001</c:v>
                </c:pt>
                <c:pt idx="3">
                  <c:v>1360</c:v>
                </c:pt>
                <c:pt idx="4">
                  <c:v>2268</c:v>
                </c:pt>
                <c:pt idx="5">
                  <c:v>2382.7608</c:v>
                </c:pt>
                <c:pt idx="6">
                  <c:v>2478.7860602400001</c:v>
                </c:pt>
                <c:pt idx="7">
                  <c:v>2578.6811384676726</c:v>
                </c:pt>
                <c:pt idx="8">
                  <c:v>2656.0415726217025</c:v>
                </c:pt>
                <c:pt idx="9">
                  <c:v>2735.7228198003536</c:v>
                </c:pt>
              </c:numCache>
            </c:numRef>
          </c:val>
          <c:extLst>
            <c:ext xmlns:c16="http://schemas.microsoft.com/office/drawing/2014/chart" uri="{C3380CC4-5D6E-409C-BE32-E72D297353CC}">
              <c16:uniqueId val="{00000003-1A7C-4488-B4C2-7EB259E2F40F}"/>
            </c:ext>
          </c:extLst>
        </c:ser>
        <c:ser>
          <c:idx val="4"/>
          <c:order val="4"/>
          <c:tx>
            <c:v>Three-wheelers</c:v>
          </c:tx>
          <c:spPr>
            <a:solidFill>
              <a:srgbClr val="BE6E2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Segments'!$AH$130:$AQ$130</c:f>
              <c:numCache>
                <c:formatCode>#,##0;\(#,##0\);\-</c:formatCode>
                <c:ptCount val="10"/>
                <c:pt idx="0">
                  <c:v>2257.8000000000002</c:v>
                </c:pt>
                <c:pt idx="1">
                  <c:v>2584</c:v>
                </c:pt>
                <c:pt idx="2">
                  <c:v>2706</c:v>
                </c:pt>
                <c:pt idx="3">
                  <c:v>2268</c:v>
                </c:pt>
                <c:pt idx="4">
                  <c:v>3832.5</c:v>
                </c:pt>
                <c:pt idx="5">
                  <c:v>5131.7174999999997</c:v>
                </c:pt>
                <c:pt idx="6">
                  <c:v>6342.8028299999996</c:v>
                </c:pt>
                <c:pt idx="7">
                  <c:v>7513.0499521349993</c:v>
                </c:pt>
                <c:pt idx="8">
                  <c:v>8667.0544247829348</c:v>
                </c:pt>
                <c:pt idx="9">
                  <c:v>9819.7726632790673</c:v>
                </c:pt>
              </c:numCache>
            </c:numRef>
          </c:val>
          <c:extLst>
            <c:ext xmlns:c16="http://schemas.microsoft.com/office/drawing/2014/chart" uri="{C3380CC4-5D6E-409C-BE32-E72D297353CC}">
              <c16:uniqueId val="{00000004-1A7C-4488-B4C2-7EB259E2F40F}"/>
            </c:ext>
          </c:extLst>
        </c:ser>
        <c:dLbls>
          <c:showLegendKey val="0"/>
          <c:showVal val="0"/>
          <c:showCatName val="0"/>
          <c:showSerName val="0"/>
          <c:showPercent val="0"/>
          <c:showBubbleSize val="0"/>
        </c:dLbls>
        <c:gapWidth val="70"/>
        <c:overlap val="100"/>
        <c:axId val="83619447"/>
        <c:axId val="19616483"/>
      </c:barChart>
      <c:catAx>
        <c:axId val="83619447"/>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616483"/>
        <c:crosses val="autoZero"/>
        <c:auto val="1"/>
        <c:lblAlgn val="ctr"/>
        <c:lblOffset val="100"/>
        <c:noMultiLvlLbl val="0"/>
      </c:catAx>
      <c:valAx>
        <c:axId val="19616483"/>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61944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Segment mix (% of vehicle revenue)</a:t>
            </a:r>
          </a:p>
        </c:rich>
      </c:tx>
      <c:overlay val="0"/>
      <c:spPr>
        <a:noFill/>
        <a:ln w="0">
          <a:noFill/>
        </a:ln>
      </c:spPr>
    </c:title>
    <c:autoTitleDeleted val="0"/>
    <c:plotArea>
      <c:layout/>
      <c:barChart>
        <c:barDir val="col"/>
        <c:grouping val="percentStacked"/>
        <c:varyColors val="0"/>
        <c:ser>
          <c:idx val="0"/>
          <c:order val="0"/>
          <c:tx>
            <c:v>Motorcycles</c:v>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Segments'!$AH$126:$AQ$126</c:f>
              <c:numCache>
                <c:formatCode>#,##0;\(#,##0\);\-</c:formatCode>
                <c:ptCount val="10"/>
                <c:pt idx="0">
                  <c:v>8810.2000000000007</c:v>
                </c:pt>
                <c:pt idx="1">
                  <c:v>11129</c:v>
                </c:pt>
                <c:pt idx="2">
                  <c:v>13243.5</c:v>
                </c:pt>
                <c:pt idx="3">
                  <c:v>15104.25</c:v>
                </c:pt>
                <c:pt idx="4">
                  <c:v>19080</c:v>
                </c:pt>
                <c:pt idx="5">
                  <c:v>23189.831999999999</c:v>
                </c:pt>
                <c:pt idx="6">
                  <c:v>27229.500734400008</c:v>
                </c:pt>
                <c:pt idx="7">
                  <c:v>31131.488189639531</c:v>
                </c:pt>
                <c:pt idx="8">
                  <c:v>34951.321790508307</c:v>
                </c:pt>
                <c:pt idx="9">
                  <c:v>38879.850359761447</c:v>
                </c:pt>
              </c:numCache>
            </c:numRef>
          </c:val>
          <c:extLst>
            <c:ext xmlns:c16="http://schemas.microsoft.com/office/drawing/2014/chart" uri="{C3380CC4-5D6E-409C-BE32-E72D297353CC}">
              <c16:uniqueId val="{00000000-EA3E-43B6-9A9D-534EA88EBEE2}"/>
            </c:ext>
          </c:extLst>
        </c:ser>
        <c:ser>
          <c:idx val="1"/>
          <c:order val="1"/>
          <c:tx>
            <c:v>Scooters — ICE</c:v>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Segments'!$AH$127:$AQ$127</c:f>
              <c:numCache>
                <c:formatCode>#,##0;\(#,##0\);\-</c:formatCode>
                <c:ptCount val="10"/>
                <c:pt idx="0">
                  <c:v>6136.45</c:v>
                </c:pt>
                <c:pt idx="1">
                  <c:v>8031.3</c:v>
                </c:pt>
                <c:pt idx="2">
                  <c:v>9594</c:v>
                </c:pt>
                <c:pt idx="3">
                  <c:v>11251.8</c:v>
                </c:pt>
                <c:pt idx="4">
                  <c:v>13926</c:v>
                </c:pt>
                <c:pt idx="5">
                  <c:v>16221.004800000001</c:v>
                </c:pt>
                <c:pt idx="6">
                  <c:v>18299.72656512</c:v>
                </c:pt>
                <c:pt idx="7">
                  <c:v>20168.128647418751</c:v>
                </c:pt>
                <c:pt idx="8">
                  <c:v>21811.831132183379</c:v>
                </c:pt>
                <c:pt idx="9">
                  <c:v>23364.833508794836</c:v>
                </c:pt>
              </c:numCache>
            </c:numRef>
          </c:val>
          <c:extLst>
            <c:ext xmlns:c16="http://schemas.microsoft.com/office/drawing/2014/chart" uri="{C3380CC4-5D6E-409C-BE32-E72D297353CC}">
              <c16:uniqueId val="{00000001-EA3E-43B6-9A9D-534EA88EBEE2}"/>
            </c:ext>
          </c:extLst>
        </c:ser>
        <c:ser>
          <c:idx val="2"/>
          <c:order val="2"/>
          <c:tx>
            <c:v>Electric 2W</c:v>
          </c:tx>
          <c:spPr>
            <a:solidFill>
              <a:srgbClr val="4F8F5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Segments'!$AH$128:$AQ$128</c:f>
              <c:numCache>
                <c:formatCode>#,##0;\(#,##0\);\-</c:formatCode>
                <c:ptCount val="10"/>
                <c:pt idx="0">
                  <c:v>152</c:v>
                </c:pt>
                <c:pt idx="1">
                  <c:v>939.3</c:v>
                </c:pt>
                <c:pt idx="2">
                  <c:v>1905.5</c:v>
                </c:pt>
                <c:pt idx="3">
                  <c:v>2891.2</c:v>
                </c:pt>
                <c:pt idx="4">
                  <c:v>3885</c:v>
                </c:pt>
                <c:pt idx="5">
                  <c:v>6472.41</c:v>
                </c:pt>
                <c:pt idx="6">
                  <c:v>9244.2195824999999</c:v>
                </c:pt>
                <c:pt idx="7">
                  <c:v>12080.346150411</c:v>
                </c:pt>
                <c:pt idx="8">
                  <c:v>15100.432688013749</c:v>
                </c:pt>
                <c:pt idx="9">
                  <c:v>18301.724417872665</c:v>
                </c:pt>
              </c:numCache>
            </c:numRef>
          </c:val>
          <c:extLst>
            <c:ext xmlns:c16="http://schemas.microsoft.com/office/drawing/2014/chart" uri="{C3380CC4-5D6E-409C-BE32-E72D297353CC}">
              <c16:uniqueId val="{00000002-EA3E-43B6-9A9D-534EA88EBEE2}"/>
            </c:ext>
          </c:extLst>
        </c:ser>
        <c:ser>
          <c:idx val="3"/>
          <c:order val="3"/>
          <c:tx>
            <c:v>Mopeds</c:v>
          </c:tx>
          <c:spPr>
            <a:solidFill>
              <a:srgbClr val="C9A22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Segments'!$AH$129:$AQ$129</c:f>
              <c:numCache>
                <c:formatCode>#,##0;\(#,##0\);\-</c:formatCode>
                <c:ptCount val="10"/>
                <c:pt idx="0">
                  <c:v>1326.5</c:v>
                </c:pt>
                <c:pt idx="1">
                  <c:v>1387.5</c:v>
                </c:pt>
                <c:pt idx="2">
                  <c:v>1271.9000000000001</c:v>
                </c:pt>
                <c:pt idx="3">
                  <c:v>1360</c:v>
                </c:pt>
                <c:pt idx="4">
                  <c:v>2268</c:v>
                </c:pt>
                <c:pt idx="5">
                  <c:v>2382.7608</c:v>
                </c:pt>
                <c:pt idx="6">
                  <c:v>2478.7860602400001</c:v>
                </c:pt>
                <c:pt idx="7">
                  <c:v>2578.6811384676726</c:v>
                </c:pt>
                <c:pt idx="8">
                  <c:v>2656.0415726217025</c:v>
                </c:pt>
                <c:pt idx="9">
                  <c:v>2735.7228198003536</c:v>
                </c:pt>
              </c:numCache>
            </c:numRef>
          </c:val>
          <c:extLst>
            <c:ext xmlns:c16="http://schemas.microsoft.com/office/drawing/2014/chart" uri="{C3380CC4-5D6E-409C-BE32-E72D297353CC}">
              <c16:uniqueId val="{00000003-EA3E-43B6-9A9D-534EA88EBEE2}"/>
            </c:ext>
          </c:extLst>
        </c:ser>
        <c:ser>
          <c:idx val="4"/>
          <c:order val="4"/>
          <c:tx>
            <c:v>Three-wheelers</c:v>
          </c:tx>
          <c:spPr>
            <a:solidFill>
              <a:srgbClr val="BE6E2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Segments'!$AH$130:$AQ$130</c:f>
              <c:numCache>
                <c:formatCode>#,##0;\(#,##0\);\-</c:formatCode>
                <c:ptCount val="10"/>
                <c:pt idx="0">
                  <c:v>2257.8000000000002</c:v>
                </c:pt>
                <c:pt idx="1">
                  <c:v>2584</c:v>
                </c:pt>
                <c:pt idx="2">
                  <c:v>2706</c:v>
                </c:pt>
                <c:pt idx="3">
                  <c:v>2268</c:v>
                </c:pt>
                <c:pt idx="4">
                  <c:v>3832.5</c:v>
                </c:pt>
                <c:pt idx="5">
                  <c:v>5131.7174999999997</c:v>
                </c:pt>
                <c:pt idx="6">
                  <c:v>6342.8028299999996</c:v>
                </c:pt>
                <c:pt idx="7">
                  <c:v>7513.0499521349993</c:v>
                </c:pt>
                <c:pt idx="8">
                  <c:v>8667.0544247829348</c:v>
                </c:pt>
                <c:pt idx="9">
                  <c:v>9819.7726632790673</c:v>
                </c:pt>
              </c:numCache>
            </c:numRef>
          </c:val>
          <c:extLst>
            <c:ext xmlns:c16="http://schemas.microsoft.com/office/drawing/2014/chart" uri="{C3380CC4-5D6E-409C-BE32-E72D297353CC}">
              <c16:uniqueId val="{00000004-EA3E-43B6-9A9D-534EA88EBEE2}"/>
            </c:ext>
          </c:extLst>
        </c:ser>
        <c:dLbls>
          <c:showLegendKey val="0"/>
          <c:showVal val="0"/>
          <c:showCatName val="0"/>
          <c:showSerName val="0"/>
          <c:showPercent val="0"/>
          <c:showBubbleSize val="0"/>
        </c:dLbls>
        <c:gapWidth val="70"/>
        <c:overlap val="100"/>
        <c:axId val="86594267"/>
        <c:axId val="75797783"/>
      </c:barChart>
      <c:catAx>
        <c:axId val="86594267"/>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797783"/>
        <c:crosses val="autoZero"/>
        <c:auto val="1"/>
        <c:lblAlgn val="ctr"/>
        <c:lblOffset val="100"/>
        <c:noMultiLvlLbl val="0"/>
      </c:catAx>
      <c:valAx>
        <c:axId val="75797783"/>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659426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Domestic vs export revenue, and export share of volume</a:t>
            </a:r>
          </a:p>
        </c:rich>
      </c:tx>
      <c:overlay val="0"/>
      <c:spPr>
        <a:noFill/>
        <a:ln w="0">
          <a:noFill/>
        </a:ln>
      </c:spPr>
    </c:title>
    <c:autoTitleDeleted val="0"/>
    <c:plotArea>
      <c:layout/>
      <c:barChart>
        <c:barDir val="col"/>
        <c:grouping val="stacked"/>
        <c:varyColors val="0"/>
        <c:ser>
          <c:idx val="0"/>
          <c:order val="0"/>
          <c:tx>
            <c:v>Domestic revenue</c:v>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Segments'!$AH$133:$AQ$133</c:f>
              <c:numCache>
                <c:formatCode>#,##0;\(#,##0\);\-</c:formatCode>
                <c:ptCount val="10"/>
                <c:pt idx="0">
                  <c:v>12590.683695652175</c:v>
                </c:pt>
                <c:pt idx="1">
                  <c:v>17993.805101509628</c:v>
                </c:pt>
                <c:pt idx="2">
                  <c:v>22556.146839971381</c:v>
                </c:pt>
                <c:pt idx="3">
                  <c:v>24594.068771079255</c:v>
                </c:pt>
                <c:pt idx="4">
                  <c:v>31420.51553744269</c:v>
                </c:pt>
                <c:pt idx="5">
                  <c:v>38179.373446500002</c:v>
                </c:pt>
                <c:pt idx="6">
                  <c:v>44516.525040582012</c:v>
                </c:pt>
                <c:pt idx="7">
                  <c:v>50695.468913869656</c:v>
                </c:pt>
                <c:pt idx="8">
                  <c:v>56982.876901555406</c:v>
                </c:pt>
                <c:pt idx="9">
                  <c:v>63309.294563265699</c:v>
                </c:pt>
              </c:numCache>
            </c:numRef>
          </c:val>
          <c:extLst>
            <c:ext xmlns:c16="http://schemas.microsoft.com/office/drawing/2014/chart" uri="{C3380CC4-5D6E-409C-BE32-E72D297353CC}">
              <c16:uniqueId val="{00000000-2276-4387-BABF-4936CC3ADEC3}"/>
            </c:ext>
          </c:extLst>
        </c:ser>
        <c:ser>
          <c:idx val="1"/>
          <c:order val="1"/>
          <c:tx>
            <c:v>Export revenue</c:v>
          </c:tx>
          <c:spPr>
            <a:solidFill>
              <a:srgbClr val="BE6E2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Segments'!$AH$134:$AQ$134</c:f>
              <c:numCache>
                <c:formatCode>#,##0;\(#,##0\);\-</c:formatCode>
                <c:ptCount val="10"/>
                <c:pt idx="0">
                  <c:v>6092.266304347826</c:v>
                </c:pt>
                <c:pt idx="1">
                  <c:v>6077.2948984903696</c:v>
                </c:pt>
                <c:pt idx="2">
                  <c:v>6164.7531600286193</c:v>
                </c:pt>
                <c:pt idx="3">
                  <c:v>8281.1812289207428</c:v>
                </c:pt>
                <c:pt idx="4">
                  <c:v>11570.98446255731</c:v>
                </c:pt>
                <c:pt idx="5">
                  <c:v>15218.351653499996</c:v>
                </c:pt>
                <c:pt idx="6">
                  <c:v>19078.510731678001</c:v>
                </c:pt>
                <c:pt idx="7">
                  <c:v>22776.225164202307</c:v>
                </c:pt>
                <c:pt idx="8">
                  <c:v>26203.804706554678</c:v>
                </c:pt>
                <c:pt idx="9">
                  <c:v>29792.609206242683</c:v>
                </c:pt>
              </c:numCache>
            </c:numRef>
          </c:val>
          <c:extLst>
            <c:ext xmlns:c16="http://schemas.microsoft.com/office/drawing/2014/chart" uri="{C3380CC4-5D6E-409C-BE32-E72D297353CC}">
              <c16:uniqueId val="{00000001-2276-4387-BABF-4936CC3ADEC3}"/>
            </c:ext>
          </c:extLst>
        </c:ser>
        <c:dLbls>
          <c:showLegendKey val="0"/>
          <c:showVal val="0"/>
          <c:showCatName val="0"/>
          <c:showSerName val="0"/>
          <c:showPercent val="0"/>
          <c:showBubbleSize val="0"/>
        </c:dLbls>
        <c:gapWidth val="70"/>
        <c:overlap val="100"/>
        <c:axId val="23787326"/>
        <c:axId val="21009927"/>
      </c:barChart>
      <c:lineChart>
        <c:grouping val="stacked"/>
        <c:varyColors val="0"/>
        <c:ser>
          <c:idx val="2"/>
          <c:order val="2"/>
          <c:tx>
            <c:v>Export share of volume</c:v>
          </c:tx>
          <c:spPr>
            <a:ln w="21960">
              <a:solidFill>
                <a:srgbClr val="4F8F5B"/>
              </a:solidFill>
              <a:round/>
            </a:ln>
          </c:spPr>
          <c:marker>
            <c:symbol val="circle"/>
            <c:size val="6"/>
            <c:spPr>
              <a:solidFill>
                <a:srgbClr val="4F8F5B"/>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Segments'!$AH$135:$AQ$135</c:f>
              <c:numCache>
                <c:formatCode>0.0%;\(0.0%\);\-</c:formatCode>
                <c:ptCount val="10"/>
                <c:pt idx="0">
                  <c:v>0.32608695652173914</c:v>
                </c:pt>
                <c:pt idx="1">
                  <c:v>0.25247267048412286</c:v>
                </c:pt>
                <c:pt idx="2">
                  <c:v>0.21464345337467208</c:v>
                </c:pt>
                <c:pt idx="3">
                  <c:v>0.25189713322091062</c:v>
                </c:pt>
                <c:pt idx="4">
                  <c:v>0.26914586517235523</c:v>
                </c:pt>
                <c:pt idx="5">
                  <c:v>0.28499999999999998</c:v>
                </c:pt>
                <c:pt idx="6">
                  <c:v>0.3</c:v>
                </c:pt>
                <c:pt idx="7">
                  <c:v>0.31</c:v>
                </c:pt>
                <c:pt idx="8">
                  <c:v>0.315</c:v>
                </c:pt>
                <c:pt idx="9">
                  <c:v>0.32</c:v>
                </c:pt>
              </c:numCache>
            </c:numRef>
          </c:val>
          <c:smooth val="0"/>
          <c:extLst>
            <c:ext xmlns:c16="http://schemas.microsoft.com/office/drawing/2014/chart" uri="{C3380CC4-5D6E-409C-BE32-E72D297353CC}">
              <c16:uniqueId val="{00000002-2276-4387-BABF-4936CC3ADEC3}"/>
            </c:ext>
          </c:extLst>
        </c:ser>
        <c:dLbls>
          <c:showLegendKey val="0"/>
          <c:showVal val="0"/>
          <c:showCatName val="0"/>
          <c:showSerName val="0"/>
          <c:showPercent val="0"/>
          <c:showBubbleSize val="0"/>
        </c:dLbls>
        <c:hiLowLines>
          <c:spPr>
            <a:ln w="0">
              <a:noFill/>
            </a:ln>
          </c:spPr>
        </c:hiLowLines>
        <c:marker val="1"/>
        <c:smooth val="0"/>
        <c:axId val="61580782"/>
        <c:axId val="75305327"/>
      </c:lineChart>
      <c:catAx>
        <c:axId val="23787326"/>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1009927"/>
        <c:crosses val="autoZero"/>
        <c:auto val="1"/>
        <c:lblAlgn val="ctr"/>
        <c:lblOffset val="100"/>
        <c:noMultiLvlLbl val="0"/>
      </c:catAx>
      <c:valAx>
        <c:axId val="21009927"/>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787326"/>
        <c:crosses val="max"/>
        <c:crossBetween val="between"/>
      </c:valAx>
      <c:catAx>
        <c:axId val="61580782"/>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305327"/>
        <c:crosses val="autoZero"/>
        <c:auto val="1"/>
        <c:lblAlgn val="ctr"/>
        <c:lblOffset val="100"/>
        <c:noMultiLvlLbl val="0"/>
      </c:catAx>
      <c:valAx>
        <c:axId val="75305327"/>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58078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Volume and blended realisation</a:t>
            </a:r>
          </a:p>
        </c:rich>
      </c:tx>
      <c:overlay val="0"/>
      <c:spPr>
        <a:noFill/>
        <a:ln w="0">
          <a:noFill/>
        </a:ln>
      </c:spPr>
    </c:title>
    <c:autoTitleDeleted val="0"/>
    <c:plotArea>
      <c:layout/>
      <c:barChart>
        <c:barDir val="col"/>
        <c:grouping val="clustered"/>
        <c:varyColors val="0"/>
        <c:ser>
          <c:idx val="0"/>
          <c:order val="0"/>
          <c:tx>
            <c:v>Total volume (lakh units)</c:v>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Segments'!$AH$131:$AQ$131</c:f>
              <c:numCache>
                <c:formatCode>#,##0.0;\(#,##0.0\);\-</c:formatCode>
                <c:ptCount val="10"/>
                <c:pt idx="0">
                  <c:v>32.200000000000003</c:v>
                </c:pt>
                <c:pt idx="1">
                  <c:v>38.42</c:v>
                </c:pt>
                <c:pt idx="2">
                  <c:v>41.93</c:v>
                </c:pt>
                <c:pt idx="3">
                  <c:v>47.44</c:v>
                </c:pt>
                <c:pt idx="4">
                  <c:v>58.89</c:v>
                </c:pt>
                <c:pt idx="5">
                  <c:v>69.546999999999997</c:v>
                </c:pt>
                <c:pt idx="6">
                  <c:v>79.506659999999997</c:v>
                </c:pt>
                <c:pt idx="7">
                  <c:v>88.717690400000009</c:v>
                </c:pt>
                <c:pt idx="8">
                  <c:v>97.138233900000031</c:v>
                </c:pt>
                <c:pt idx="9">
                  <c:v>105.19605714480001</c:v>
                </c:pt>
              </c:numCache>
            </c:numRef>
          </c:val>
          <c:extLst>
            <c:ext xmlns:c16="http://schemas.microsoft.com/office/drawing/2014/chart" uri="{C3380CC4-5D6E-409C-BE32-E72D297353CC}">
              <c16:uniqueId val="{00000000-3264-47B2-8E67-B822E9C7FA85}"/>
            </c:ext>
          </c:extLst>
        </c:ser>
        <c:dLbls>
          <c:showLegendKey val="0"/>
          <c:showVal val="0"/>
          <c:showCatName val="0"/>
          <c:showSerName val="0"/>
          <c:showPercent val="0"/>
          <c:showBubbleSize val="0"/>
        </c:dLbls>
        <c:gapWidth val="70"/>
        <c:axId val="8831300"/>
        <c:axId val="49697070"/>
      </c:barChart>
      <c:lineChart>
        <c:grouping val="standard"/>
        <c:varyColors val="0"/>
        <c:ser>
          <c:idx val="1"/>
          <c:order val="1"/>
          <c:tx>
            <c:v>Blended realisation (₹/unit)</c:v>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Segments'!$AH$125:$AQ$125</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'Revenue Segments'!$AH$132:$AQ$132</c:f>
              <c:numCache>
                <c:formatCode>#,##0</c:formatCode>
                <c:ptCount val="10"/>
                <c:pt idx="0">
                  <c:v>58021.583850931675</c:v>
                </c:pt>
                <c:pt idx="1">
                  <c:v>62652.52472670484</c:v>
                </c:pt>
                <c:pt idx="2">
                  <c:v>68497.257333651331</c:v>
                </c:pt>
                <c:pt idx="3">
                  <c:v>69298.587689713328</c:v>
                </c:pt>
                <c:pt idx="4">
                  <c:v>73003.056546102904</c:v>
                </c:pt>
                <c:pt idx="5">
                  <c:v>76779.336419974978</c:v>
                </c:pt>
                <c:pt idx="6">
                  <c:v>79987.054886043523</c:v>
                </c:pt>
                <c:pt idx="7">
                  <c:v>82815.156421240594</c:v>
                </c:pt>
                <c:pt idx="8">
                  <c:v>85637.424388163665</c:v>
                </c:pt>
                <c:pt idx="9">
                  <c:v>88503.22559271942</c:v>
                </c:pt>
              </c:numCache>
            </c:numRef>
          </c:val>
          <c:smooth val="0"/>
          <c:extLst>
            <c:ext xmlns:c16="http://schemas.microsoft.com/office/drawing/2014/chart" uri="{C3380CC4-5D6E-409C-BE32-E72D297353CC}">
              <c16:uniqueId val="{00000001-3264-47B2-8E67-B822E9C7FA85}"/>
            </c:ext>
          </c:extLst>
        </c:ser>
        <c:dLbls>
          <c:showLegendKey val="0"/>
          <c:showVal val="0"/>
          <c:showCatName val="0"/>
          <c:showSerName val="0"/>
          <c:showPercent val="0"/>
          <c:showBubbleSize val="0"/>
        </c:dLbls>
        <c:hiLowLines>
          <c:spPr>
            <a:ln w="0">
              <a:noFill/>
            </a:ln>
          </c:spPr>
        </c:hiLowLines>
        <c:marker val="1"/>
        <c:smooth val="0"/>
        <c:axId val="34816"/>
        <c:axId val="12905551"/>
      </c:lineChart>
      <c:catAx>
        <c:axId val="8831300"/>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697070"/>
        <c:crosses val="autoZero"/>
        <c:auto val="1"/>
        <c:lblAlgn val="ctr"/>
        <c:lblOffset val="100"/>
        <c:noMultiLvlLbl val="0"/>
      </c:catAx>
      <c:valAx>
        <c:axId val="49697070"/>
        <c:scaling>
          <c:orientation val="minMax"/>
        </c:scaling>
        <c:delete val="0"/>
        <c:axPos val="r"/>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31300"/>
        <c:crosses val="max"/>
        <c:crossBetween val="between"/>
      </c:valAx>
      <c:catAx>
        <c:axId val="34816"/>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905551"/>
        <c:crosses val="autoZero"/>
        <c:auto val="1"/>
        <c:lblAlgn val="ctr"/>
        <c:lblOffset val="100"/>
        <c:noMultiLvlLbl val="0"/>
      </c:catAx>
      <c:valAx>
        <c:axId val="12905551"/>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81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Cost stack as a share of revenue</a:t>
            </a:r>
          </a:p>
        </c:rich>
      </c:tx>
      <c:overlay val="0"/>
      <c:spPr>
        <a:noFill/>
        <a:ln w="0">
          <a:noFill/>
        </a:ln>
      </c:spPr>
    </c:title>
    <c:autoTitleDeleted val="0"/>
    <c:plotArea>
      <c:layout/>
      <c:barChart>
        <c:barDir val="col"/>
        <c:grouping val="percentStacked"/>
        <c:varyColors val="0"/>
        <c:ser>
          <c:idx val="0"/>
          <c:order val="0"/>
          <c:tx>
            <c:strRef>
              <c:f>'Cost Structure &amp; Hedging'!$B$7</c:f>
              <c:strCache>
                <c:ptCount val="1"/>
                <c:pt idx="0">
                  <c:v>Raw material &amp; components consumed</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'Cost Structure &amp; Hedging'!$C$3:$L$3</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'Cost Structure &amp; Hedging'!$C$7:$L$7</c:f>
              <c:numCache>
                <c:formatCode>#,##0;\(#,##0\);\-</c:formatCode>
                <c:ptCount val="10"/>
                <c:pt idx="0">
                  <c:v>15489</c:v>
                </c:pt>
                <c:pt idx="1">
                  <c:v>19520</c:v>
                </c:pt>
                <c:pt idx="2">
                  <c:v>23165</c:v>
                </c:pt>
                <c:pt idx="3">
                  <c:v>26064</c:v>
                </c:pt>
                <c:pt idx="4">
                  <c:v>33845</c:v>
                </c:pt>
                <c:pt idx="5">
                  <c:v>41821.098298319994</c:v>
                </c:pt>
                <c:pt idx="6">
                  <c:v>49527.813859436086</c:v>
                </c:pt>
                <c:pt idx="7">
                  <c:v>56977.298757544799</c:v>
                </c:pt>
                <c:pt idx="8">
                  <c:v>64328.260887551522</c:v>
                </c:pt>
                <c:pt idx="9">
                  <c:v>71790.877996667914</c:v>
                </c:pt>
              </c:numCache>
            </c:numRef>
          </c:val>
          <c:extLst>
            <c:ext xmlns:c16="http://schemas.microsoft.com/office/drawing/2014/chart" uri="{C3380CC4-5D6E-409C-BE32-E72D297353CC}">
              <c16:uniqueId val="{00000000-7E01-42E0-ADE0-058EF8E47D7E}"/>
            </c:ext>
          </c:extLst>
        </c:ser>
        <c:ser>
          <c:idx val="1"/>
          <c:order val="1"/>
          <c:tx>
            <c:strRef>
              <c:f>'Cost Structure &amp; Hedging'!$B$9</c:f>
              <c:strCache>
                <c:ptCount val="1"/>
                <c:pt idx="0">
                  <c:v>Employee benefits expense</c:v>
                </c:pt>
              </c:strCache>
            </c:strRef>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'Cost Structure &amp; Hedging'!$C$3:$L$3</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'Cost Structure &amp; Hedging'!$C$9:$L$9</c:f>
              <c:numCache>
                <c:formatCode>#,##0;\(#,##0\);\-</c:formatCode>
                <c:ptCount val="10"/>
                <c:pt idx="0">
                  <c:v>1206</c:v>
                </c:pt>
                <c:pt idx="1">
                  <c:v>1451</c:v>
                </c:pt>
                <c:pt idx="2">
                  <c:v>1748</c:v>
                </c:pt>
                <c:pt idx="3">
                  <c:v>2030</c:v>
                </c:pt>
                <c:pt idx="4">
                  <c:v>2553</c:v>
                </c:pt>
                <c:pt idx="5">
                  <c:v>3171.82487094</c:v>
                </c:pt>
                <c:pt idx="6">
                  <c:v>3777.5451248722443</c:v>
                </c:pt>
                <c:pt idx="7">
                  <c:v>4364.2186282374741</c:v>
                </c:pt>
                <c:pt idx="8">
                  <c:v>4941.2888875217386</c:v>
                </c:pt>
                <c:pt idx="9">
                  <c:v>5530.2530839087976</c:v>
                </c:pt>
              </c:numCache>
            </c:numRef>
          </c:val>
          <c:extLst>
            <c:ext xmlns:c16="http://schemas.microsoft.com/office/drawing/2014/chart" uri="{C3380CC4-5D6E-409C-BE32-E72D297353CC}">
              <c16:uniqueId val="{00000001-7E01-42E0-ADE0-058EF8E47D7E}"/>
            </c:ext>
          </c:extLst>
        </c:ser>
        <c:ser>
          <c:idx val="2"/>
          <c:order val="2"/>
          <c:tx>
            <c:strRef>
              <c:f>'Cost Structure &amp; Hedging'!$B$11</c:f>
              <c:strCache>
                <c:ptCount val="1"/>
                <c:pt idx="0">
                  <c:v>Other expenses</c:v>
                </c:pt>
              </c:strCache>
            </c:strRef>
          </c:tx>
          <c:spPr>
            <a:solidFill>
              <a:srgbClr val="8CBAC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'Cost Structure &amp; Hedging'!$C$3:$L$3</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'Cost Structure &amp; Hedging'!$C$11:$L$11</c:f>
              <c:numCache>
                <c:formatCode>#,##0;\(#,##0\);\-</c:formatCode>
                <c:ptCount val="10"/>
                <c:pt idx="0">
                  <c:v>2134</c:v>
                </c:pt>
                <c:pt idx="1">
                  <c:v>2732</c:v>
                </c:pt>
                <c:pt idx="2">
                  <c:v>3350</c:v>
                </c:pt>
                <c:pt idx="3">
                  <c:v>3694</c:v>
                </c:pt>
                <c:pt idx="4">
                  <c:v>4793</c:v>
                </c:pt>
                <c:pt idx="5">
                  <c:v>5873.749761</c:v>
                </c:pt>
                <c:pt idx="6">
                  <c:v>6995.4539349486004</c:v>
                </c:pt>
                <c:pt idx="7">
                  <c:v>8081.8863485879156</c:v>
                </c:pt>
                <c:pt idx="8">
                  <c:v>9150.5349768921096</c:v>
                </c:pt>
                <c:pt idx="9">
                  <c:v>10241.209414645922</c:v>
                </c:pt>
              </c:numCache>
            </c:numRef>
          </c:val>
          <c:extLst>
            <c:ext xmlns:c16="http://schemas.microsoft.com/office/drawing/2014/chart" uri="{C3380CC4-5D6E-409C-BE32-E72D297353CC}">
              <c16:uniqueId val="{00000002-7E01-42E0-ADE0-058EF8E47D7E}"/>
            </c:ext>
          </c:extLst>
        </c:ser>
        <c:ser>
          <c:idx val="3"/>
          <c:order val="3"/>
          <c:tx>
            <c:strRef>
              <c:f>'Cost Structure &amp; Hedging'!$B$15</c:f>
              <c:strCache>
                <c:ptCount val="1"/>
                <c:pt idx="0">
                  <c:v>EBITDA</c:v>
                </c:pt>
              </c:strCache>
            </c:strRef>
          </c:tx>
          <c:spPr>
            <a:solidFill>
              <a:srgbClr val="4F8F5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'Cost Structure &amp; Hedging'!$C$3:$L$3</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'Cost Structure &amp; Hedging'!$C$15:$L$15</c:f>
              <c:numCache>
                <c:formatCode>#,##0;\(#,##0\);\-</c:formatCode>
                <c:ptCount val="10"/>
                <c:pt idx="0">
                  <c:v>1962</c:v>
                </c:pt>
                <c:pt idx="1">
                  <c:v>2675</c:v>
                </c:pt>
                <c:pt idx="2">
                  <c:v>3513</c:v>
                </c:pt>
                <c:pt idx="3">
                  <c:v>4463</c:v>
                </c:pt>
                <c:pt idx="4">
                  <c:v>6079</c:v>
                </c:pt>
                <c:pt idx="5">
                  <c:v>7870.8246797400061</c:v>
                </c:pt>
                <c:pt idx="6">
                  <c:v>9653.7264302290714</c:v>
                </c:pt>
                <c:pt idx="7">
                  <c:v>11395.459751508955</c:v>
                </c:pt>
                <c:pt idx="8">
                  <c:v>13085.265016955716</c:v>
                </c:pt>
                <c:pt idx="9">
                  <c:v>14849.753651236577</c:v>
                </c:pt>
              </c:numCache>
            </c:numRef>
          </c:val>
          <c:extLst>
            <c:ext xmlns:c16="http://schemas.microsoft.com/office/drawing/2014/chart" uri="{C3380CC4-5D6E-409C-BE32-E72D297353CC}">
              <c16:uniqueId val="{00000003-7E01-42E0-ADE0-058EF8E47D7E}"/>
            </c:ext>
          </c:extLst>
        </c:ser>
        <c:dLbls>
          <c:showLegendKey val="0"/>
          <c:showVal val="0"/>
          <c:showCatName val="0"/>
          <c:showSerName val="0"/>
          <c:showPercent val="0"/>
          <c:showBubbleSize val="0"/>
        </c:dLbls>
        <c:gapWidth val="60"/>
        <c:overlap val="100"/>
        <c:axId val="88591120"/>
        <c:axId val="30971521"/>
      </c:barChart>
      <c:catAx>
        <c:axId val="88591120"/>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971521"/>
        <c:crosses val="autoZero"/>
        <c:auto val="1"/>
        <c:lblAlgn val="ctr"/>
        <c:lblOffset val="100"/>
        <c:noMultiLvlLbl val="0"/>
      </c:catAx>
      <c:valAx>
        <c:axId val="3097152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59112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Raw-material basket — estimated weights</a:t>
            </a:r>
          </a:p>
        </c:rich>
      </c:tx>
      <c:overlay val="0"/>
      <c:spPr>
        <a:noFill/>
        <a:ln w="0">
          <a:noFill/>
        </a:ln>
      </c:spPr>
    </c:title>
    <c:autoTitleDeleted val="0"/>
    <c:plotArea>
      <c:layout/>
      <c:barChart>
        <c:barDir val="bar"/>
        <c:grouping val="clustered"/>
        <c:varyColors val="0"/>
        <c:ser>
          <c:idx val="0"/>
          <c:order val="0"/>
          <c:tx>
            <c:strRef>
              <c:f>'Cost Structure &amp; Hedging'!$C$29</c:f>
              <c:strCache>
                <c:ptCount val="1"/>
                <c:pt idx="0">
                  <c:v>% of RM basket</c:v>
                </c:pt>
              </c:strCache>
            </c:strRef>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'Cost Structure &amp; Hedging'!$B$30:$B$37</c:f>
              <c:strCache>
                <c:ptCount val="8"/>
                <c:pt idx="0">
                  <c:v>Steel — flat, long and tubes</c:v>
                </c:pt>
                <c:pt idx="1">
                  <c:v>Aluminium, castings and forgings</c:v>
                </c:pt>
                <c:pt idx="2">
                  <c:v>Plastics, polymers and paints</c:v>
                </c:pt>
                <c:pt idx="3">
                  <c:v>Rubber, tyres and tubes</c:v>
                </c:pt>
                <c:pt idx="4">
                  <c:v>Electricals, electronics and semiconductors</c:v>
                </c:pt>
                <c:pt idx="5">
                  <c:v>Li-ion cells and EV powertrain</c:v>
                </c:pt>
                <c:pt idx="6">
                  <c:v>Precious metals — Pt / Pd / Rh (catalysts)</c:v>
                </c:pt>
                <c:pt idx="7">
                  <c:v>Other bought-outs, fasteners, packaging, freight-in</c:v>
                </c:pt>
              </c:strCache>
            </c:strRef>
          </c:cat>
          <c:val>
            <c:numRef>
              <c:f>'Cost Structure &amp; Hedging'!$C$30:$C$37</c:f>
              <c:numCache>
                <c:formatCode>0.0%;\(0.0%\);\-</c:formatCode>
                <c:ptCount val="8"/>
                <c:pt idx="0">
                  <c:v>0.255</c:v>
                </c:pt>
                <c:pt idx="1">
                  <c:v>0.14499999999999999</c:v>
                </c:pt>
                <c:pt idx="2">
                  <c:v>0.115</c:v>
                </c:pt>
                <c:pt idx="3">
                  <c:v>7.4999999999999997E-2</c:v>
                </c:pt>
                <c:pt idx="4">
                  <c:v>0.13</c:v>
                </c:pt>
                <c:pt idx="5">
                  <c:v>9.5000000000000001E-2</c:v>
                </c:pt>
                <c:pt idx="6">
                  <c:v>0.03</c:v>
                </c:pt>
                <c:pt idx="7">
                  <c:v>0.155</c:v>
                </c:pt>
              </c:numCache>
            </c:numRef>
          </c:val>
          <c:extLst>
            <c:ext xmlns:c16="http://schemas.microsoft.com/office/drawing/2014/chart" uri="{C3380CC4-5D6E-409C-BE32-E72D297353CC}">
              <c16:uniqueId val="{00000000-A05E-4479-8504-77467108B883}"/>
            </c:ext>
          </c:extLst>
        </c:ser>
        <c:dLbls>
          <c:showLegendKey val="0"/>
          <c:showVal val="0"/>
          <c:showCatName val="0"/>
          <c:showSerName val="0"/>
          <c:showPercent val="0"/>
          <c:showBubbleSize val="0"/>
        </c:dLbls>
        <c:gapWidth val="70"/>
        <c:axId val="22523179"/>
        <c:axId val="49725907"/>
      </c:barChart>
      <c:catAx>
        <c:axId val="22523179"/>
        <c:scaling>
          <c:orientation val="minMax"/>
        </c:scaling>
        <c:delete val="0"/>
        <c:axPos val="l"/>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725907"/>
        <c:crosses val="autoZero"/>
        <c:auto val="1"/>
        <c:lblAlgn val="ctr"/>
        <c:lblOffset val="100"/>
        <c:noMultiLvlLbl val="0"/>
      </c:catAx>
      <c:valAx>
        <c:axId val="49725907"/>
        <c:scaling>
          <c:orientation val="minMax"/>
        </c:scaling>
        <c:delete val="0"/>
        <c:axPos val="b"/>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52317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Per-vehicle economics (₹)</a:t>
            </a:r>
          </a:p>
        </c:rich>
      </c:tx>
      <c:overlay val="0"/>
      <c:spPr>
        <a:noFill/>
        <a:ln w="0">
          <a:noFill/>
        </a:ln>
      </c:spPr>
    </c:title>
    <c:autoTitleDeleted val="0"/>
    <c:plotArea>
      <c:layout/>
      <c:barChart>
        <c:barDir val="col"/>
        <c:grouping val="clustered"/>
        <c:varyColors val="0"/>
        <c:ser>
          <c:idx val="0"/>
          <c:order val="0"/>
          <c:tx>
            <c:strRef>
              <c:f>'Cost Structure &amp; Hedging'!$B$22</c:f>
              <c:strCache>
                <c:ptCount val="1"/>
                <c:pt idx="0">
                  <c:v>Contribution per vehicle</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'Cost Structure &amp; Hedging'!$C$3:$L$3</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'Cost Structure &amp; Hedging'!$C$22:$L$22</c:f>
              <c:numCache>
                <c:formatCode>#,##0</c:formatCode>
                <c:ptCount val="10"/>
                <c:pt idx="0">
                  <c:v>16465.838509316767</c:v>
                </c:pt>
                <c:pt idx="1">
                  <c:v>17850.078084331079</c:v>
                </c:pt>
                <c:pt idx="2">
                  <c:v>20536.60863343667</c:v>
                </c:pt>
                <c:pt idx="3">
                  <c:v>21473.44013490725</c:v>
                </c:pt>
                <c:pt idx="4">
                  <c:v>22796.739684156906</c:v>
                </c:pt>
                <c:pt idx="5">
                  <c:v>24323.693777848079</c:v>
                </c:pt>
                <c:pt idx="6">
                  <c:v>25691.842029397179</c:v>
                </c:pt>
                <c:pt idx="7">
                  <c:v>26873.518258692573</c:v>
                </c:pt>
                <c:pt idx="8">
                  <c:v>27977.746547613075</c:v>
                </c:pt>
                <c:pt idx="9">
                  <c:v>29108.710897445402</c:v>
                </c:pt>
              </c:numCache>
            </c:numRef>
          </c:val>
          <c:extLst>
            <c:ext xmlns:c16="http://schemas.microsoft.com/office/drawing/2014/chart" uri="{C3380CC4-5D6E-409C-BE32-E72D297353CC}">
              <c16:uniqueId val="{00000000-125D-4C89-8900-14BB852E9FE0}"/>
            </c:ext>
          </c:extLst>
        </c:ser>
        <c:dLbls>
          <c:showLegendKey val="0"/>
          <c:showVal val="0"/>
          <c:showCatName val="0"/>
          <c:showSerName val="0"/>
          <c:showPercent val="0"/>
          <c:showBubbleSize val="0"/>
        </c:dLbls>
        <c:gapWidth val="70"/>
        <c:axId val="62015133"/>
        <c:axId val="52941474"/>
      </c:barChart>
      <c:lineChart>
        <c:grouping val="standard"/>
        <c:varyColors val="0"/>
        <c:ser>
          <c:idx val="1"/>
          <c:order val="1"/>
          <c:tx>
            <c:strRef>
              <c:f>'Cost Structure &amp; Hedging'!$B$25</c:f>
              <c:strCache>
                <c:ptCount val="1"/>
                <c:pt idx="0">
                  <c:v>EBITDA per vehicle</c:v>
                </c:pt>
              </c:strCache>
            </c:strRef>
          </c:tx>
          <c:spPr>
            <a:ln w="21960">
              <a:solidFill>
                <a:srgbClr val="BE6E2E"/>
              </a:solidFill>
              <a:round/>
            </a:ln>
          </c:spPr>
          <c:marker>
            <c:symbol val="circle"/>
            <c:size val="6"/>
            <c:spPr>
              <a:solidFill>
                <a:srgbClr val="BE6E2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'Cost Structure &amp; Hedging'!$C$3:$L$3</c:f>
              <c:strCache>
                <c:ptCount val="10"/>
                <c:pt idx="0">
                  <c:v>FY2022</c:v>
                </c:pt>
                <c:pt idx="1">
                  <c:v>FY2023</c:v>
                </c:pt>
                <c:pt idx="2">
                  <c:v>FY2024</c:v>
                </c:pt>
                <c:pt idx="3">
                  <c:v>FY2025</c:v>
                </c:pt>
                <c:pt idx="4">
                  <c:v>FY2026</c:v>
                </c:pt>
                <c:pt idx="5">
                  <c:v>FY2027E</c:v>
                </c:pt>
                <c:pt idx="6">
                  <c:v>FY2028E</c:v>
                </c:pt>
                <c:pt idx="7">
                  <c:v>FY2029E</c:v>
                </c:pt>
                <c:pt idx="8">
                  <c:v>FY2030E</c:v>
                </c:pt>
                <c:pt idx="9">
                  <c:v>FY2031E</c:v>
                </c:pt>
              </c:strCache>
            </c:strRef>
          </c:cat>
          <c:val>
            <c:numRef>
              <c:f>'Cost Structure &amp; Hedging'!$C$25:$L$25</c:f>
              <c:numCache>
                <c:formatCode>#,##0</c:formatCode>
                <c:ptCount val="10"/>
                <c:pt idx="0">
                  <c:v>6093.1677018633536</c:v>
                </c:pt>
                <c:pt idx="1">
                  <c:v>6962.5195210827696</c:v>
                </c:pt>
                <c:pt idx="2">
                  <c:v>8378.2494633913666</c:v>
                </c:pt>
                <c:pt idx="3">
                  <c:v>9407.6728499156834</c:v>
                </c:pt>
                <c:pt idx="4">
                  <c:v>10322.635421973171</c:v>
                </c:pt>
                <c:pt idx="5">
                  <c:v>11317.27418830432</c:v>
                </c:pt>
                <c:pt idx="6">
                  <c:v>12142.034931701408</c:v>
                </c:pt>
                <c:pt idx="7">
                  <c:v>12844.630760934409</c:v>
                </c:pt>
                <c:pt idx="8">
                  <c:v>13470.766856258144</c:v>
                </c:pt>
                <c:pt idx="9">
                  <c:v>14116.264482038738</c:v>
                </c:pt>
              </c:numCache>
            </c:numRef>
          </c:val>
          <c:smooth val="0"/>
          <c:extLst>
            <c:ext xmlns:c16="http://schemas.microsoft.com/office/drawing/2014/chart" uri="{C3380CC4-5D6E-409C-BE32-E72D297353CC}">
              <c16:uniqueId val="{00000001-125D-4C89-8900-14BB852E9FE0}"/>
            </c:ext>
          </c:extLst>
        </c:ser>
        <c:dLbls>
          <c:showLegendKey val="0"/>
          <c:showVal val="0"/>
          <c:showCatName val="0"/>
          <c:showSerName val="0"/>
          <c:showPercent val="0"/>
          <c:showBubbleSize val="0"/>
        </c:dLbls>
        <c:hiLowLines>
          <c:spPr>
            <a:ln w="0">
              <a:noFill/>
            </a:ln>
          </c:spPr>
        </c:hiLowLines>
        <c:marker val="1"/>
        <c:smooth val="0"/>
        <c:axId val="41355926"/>
        <c:axId val="23249010"/>
      </c:lineChart>
      <c:catAx>
        <c:axId val="62015133"/>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2941474"/>
        <c:crosses val="autoZero"/>
        <c:auto val="1"/>
        <c:lblAlgn val="ctr"/>
        <c:lblOffset val="100"/>
        <c:noMultiLvlLbl val="0"/>
      </c:catAx>
      <c:valAx>
        <c:axId val="52941474"/>
        <c:scaling>
          <c:orientation val="minMax"/>
        </c:scaling>
        <c:delete val="0"/>
        <c:axPos val="r"/>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2015133"/>
        <c:crosses val="max"/>
        <c:crossBetween val="between"/>
      </c:valAx>
      <c:catAx>
        <c:axId val="41355926"/>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249010"/>
        <c:crosses val="autoZero"/>
        <c:auto val="1"/>
        <c:lblAlgn val="ctr"/>
        <c:lblOffset val="100"/>
        <c:noMultiLvlLbl val="0"/>
      </c:catAx>
      <c:valAx>
        <c:axId val="23249010"/>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35592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±10% commodity move — impact on FY2027E EBITDA (₹ cr)</a:t>
            </a:r>
          </a:p>
        </c:rich>
      </c:tx>
      <c:overlay val="0"/>
      <c:spPr>
        <a:noFill/>
        <a:ln w="0">
          <a:noFill/>
        </a:ln>
      </c:spPr>
    </c:title>
    <c:autoTitleDeleted val="0"/>
    <c:plotArea>
      <c:layout/>
      <c:barChart>
        <c:barDir val="bar"/>
        <c:grouping val="clustered"/>
        <c:varyColors val="0"/>
        <c:ser>
          <c:idx val="0"/>
          <c:order val="0"/>
          <c:tx>
            <c:strRef>
              <c:f>'Cost Structure &amp; Hedging'!$D$43</c:f>
              <c:strCache>
                <c:ptCount val="1"/>
                <c:pt idx="0">
                  <c:v>±10% price move → FY2027E EBITDA (₹ cr)</c:v>
                </c:pt>
              </c:strCache>
            </c:strRef>
          </c:tx>
          <c:spPr>
            <a:solidFill>
              <a:srgbClr val="BE6E2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'Cost Structure &amp; Hedging'!$B$44:$B$51</c:f>
              <c:strCache>
                <c:ptCount val="8"/>
                <c:pt idx="0">
                  <c:v>Steel — flat, long and tubes</c:v>
                </c:pt>
                <c:pt idx="1">
                  <c:v>Aluminium, castings and forgings</c:v>
                </c:pt>
                <c:pt idx="2">
                  <c:v>Plastics, polymers and paints</c:v>
                </c:pt>
                <c:pt idx="3">
                  <c:v>Rubber, tyres and tubes</c:v>
                </c:pt>
                <c:pt idx="4">
                  <c:v>Electricals, electronics and semiconductors</c:v>
                </c:pt>
                <c:pt idx="5">
                  <c:v>Li-ion cells and EV powertrain</c:v>
                </c:pt>
                <c:pt idx="6">
                  <c:v>Precious metals — Pt / Pd / Rh (catalysts)</c:v>
                </c:pt>
                <c:pt idx="7">
                  <c:v>Other bought-outs, fasteners, packaging, freight-in</c:v>
                </c:pt>
              </c:strCache>
            </c:strRef>
          </c:cat>
          <c:val>
            <c:numRef>
              <c:f>'Cost Structure &amp; Hedging'!$D$44:$D$51</c:f>
              <c:numCache>
                <c:formatCode>#,##0;\(#,##0\);\-</c:formatCode>
                <c:ptCount val="8"/>
                <c:pt idx="0">
                  <c:v>-1066.4380066071599</c:v>
                </c:pt>
                <c:pt idx="1">
                  <c:v>-606.40592532563994</c:v>
                </c:pt>
                <c:pt idx="2">
                  <c:v>-480.94263043067997</c:v>
                </c:pt>
                <c:pt idx="3">
                  <c:v>-313.65823723739999</c:v>
                </c:pt>
                <c:pt idx="4">
                  <c:v>-543.67427787815996</c:v>
                </c:pt>
                <c:pt idx="5">
                  <c:v>-397.30043383403995</c:v>
                </c:pt>
                <c:pt idx="6">
                  <c:v>-125.46329489495997</c:v>
                </c:pt>
                <c:pt idx="7">
                  <c:v>-648.22702362396001</c:v>
                </c:pt>
              </c:numCache>
            </c:numRef>
          </c:val>
          <c:extLst>
            <c:ext xmlns:c16="http://schemas.microsoft.com/office/drawing/2014/chart" uri="{C3380CC4-5D6E-409C-BE32-E72D297353CC}">
              <c16:uniqueId val="{00000000-1AEA-482C-B74B-82A1AC2791E0}"/>
            </c:ext>
          </c:extLst>
        </c:ser>
        <c:dLbls>
          <c:showLegendKey val="0"/>
          <c:showVal val="0"/>
          <c:showCatName val="0"/>
          <c:showSerName val="0"/>
          <c:showPercent val="0"/>
          <c:showBubbleSize val="0"/>
        </c:dLbls>
        <c:gapWidth val="70"/>
        <c:axId val="13017087"/>
        <c:axId val="48041909"/>
      </c:barChart>
      <c:catAx>
        <c:axId val="13017087"/>
        <c:scaling>
          <c:orientation val="minMax"/>
        </c:scaling>
        <c:delete val="0"/>
        <c:axPos val="l"/>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041909"/>
        <c:crosses val="autoZero"/>
        <c:auto val="1"/>
        <c:lblAlgn val="ctr"/>
        <c:lblOffset val="100"/>
        <c:noMultiLvlLbl val="0"/>
      </c:catAx>
      <c:valAx>
        <c:axId val="48041909"/>
        <c:scaling>
          <c:orientation val="minMax"/>
        </c:scaling>
        <c:delete val="0"/>
        <c:axPos val="b"/>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301708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FCFF and its present value (₹ cr)</a:t>
            </a:r>
          </a:p>
        </c:rich>
      </c:tx>
      <c:overlay val="0"/>
      <c:spPr>
        <a:noFill/>
        <a:ln w="0">
          <a:noFill/>
        </a:ln>
      </c:spPr>
    </c:title>
    <c:autoTitleDeleted val="0"/>
    <c:plotArea>
      <c:layout/>
      <c:barChart>
        <c:barDir val="col"/>
        <c:grouping val="clustered"/>
        <c:varyColors val="0"/>
        <c:ser>
          <c:idx val="0"/>
          <c:order val="0"/>
          <c:tx>
            <c:strRef>
              <c:f>'DCF - FCFF'!$B$103</c:f>
              <c:strCache>
                <c:ptCount val="1"/>
                <c:pt idx="0">
                  <c:v>FCFF (post-valuation-date)</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'DCF - FCFF'!$C$102:$G$102</c:f>
              <c:strCache>
                <c:ptCount val="5"/>
                <c:pt idx="0">
                  <c:v>FY2027E</c:v>
                </c:pt>
                <c:pt idx="1">
                  <c:v>FY2028E</c:v>
                </c:pt>
                <c:pt idx="2">
                  <c:v>FY2029E</c:v>
                </c:pt>
                <c:pt idx="3">
                  <c:v>FY2030E</c:v>
                </c:pt>
                <c:pt idx="4">
                  <c:v>FY2031E</c:v>
                </c:pt>
              </c:strCache>
            </c:strRef>
          </c:cat>
          <c:val>
            <c:numRef>
              <c:f>'DCF - FCFF'!$C$103:$G$103</c:f>
              <c:numCache>
                <c:formatCode>#,##0;\(#,##0\);\-</c:formatCode>
                <c:ptCount val="5"/>
                <c:pt idx="0">
                  <c:v>2991.7964368096136</c:v>
                </c:pt>
                <c:pt idx="1">
                  <c:v>5737.8423162884947</c:v>
                </c:pt>
                <c:pt idx="2">
                  <c:v>6786.8237685432723</c:v>
                </c:pt>
                <c:pt idx="3">
                  <c:v>7872.6282815693339</c:v>
                </c:pt>
                <c:pt idx="4">
                  <c:v>8971.7284730521806</c:v>
                </c:pt>
              </c:numCache>
            </c:numRef>
          </c:val>
          <c:extLst>
            <c:ext xmlns:c16="http://schemas.microsoft.com/office/drawing/2014/chart" uri="{C3380CC4-5D6E-409C-BE32-E72D297353CC}">
              <c16:uniqueId val="{00000000-729A-4275-90AE-4024EFEB6C73}"/>
            </c:ext>
          </c:extLst>
        </c:ser>
        <c:ser>
          <c:idx val="1"/>
          <c:order val="1"/>
          <c:tx>
            <c:strRef>
              <c:f>'DCF - FCFF'!$B$104</c:f>
              <c:strCache>
                <c:ptCount val="1"/>
                <c:pt idx="0">
                  <c:v>PV of FCFF</c:v>
                </c:pt>
              </c:strCache>
            </c:strRef>
          </c:tx>
          <c:spPr>
            <a:solidFill>
              <a:srgbClr val="8CBAC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'DCF - FCFF'!$C$102:$G$102</c:f>
              <c:strCache>
                <c:ptCount val="5"/>
                <c:pt idx="0">
                  <c:v>FY2027E</c:v>
                </c:pt>
                <c:pt idx="1">
                  <c:v>FY2028E</c:v>
                </c:pt>
                <c:pt idx="2">
                  <c:v>FY2029E</c:v>
                </c:pt>
                <c:pt idx="3">
                  <c:v>FY2030E</c:v>
                </c:pt>
                <c:pt idx="4">
                  <c:v>FY2031E</c:v>
                </c:pt>
              </c:strCache>
            </c:strRef>
          </c:cat>
          <c:val>
            <c:numRef>
              <c:f>'DCF - FCFF'!$C$104:$G$104</c:f>
              <c:numCache>
                <c:formatCode>#,##0;\(#,##0\);\-</c:formatCode>
                <c:ptCount val="5"/>
                <c:pt idx="0">
                  <c:v>2757.4590521728364</c:v>
                </c:pt>
                <c:pt idx="1">
                  <c:v>4647.3024418327605</c:v>
                </c:pt>
                <c:pt idx="2">
                  <c:v>4832.2293912112409</c:v>
                </c:pt>
                <c:pt idx="3">
                  <c:v>4927.5309303037129</c:v>
                </c:pt>
                <c:pt idx="4">
                  <c:v>4936.4458444745123</c:v>
                </c:pt>
              </c:numCache>
            </c:numRef>
          </c:val>
          <c:extLst>
            <c:ext xmlns:c16="http://schemas.microsoft.com/office/drawing/2014/chart" uri="{C3380CC4-5D6E-409C-BE32-E72D297353CC}">
              <c16:uniqueId val="{00000001-729A-4275-90AE-4024EFEB6C73}"/>
            </c:ext>
          </c:extLst>
        </c:ser>
        <c:dLbls>
          <c:showLegendKey val="0"/>
          <c:showVal val="0"/>
          <c:showCatName val="0"/>
          <c:showSerName val="0"/>
          <c:showPercent val="0"/>
          <c:showBubbleSize val="0"/>
        </c:dLbls>
        <c:gapWidth val="60"/>
        <c:axId val="24291025"/>
        <c:axId val="71373528"/>
      </c:barChart>
      <c:catAx>
        <c:axId val="24291025"/>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373528"/>
        <c:crosses val="autoZero"/>
        <c:auto val="1"/>
        <c:lblAlgn val="ctr"/>
        <c:lblOffset val="100"/>
        <c:noMultiLvlLbl val="0"/>
      </c:catAx>
      <c:valAx>
        <c:axId val="7137352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291025"/>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Valuation football field — ₹ per share</a:t>
            </a:r>
          </a:p>
        </c:rich>
      </c:tx>
      <c:overlay val="0"/>
      <c:spPr>
        <a:noFill/>
        <a:ln w="0">
          <a:noFill/>
        </a:ln>
      </c:spPr>
    </c:title>
    <c:autoTitleDeleted val="0"/>
    <c:plotArea>
      <c:layout/>
      <c:barChart>
        <c:barDir val="col"/>
        <c:grouping val="stacked"/>
        <c:varyColors val="0"/>
        <c:ser>
          <c:idx val="0"/>
          <c:order val="0"/>
          <c:tx>
            <c:strRef>
              <c:f>'SOTP &amp; Football Field'!$C$63</c:f>
              <c:strCache>
                <c:ptCount val="1"/>
                <c:pt idx="0">
                  <c:v>Base (hidden)</c:v>
                </c:pt>
              </c:strCache>
            </c:strRef>
          </c:tx>
          <c:spPr>
            <a:no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'SOTP &amp; Football Field'!$B$64:$B$70</c:f>
              <c:strCache>
                <c:ptCount val="7"/>
                <c:pt idx="0">
                  <c:v>DCF — FCFF</c:v>
                </c:pt>
                <c:pt idx="1">
                  <c:v>DCF — FCFE</c:v>
                </c:pt>
                <c:pt idx="2">
                  <c:v>EV/EBITDA</c:v>
                </c:pt>
                <c:pt idx="3">
                  <c:v>P/E</c:v>
                </c:pt>
                <c:pt idx="4">
                  <c:v>Precedent</c:v>
                </c:pt>
                <c:pt idx="5">
                  <c:v>Adjusted NAV</c:v>
                </c:pt>
                <c:pt idx="6">
                  <c:v>DDM</c:v>
                </c:pt>
              </c:strCache>
            </c:strRef>
          </c:cat>
          <c:val>
            <c:numRef>
              <c:f>'SOTP &amp; Football Field'!$C$64:$C$70</c:f>
              <c:numCache>
                <c:formatCode>#,##0;\(#,##0\);\-</c:formatCode>
                <c:ptCount val="7"/>
                <c:pt idx="0">
                  <c:v>1788.5054629254382</c:v>
                </c:pt>
                <c:pt idx="1">
                  <c:v>1818.923558156996</c:v>
                </c:pt>
                <c:pt idx="2">
                  <c:v>3082.524289621269</c:v>
                </c:pt>
                <c:pt idx="3">
                  <c:v>2376.354164193921</c:v>
                </c:pt>
                <c:pt idx="4">
                  <c:v>2099.520021152573</c:v>
                </c:pt>
                <c:pt idx="5">
                  <c:v>324.93154323865548</c:v>
                </c:pt>
                <c:pt idx="6">
                  <c:v>206.45731071019054</c:v>
                </c:pt>
              </c:numCache>
            </c:numRef>
          </c:val>
          <c:extLst>
            <c:ext xmlns:c16="http://schemas.microsoft.com/office/drawing/2014/chart" uri="{C3380CC4-5D6E-409C-BE32-E72D297353CC}">
              <c16:uniqueId val="{00000000-5783-4F83-8DA7-A9B001442AB5}"/>
            </c:ext>
          </c:extLst>
        </c:ser>
        <c:ser>
          <c:idx val="1"/>
          <c:order val="1"/>
          <c:tx>
            <c:strRef>
              <c:f>'SOTP &amp; Football Field'!$D$63</c:f>
              <c:strCache>
                <c:ptCount val="1"/>
                <c:pt idx="0">
                  <c:v>Range</c:v>
                </c:pt>
              </c:strCache>
            </c:strRef>
          </c:tx>
          <c:spPr>
            <a:solidFill>
              <a:srgbClr val="2E7D8C"/>
            </a:solidFill>
            <a:ln w="19080">
              <a:solidFill>
                <a:srgbClr val="113A4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'SOTP &amp; Football Field'!$B$64:$B$70</c:f>
              <c:strCache>
                <c:ptCount val="7"/>
                <c:pt idx="0">
                  <c:v>DCF — FCFF</c:v>
                </c:pt>
                <c:pt idx="1">
                  <c:v>DCF — FCFE</c:v>
                </c:pt>
                <c:pt idx="2">
                  <c:v>EV/EBITDA</c:v>
                </c:pt>
                <c:pt idx="3">
                  <c:v>P/E</c:v>
                </c:pt>
                <c:pt idx="4">
                  <c:v>Precedent</c:v>
                </c:pt>
                <c:pt idx="5">
                  <c:v>Adjusted NAV</c:v>
                </c:pt>
                <c:pt idx="6">
                  <c:v>DDM</c:v>
                </c:pt>
              </c:strCache>
            </c:strRef>
          </c:cat>
          <c:val>
            <c:numRef>
              <c:f>'SOTP &amp; Football Field'!$D$64:$D$70</c:f>
              <c:numCache>
                <c:formatCode>#,##0;\(#,##0\);\-</c:formatCode>
                <c:ptCount val="7"/>
                <c:pt idx="0">
                  <c:v>665.49040480946542</c:v>
                </c:pt>
                <c:pt idx="1">
                  <c:v>444.62575866059888</c:v>
                </c:pt>
                <c:pt idx="2">
                  <c:v>1269.2747074911108</c:v>
                </c:pt>
                <c:pt idx="3">
                  <c:v>978.49877349161443</c:v>
                </c:pt>
                <c:pt idx="4">
                  <c:v>87.083894040689756</c:v>
                </c:pt>
                <c:pt idx="5">
                  <c:v>90.258762010737598</c:v>
                </c:pt>
                <c:pt idx="6">
                  <c:v>72.867286133008406</c:v>
                </c:pt>
              </c:numCache>
            </c:numRef>
          </c:val>
          <c:extLst>
            <c:ext xmlns:c16="http://schemas.microsoft.com/office/drawing/2014/chart" uri="{C3380CC4-5D6E-409C-BE32-E72D297353CC}">
              <c16:uniqueId val="{00000001-5783-4F83-8DA7-A9B001442AB5}"/>
            </c:ext>
          </c:extLst>
        </c:ser>
        <c:dLbls>
          <c:showLegendKey val="0"/>
          <c:showVal val="0"/>
          <c:showCatName val="0"/>
          <c:showSerName val="0"/>
          <c:showPercent val="0"/>
          <c:showBubbleSize val="0"/>
        </c:dLbls>
        <c:gapWidth val="55"/>
        <c:overlap val="100"/>
        <c:axId val="76448612"/>
        <c:axId val="13225104"/>
      </c:barChart>
      <c:lineChart>
        <c:grouping val="stacked"/>
        <c:varyColors val="0"/>
        <c:ser>
          <c:idx val="2"/>
          <c:order val="2"/>
          <c:tx>
            <c:strRef>
              <c:f>'SOTP &amp; Football Field'!$E$63</c:f>
              <c:strCache>
                <c:ptCount val="1"/>
                <c:pt idx="0">
                  <c:v>Market price</c:v>
                </c:pt>
              </c:strCache>
            </c:strRef>
          </c:tx>
          <c:spPr>
            <a:ln w="24840">
              <a:solidFill>
                <a:srgbClr val="B03A2E"/>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'SOTP &amp; Football Field'!$B$64:$B$70</c:f>
              <c:strCache>
                <c:ptCount val="7"/>
                <c:pt idx="0">
                  <c:v>DCF — FCFF</c:v>
                </c:pt>
                <c:pt idx="1">
                  <c:v>DCF — FCFE</c:v>
                </c:pt>
                <c:pt idx="2">
                  <c:v>EV/EBITDA</c:v>
                </c:pt>
                <c:pt idx="3">
                  <c:v>P/E</c:v>
                </c:pt>
                <c:pt idx="4">
                  <c:v>Precedent</c:v>
                </c:pt>
                <c:pt idx="5">
                  <c:v>Adjusted NAV</c:v>
                </c:pt>
                <c:pt idx="6">
                  <c:v>DDM</c:v>
                </c:pt>
              </c:strCache>
            </c:strRef>
          </c:cat>
          <c:val>
            <c:numRef>
              <c:f>'SOTP &amp; Football Field'!$E$64:$E$70</c:f>
              <c:numCache>
                <c:formatCode>#,##0;\(#,##0\);\-</c:formatCode>
                <c:ptCount val="7"/>
                <c:pt idx="0">
                  <c:v>4343</c:v>
                </c:pt>
                <c:pt idx="1">
                  <c:v>4343</c:v>
                </c:pt>
                <c:pt idx="2">
                  <c:v>4343</c:v>
                </c:pt>
                <c:pt idx="3">
                  <c:v>4343</c:v>
                </c:pt>
                <c:pt idx="4">
                  <c:v>4343</c:v>
                </c:pt>
                <c:pt idx="5">
                  <c:v>4343</c:v>
                </c:pt>
                <c:pt idx="6">
                  <c:v>4343</c:v>
                </c:pt>
              </c:numCache>
            </c:numRef>
          </c:val>
          <c:smooth val="0"/>
          <c:extLst>
            <c:ext xmlns:c16="http://schemas.microsoft.com/office/drawing/2014/chart" uri="{C3380CC4-5D6E-409C-BE32-E72D297353CC}">
              <c16:uniqueId val="{00000002-5783-4F83-8DA7-A9B001442AB5}"/>
            </c:ext>
          </c:extLst>
        </c:ser>
        <c:ser>
          <c:idx val="3"/>
          <c:order val="3"/>
          <c:tx>
            <c:strRef>
              <c:f>'SOTP &amp; Football Field'!$F$63</c:f>
              <c:strCache>
                <c:ptCount val="1"/>
                <c:pt idx="0">
                  <c:v>Concluded value</c:v>
                </c:pt>
              </c:strCache>
            </c:strRef>
          </c:tx>
          <c:spPr>
            <a:ln w="24840">
              <a:solidFill>
                <a:srgbClr val="C9A227"/>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'SOTP &amp; Football Field'!$B$64:$B$70</c:f>
              <c:strCache>
                <c:ptCount val="7"/>
                <c:pt idx="0">
                  <c:v>DCF — FCFF</c:v>
                </c:pt>
                <c:pt idx="1">
                  <c:v>DCF — FCFE</c:v>
                </c:pt>
                <c:pt idx="2">
                  <c:v>EV/EBITDA</c:v>
                </c:pt>
                <c:pt idx="3">
                  <c:v>P/E</c:v>
                </c:pt>
                <c:pt idx="4">
                  <c:v>Precedent</c:v>
                </c:pt>
                <c:pt idx="5">
                  <c:v>Adjusted NAV</c:v>
                </c:pt>
                <c:pt idx="6">
                  <c:v>DDM</c:v>
                </c:pt>
              </c:strCache>
            </c:strRef>
          </c:cat>
          <c:val>
            <c:numRef>
              <c:f>'SOTP &amp; Football Field'!$F$64:$F$70</c:f>
              <c:numCache>
                <c:formatCode>#,##0;\(#,##0\);\-</c:formatCode>
                <c:ptCount val="7"/>
                <c:pt idx="0">
                  <c:v>2615.7926478206796</c:v>
                </c:pt>
                <c:pt idx="1">
                  <c:v>2615.7926478206796</c:v>
                </c:pt>
                <c:pt idx="2">
                  <c:v>2615.7926478206796</c:v>
                </c:pt>
                <c:pt idx="3">
                  <c:v>2615.7926478206796</c:v>
                </c:pt>
                <c:pt idx="4">
                  <c:v>2615.7926478206796</c:v>
                </c:pt>
                <c:pt idx="5">
                  <c:v>2615.7926478206796</c:v>
                </c:pt>
                <c:pt idx="6">
                  <c:v>2615.7926478206796</c:v>
                </c:pt>
              </c:numCache>
            </c:numRef>
          </c:val>
          <c:smooth val="0"/>
          <c:extLst>
            <c:ext xmlns:c16="http://schemas.microsoft.com/office/drawing/2014/chart" uri="{C3380CC4-5D6E-409C-BE32-E72D297353CC}">
              <c16:uniqueId val="{00000003-5783-4F83-8DA7-A9B001442AB5}"/>
            </c:ext>
          </c:extLst>
        </c:ser>
        <c:dLbls>
          <c:showLegendKey val="0"/>
          <c:showVal val="0"/>
          <c:showCatName val="0"/>
          <c:showSerName val="0"/>
          <c:showPercent val="0"/>
          <c:showBubbleSize val="0"/>
        </c:dLbls>
        <c:hiLowLines>
          <c:spPr>
            <a:ln w="0">
              <a:noFill/>
            </a:ln>
          </c:spPr>
        </c:hiLowLines>
        <c:marker val="1"/>
        <c:smooth val="0"/>
        <c:axId val="76448612"/>
        <c:axId val="13225104"/>
      </c:lineChart>
      <c:catAx>
        <c:axId val="76448612"/>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3225104"/>
        <c:crosses val="autoZero"/>
        <c:auto val="1"/>
        <c:lblAlgn val="ctr"/>
        <c:lblOffset val="100"/>
        <c:noMultiLvlLbl val="0"/>
      </c:catAx>
      <c:valAx>
        <c:axId val="1322510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44861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SOTP contribution by leg (₹ per share)</a:t>
            </a:r>
          </a:p>
        </c:rich>
      </c:tx>
      <c:overlay val="0"/>
      <c:spPr>
        <a:noFill/>
        <a:ln w="0">
          <a:noFill/>
        </a:ln>
      </c:spPr>
    </c:title>
    <c:autoTitleDeleted val="0"/>
    <c:plotArea>
      <c:layout/>
      <c:barChart>
        <c:barDir val="col"/>
        <c:grouping val="clustered"/>
        <c:varyColors val="0"/>
        <c:ser>
          <c:idx val="0"/>
          <c:order val="0"/>
          <c:tx>
            <c:strRef>
              <c:f>'SOTP &amp; Football Field'!$C$72</c:f>
              <c:strCache>
                <c:ptCount val="1"/>
                <c:pt idx="0">
                  <c:v>₹ per share</c:v>
                </c:pt>
              </c:strCache>
            </c:strRef>
          </c:tx>
          <c:spPr>
            <a:solidFill>
              <a:srgbClr val="113A44"/>
            </a:solidFill>
            <a:ln w="0">
              <a:noFill/>
            </a:ln>
          </c:spPr>
          <c:invertIfNegative val="0"/>
          <c:dPt>
            <c:idx val="0"/>
            <c:invertIfNegative val="0"/>
            <c:bubble3D val="0"/>
            <c:extLst>
              <c:ext xmlns:c16="http://schemas.microsoft.com/office/drawing/2014/chart" uri="{C3380CC4-5D6E-409C-BE32-E72D297353CC}">
                <c16:uniqueId val="{00000001-55FD-421A-A9D8-C5B60FA629B1}"/>
              </c:ext>
            </c:extLst>
          </c:dPt>
          <c:dPt>
            <c:idx val="1"/>
            <c:invertIfNegative val="0"/>
            <c:bubble3D val="0"/>
            <c:spPr>
              <a:solidFill>
                <a:srgbClr val="2E7D8C"/>
              </a:solidFill>
              <a:ln w="0">
                <a:noFill/>
              </a:ln>
            </c:spPr>
            <c:extLst>
              <c:ext xmlns:c16="http://schemas.microsoft.com/office/drawing/2014/chart" uri="{C3380CC4-5D6E-409C-BE32-E72D297353CC}">
                <c16:uniqueId val="{00000003-55FD-421A-A9D8-C5B60FA629B1}"/>
              </c:ext>
            </c:extLst>
          </c:dPt>
          <c:dPt>
            <c:idx val="2"/>
            <c:invertIfNegative val="0"/>
            <c:bubble3D val="0"/>
            <c:spPr>
              <a:solidFill>
                <a:srgbClr val="BE6E2E"/>
              </a:solidFill>
              <a:ln w="0">
                <a:noFill/>
              </a:ln>
            </c:spPr>
            <c:extLst>
              <c:ext xmlns:c16="http://schemas.microsoft.com/office/drawing/2014/chart" uri="{C3380CC4-5D6E-409C-BE32-E72D297353CC}">
                <c16:uniqueId val="{00000005-55FD-421A-A9D8-C5B60FA629B1}"/>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55FD-421A-A9D8-C5B60FA629B1}"/>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55FD-421A-A9D8-C5B60FA629B1}"/>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55FD-421A-A9D8-C5B60FA629B1}"/>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'SOTP &amp; Football Field'!$B$73:$B$75</c:f>
              <c:strCache>
                <c:ptCount val="3"/>
                <c:pt idx="0">
                  <c:v>Core automotive</c:v>
                </c:pt>
                <c:pt idx="1">
                  <c:v>TVS Credit (85.15%)</c:v>
                </c:pt>
                <c:pt idx="2">
                  <c:v>Other subsidiaries</c:v>
                </c:pt>
              </c:strCache>
            </c:strRef>
          </c:cat>
          <c:val>
            <c:numRef>
              <c:f>'SOTP &amp; Football Field'!$C$73:$C$75</c:f>
              <c:numCache>
                <c:formatCode>#,##0;\(#,##0\);\-</c:formatCode>
                <c:ptCount val="3"/>
                <c:pt idx="0">
                  <c:v>1774.9018489518817</c:v>
                </c:pt>
                <c:pt idx="1">
                  <c:v>226.87519365896179</c:v>
                </c:pt>
                <c:pt idx="2">
                  <c:v>77.880472418735934</c:v>
                </c:pt>
              </c:numCache>
            </c:numRef>
          </c:val>
          <c:extLst>
            <c:ext xmlns:c16="http://schemas.microsoft.com/office/drawing/2014/chart" uri="{C3380CC4-5D6E-409C-BE32-E72D297353CC}">
              <c16:uniqueId val="{00000006-55FD-421A-A9D8-C5B60FA629B1}"/>
            </c:ext>
          </c:extLst>
        </c:ser>
        <c:dLbls>
          <c:showLegendKey val="0"/>
          <c:showVal val="0"/>
          <c:showCatName val="0"/>
          <c:showSerName val="0"/>
          <c:showPercent val="0"/>
          <c:showBubbleSize val="0"/>
        </c:dLbls>
        <c:gapWidth val="90"/>
        <c:axId val="16486973"/>
        <c:axId val="45533710"/>
      </c:barChart>
      <c:catAx>
        <c:axId val="16486973"/>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5533710"/>
        <c:crosses val="autoZero"/>
        <c:auto val="1"/>
        <c:lblAlgn val="ctr"/>
        <c:lblOffset val="100"/>
        <c:noMultiLvlLbl val="0"/>
      </c:catAx>
      <c:valAx>
        <c:axId val="4553371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648697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Distribution of intrinsic value per share</a:t>
            </a:r>
          </a:p>
        </c:rich>
      </c:tx>
      <c:overlay val="0"/>
      <c:spPr>
        <a:noFill/>
        <a:ln w="0">
          <a:noFill/>
        </a:ln>
      </c:spPr>
    </c:title>
    <c:autoTitleDeleted val="0"/>
    <c:plotArea>
      <c:layout/>
      <c:barChart>
        <c:barDir val="col"/>
        <c:grouping val="clustered"/>
        <c:varyColors val="0"/>
        <c:ser>
          <c:idx val="0"/>
          <c:order val="0"/>
          <c:tx>
            <c:strRef>
              <c:f>'Monte Carlo'!$M$30</c:f>
              <c:strCache>
                <c:ptCount val="1"/>
                <c:pt idx="0">
                  <c:v>Frequency</c:v>
                </c:pt>
              </c:strCache>
            </c:strRef>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'Monte Carlo'!$L$31:$L$50</c:f>
              <c:numCache>
                <c:formatCode>#,##0;\(#,##0\);\-</c:formatCode>
                <c:ptCount val="20"/>
                <c:pt idx="0">
                  <c:v>1674.0675332040739</c:v>
                </c:pt>
                <c:pt idx="1">
                  <c:v>1745.3003176368152</c:v>
                </c:pt>
                <c:pt idx="2">
                  <c:v>1816.5331020695562</c:v>
                </c:pt>
                <c:pt idx="3">
                  <c:v>1887.7658865022972</c:v>
                </c:pt>
                <c:pt idx="4">
                  <c:v>1958.9986709350385</c:v>
                </c:pt>
                <c:pt idx="5">
                  <c:v>2030.2314553677795</c:v>
                </c:pt>
                <c:pt idx="6">
                  <c:v>2101.4642398005208</c:v>
                </c:pt>
                <c:pt idx="7">
                  <c:v>2172.6970242332618</c:v>
                </c:pt>
                <c:pt idx="8">
                  <c:v>2243.9298086660028</c:v>
                </c:pt>
                <c:pt idx="9">
                  <c:v>2315.1625930987439</c:v>
                </c:pt>
                <c:pt idx="10">
                  <c:v>2386.3953775314849</c:v>
                </c:pt>
                <c:pt idx="11">
                  <c:v>2457.6281619642264</c:v>
                </c:pt>
                <c:pt idx="12">
                  <c:v>2528.8609463969674</c:v>
                </c:pt>
                <c:pt idx="13">
                  <c:v>2600.0937308297084</c:v>
                </c:pt>
                <c:pt idx="14">
                  <c:v>2671.3265152624499</c:v>
                </c:pt>
                <c:pt idx="15">
                  <c:v>2742.5592996951909</c:v>
                </c:pt>
                <c:pt idx="16">
                  <c:v>2813.792084127932</c:v>
                </c:pt>
                <c:pt idx="17">
                  <c:v>2885.024868560673</c:v>
                </c:pt>
                <c:pt idx="18">
                  <c:v>2956.257652993414</c:v>
                </c:pt>
                <c:pt idx="19">
                  <c:v>3027.490437426155</c:v>
                </c:pt>
              </c:numCache>
            </c:numRef>
          </c:cat>
          <c:val>
            <c:numRef>
              <c:f>'Monte Carlo'!$M$31:$M$50</c:f>
              <c:numCache>
                <c:formatCode>#,##0</c:formatCode>
                <c:ptCount val="20"/>
                <c:pt idx="0">
                  <c:v>78</c:v>
                </c:pt>
                <c:pt idx="1">
                  <c:v>36</c:v>
                </c:pt>
                <c:pt idx="2">
                  <c:v>55</c:v>
                </c:pt>
                <c:pt idx="3">
                  <c:v>47</c:v>
                </c:pt>
                <c:pt idx="4">
                  <c:v>62</c:v>
                </c:pt>
                <c:pt idx="5">
                  <c:v>64</c:v>
                </c:pt>
                <c:pt idx="6">
                  <c:v>77</c:v>
                </c:pt>
                <c:pt idx="7">
                  <c:v>66</c:v>
                </c:pt>
                <c:pt idx="8">
                  <c:v>75</c:v>
                </c:pt>
                <c:pt idx="9">
                  <c:v>65</c:v>
                </c:pt>
                <c:pt idx="10">
                  <c:v>56</c:v>
                </c:pt>
                <c:pt idx="11">
                  <c:v>54</c:v>
                </c:pt>
                <c:pt idx="12">
                  <c:v>46</c:v>
                </c:pt>
                <c:pt idx="13">
                  <c:v>32</c:v>
                </c:pt>
                <c:pt idx="14">
                  <c:v>40</c:v>
                </c:pt>
                <c:pt idx="15">
                  <c:v>24</c:v>
                </c:pt>
                <c:pt idx="16">
                  <c:v>29</c:v>
                </c:pt>
                <c:pt idx="17">
                  <c:v>23</c:v>
                </c:pt>
                <c:pt idx="18">
                  <c:v>11</c:v>
                </c:pt>
                <c:pt idx="19">
                  <c:v>10</c:v>
                </c:pt>
              </c:numCache>
            </c:numRef>
          </c:val>
          <c:extLst>
            <c:ext xmlns:c16="http://schemas.microsoft.com/office/drawing/2014/chart" uri="{C3380CC4-5D6E-409C-BE32-E72D297353CC}">
              <c16:uniqueId val="{00000000-E060-416B-B1A9-D2E7B7EF2C1C}"/>
            </c:ext>
          </c:extLst>
        </c:ser>
        <c:dLbls>
          <c:showLegendKey val="0"/>
          <c:showVal val="0"/>
          <c:showCatName val="0"/>
          <c:showSerName val="0"/>
          <c:showPercent val="0"/>
          <c:showBubbleSize val="0"/>
        </c:dLbls>
        <c:gapWidth val="8"/>
        <c:axId val="9538469"/>
        <c:axId val="43953026"/>
      </c:barChart>
      <c:catAx>
        <c:axId val="9538469"/>
        <c:scaling>
          <c:orientation val="minMax"/>
        </c:scaling>
        <c:delete val="0"/>
        <c:axPos val="b"/>
        <c:numFmt formatCode="#,##0;\(#,##0\);\-"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953026"/>
        <c:crosses val="autoZero"/>
        <c:auto val="1"/>
        <c:lblAlgn val="ctr"/>
        <c:lblOffset val="100"/>
        <c:noMultiLvlLbl val="0"/>
      </c:catAx>
      <c:valAx>
        <c:axId val="4395302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3846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Altman Z-Score by year</a:t>
            </a:r>
          </a:p>
        </c:rich>
      </c:tx>
      <c:overlay val="0"/>
      <c:spPr>
        <a:noFill/>
        <a:ln w="0">
          <a:noFill/>
        </a:ln>
      </c:spPr>
    </c:title>
    <c:autoTitleDeleted val="0"/>
    <c:plotArea>
      <c:layout/>
      <c:barChart>
        <c:barDir val="col"/>
        <c:grouping val="clustered"/>
        <c:varyColors val="0"/>
        <c:ser>
          <c:idx val="0"/>
          <c:order val="0"/>
          <c:tx>
            <c:strRef>
              <c:f>'Credit &amp; Quality Analysis'!$B$25</c:f>
              <c:strCache>
                <c:ptCount val="1"/>
                <c:pt idx="0">
                  <c:v>ALTMAN Z-SCORE</c:v>
                </c:pt>
              </c:strCache>
            </c:strRef>
          </c:tx>
          <c:spPr>
            <a:solidFill>
              <a:srgbClr val="113A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'Credit &amp; Quality Analysis'!$C$6:$G$6</c:f>
              <c:strCache>
                <c:ptCount val="5"/>
                <c:pt idx="0">
                  <c:v>FY2022</c:v>
                </c:pt>
                <c:pt idx="1">
                  <c:v>FY2023</c:v>
                </c:pt>
                <c:pt idx="2">
                  <c:v>FY2024</c:v>
                </c:pt>
                <c:pt idx="3">
                  <c:v>FY2025</c:v>
                </c:pt>
                <c:pt idx="4">
                  <c:v>FY2026</c:v>
                </c:pt>
              </c:strCache>
            </c:strRef>
          </c:cat>
          <c:val>
            <c:numRef>
              <c:f>'Credit &amp; Quality Analysis'!$C$25:$G$25</c:f>
              <c:numCache>
                <c:formatCode>#,##0.0;\(#,##0.0\);\-</c:formatCode>
                <c:ptCount val="5"/>
                <c:pt idx="0">
                  <c:v>5.1803765697327018</c:v>
                </c:pt>
                <c:pt idx="1">
                  <c:v>6.6720158886364844</c:v>
                </c:pt>
                <c:pt idx="2">
                  <c:v>10.093511537906132</c:v>
                </c:pt>
                <c:pt idx="3">
                  <c:v>9.6836807868879902</c:v>
                </c:pt>
                <c:pt idx="4">
                  <c:v>10.439768870840373</c:v>
                </c:pt>
              </c:numCache>
            </c:numRef>
          </c:val>
          <c:extLst>
            <c:ext xmlns:c16="http://schemas.microsoft.com/office/drawing/2014/chart" uri="{C3380CC4-5D6E-409C-BE32-E72D297353CC}">
              <c16:uniqueId val="{00000000-EFB9-4FD9-9A7A-E9A2979CF294}"/>
            </c:ext>
          </c:extLst>
        </c:ser>
        <c:dLbls>
          <c:showLegendKey val="0"/>
          <c:showVal val="0"/>
          <c:showCatName val="0"/>
          <c:showSerName val="0"/>
          <c:showPercent val="0"/>
          <c:showBubbleSize val="0"/>
        </c:dLbls>
        <c:gapWidth val="70"/>
        <c:axId val="5992851"/>
        <c:axId val="95085196"/>
      </c:barChart>
      <c:catAx>
        <c:axId val="5992851"/>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085196"/>
        <c:crosses val="autoZero"/>
        <c:auto val="1"/>
        <c:lblAlgn val="ctr"/>
        <c:lblOffset val="100"/>
        <c:noMultiLvlLbl val="0"/>
      </c:catAx>
      <c:valAx>
        <c:axId val="9508519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9285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Piotroski F-Score by year</a:t>
            </a:r>
          </a:p>
        </c:rich>
      </c:tx>
      <c:overlay val="0"/>
      <c:spPr>
        <a:noFill/>
        <a:ln w="0">
          <a:noFill/>
        </a:ln>
      </c:spPr>
    </c:title>
    <c:autoTitleDeleted val="0"/>
    <c:plotArea>
      <c:layout/>
      <c:barChart>
        <c:barDir val="col"/>
        <c:grouping val="clustered"/>
        <c:varyColors val="0"/>
        <c:ser>
          <c:idx val="0"/>
          <c:order val="0"/>
          <c:tx>
            <c:strRef>
              <c:f>'Credit &amp; Quality Analysis'!$B$41</c:f>
              <c:strCache>
                <c:ptCount val="1"/>
                <c:pt idx="0">
                  <c:v>PIOTROSKI F-SCORE (out of 9)</c:v>
                </c:pt>
              </c:strCache>
            </c:strRef>
          </c:tx>
          <c:spPr>
            <a:solidFill>
              <a:srgbClr val="2E7D8C"/>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'Credit &amp; Quality Analysis'!$C$6:$G$6</c:f>
              <c:strCache>
                <c:ptCount val="5"/>
                <c:pt idx="0">
                  <c:v>FY2022</c:v>
                </c:pt>
                <c:pt idx="1">
                  <c:v>FY2023</c:v>
                </c:pt>
                <c:pt idx="2">
                  <c:v>FY2024</c:v>
                </c:pt>
                <c:pt idx="3">
                  <c:v>FY2025</c:v>
                </c:pt>
                <c:pt idx="4">
                  <c:v>FY2026</c:v>
                </c:pt>
              </c:strCache>
            </c:strRef>
          </c:cat>
          <c:val>
            <c:numRef>
              <c:f>'Credit &amp; Quality Analysis'!$C$41:$G$41</c:f>
              <c:numCache>
                <c:formatCode>#,##0</c:formatCode>
                <c:ptCount val="5"/>
                <c:pt idx="1">
                  <c:v>8</c:v>
                </c:pt>
                <c:pt idx="2">
                  <c:v>8</c:v>
                </c:pt>
                <c:pt idx="3">
                  <c:v>7</c:v>
                </c:pt>
                <c:pt idx="4">
                  <c:v>8</c:v>
                </c:pt>
              </c:numCache>
            </c:numRef>
          </c:val>
          <c:extLst>
            <c:ext xmlns:c16="http://schemas.microsoft.com/office/drawing/2014/chart" uri="{C3380CC4-5D6E-409C-BE32-E72D297353CC}">
              <c16:uniqueId val="{00000000-A665-4800-8DCC-7BF174635EA0}"/>
            </c:ext>
          </c:extLst>
        </c:ser>
        <c:dLbls>
          <c:showLegendKey val="0"/>
          <c:showVal val="0"/>
          <c:showCatName val="0"/>
          <c:showSerName val="0"/>
          <c:showPercent val="0"/>
          <c:showBubbleSize val="0"/>
        </c:dLbls>
        <c:gapWidth val="70"/>
        <c:axId val="59813309"/>
        <c:axId val="70270810"/>
      </c:barChart>
      <c:catAx>
        <c:axId val="59813309"/>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270810"/>
        <c:crosses val="autoZero"/>
        <c:auto val="1"/>
        <c:lblAlgn val="ctr"/>
        <c:lblOffset val="100"/>
        <c:noMultiLvlLbl val="0"/>
      </c:catAx>
      <c:valAx>
        <c:axId val="7027081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81330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18" Type="http://schemas.openxmlformats.org/officeDocument/2006/relationships/chart" Target="../charts/chart21.xml"/><Relationship Id="rId26" Type="http://schemas.openxmlformats.org/officeDocument/2006/relationships/chart" Target="../charts/chart29.xml"/><Relationship Id="rId3" Type="http://schemas.openxmlformats.org/officeDocument/2006/relationships/chart" Target="../charts/chart6.xml"/><Relationship Id="rId21" Type="http://schemas.openxmlformats.org/officeDocument/2006/relationships/chart" Target="../charts/chart24.xml"/><Relationship Id="rId7" Type="http://schemas.openxmlformats.org/officeDocument/2006/relationships/chart" Target="../charts/chart10.xml"/><Relationship Id="rId12" Type="http://schemas.openxmlformats.org/officeDocument/2006/relationships/chart" Target="../charts/chart15.xml"/><Relationship Id="rId17" Type="http://schemas.openxmlformats.org/officeDocument/2006/relationships/chart" Target="../charts/chart20.xml"/><Relationship Id="rId25" Type="http://schemas.openxmlformats.org/officeDocument/2006/relationships/chart" Target="../charts/chart28.xml"/><Relationship Id="rId2" Type="http://schemas.openxmlformats.org/officeDocument/2006/relationships/chart" Target="../charts/chart5.xml"/><Relationship Id="rId16" Type="http://schemas.openxmlformats.org/officeDocument/2006/relationships/chart" Target="../charts/chart19.xml"/><Relationship Id="rId20" Type="http://schemas.openxmlformats.org/officeDocument/2006/relationships/chart" Target="../charts/chart23.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24" Type="http://schemas.openxmlformats.org/officeDocument/2006/relationships/chart" Target="../charts/chart27.xml"/><Relationship Id="rId5" Type="http://schemas.openxmlformats.org/officeDocument/2006/relationships/chart" Target="../charts/chart8.xml"/><Relationship Id="rId15" Type="http://schemas.openxmlformats.org/officeDocument/2006/relationships/chart" Target="../charts/chart18.xml"/><Relationship Id="rId23" Type="http://schemas.openxmlformats.org/officeDocument/2006/relationships/chart" Target="../charts/chart26.xml"/><Relationship Id="rId10" Type="http://schemas.openxmlformats.org/officeDocument/2006/relationships/chart" Target="../charts/chart13.xml"/><Relationship Id="rId19" Type="http://schemas.openxmlformats.org/officeDocument/2006/relationships/chart" Target="../charts/chart22.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 Id="rId22" Type="http://schemas.openxmlformats.org/officeDocument/2006/relationships/chart" Target="../charts/chart25.xml"/><Relationship Id="rId27" Type="http://schemas.openxmlformats.org/officeDocument/2006/relationships/chart" Target="../charts/chart3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4" Type="http://schemas.openxmlformats.org/officeDocument/2006/relationships/chart" Target="../charts/chart3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 Id="rId4" Type="http://schemas.openxmlformats.org/officeDocument/2006/relationships/chart" Target="../charts/chart3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41.xml"/><Relationship Id="rId1" Type="http://schemas.openxmlformats.org/officeDocument/2006/relationships/chart" Target="../charts/chart4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9.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editAs="oneCell">
    <xdr:from>
      <xdr:col>7</xdr:col>
      <xdr:colOff>33867</xdr:colOff>
      <xdr:row>0</xdr:row>
      <xdr:rowOff>0</xdr:rowOff>
    </xdr:from>
    <xdr:to>
      <xdr:col>9</xdr:col>
      <xdr:colOff>61740</xdr:colOff>
      <xdr:row>8</xdr:row>
      <xdr:rowOff>30781</xdr:rowOff>
    </xdr:to>
    <xdr:pic>
      <xdr:nvPicPr>
        <xdr:cNvPr id="2" name="Picture 1">
          <a:extLst>
            <a:ext uri="{FF2B5EF4-FFF2-40B4-BE49-F238E27FC236}">
              <a16:creationId xmlns:a16="http://schemas.microsoft.com/office/drawing/2014/main" id="{AED748AD-60CB-4FF0-9FF8-EC94BF1A66B4}"/>
            </a:ext>
          </a:extLst>
        </xdr:cNvPr>
        <xdr:cNvPicPr>
          <a:picLocks noChangeAspect="1"/>
        </xdr:cNvPicPr>
      </xdr:nvPicPr>
      <xdr:blipFill>
        <a:blip xmlns:r="http://schemas.openxmlformats.org/officeDocument/2006/relationships" r:embed="rId1"/>
        <a:stretch>
          <a:fillRect/>
        </a:stretch>
      </xdr:blipFill>
      <xdr:spPr>
        <a:xfrm>
          <a:off x="7120467" y="0"/>
          <a:ext cx="2356206" cy="15378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248817</xdr:colOff>
      <xdr:row>66</xdr:row>
      <xdr:rowOff>149834</xdr:rowOff>
    </xdr:from>
    <xdr:to>
      <xdr:col>28</xdr:col>
      <xdr:colOff>342123</xdr:colOff>
      <xdr:row>82</xdr:row>
      <xdr:rowOff>77755</xdr:rowOff>
    </xdr:to>
    <xdr:graphicFrame macro="">
      <xdr:nvGraphicFramePr>
        <xdr:cNvPr id="35" name="Chart 1">
          <a:extLst>
            <a:ext uri="{FF2B5EF4-FFF2-40B4-BE49-F238E27FC236}">
              <a16:creationId xmlns:a16="http://schemas.microsoft.com/office/drawing/2014/main" id="{00000000-0008-0000-06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28</xdr:col>
      <xdr:colOff>559836</xdr:colOff>
      <xdr:row>66</xdr:row>
      <xdr:rowOff>40978</xdr:rowOff>
    </xdr:from>
    <xdr:to>
      <xdr:col>40</xdr:col>
      <xdr:colOff>93306</xdr:colOff>
      <xdr:row>82</xdr:row>
      <xdr:rowOff>108857</xdr:rowOff>
    </xdr:to>
    <xdr:graphicFrame macro="">
      <xdr:nvGraphicFramePr>
        <xdr:cNvPr id="36" name="Chart 2">
          <a:extLst>
            <a:ext uri="{FF2B5EF4-FFF2-40B4-BE49-F238E27FC236}">
              <a16:creationId xmlns:a16="http://schemas.microsoft.com/office/drawing/2014/main" id="{00000000-0008-0000-06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279919</xdr:colOff>
      <xdr:row>83</xdr:row>
      <xdr:rowOff>171351</xdr:rowOff>
    </xdr:from>
    <xdr:to>
      <xdr:col>28</xdr:col>
      <xdr:colOff>373225</xdr:colOff>
      <xdr:row>100</xdr:row>
      <xdr:rowOff>139959</xdr:rowOff>
    </xdr:to>
    <xdr:graphicFrame macro="">
      <xdr:nvGraphicFramePr>
        <xdr:cNvPr id="37" name="Chart 3">
          <a:extLst>
            <a:ext uri="{FF2B5EF4-FFF2-40B4-BE49-F238E27FC236}">
              <a16:creationId xmlns:a16="http://schemas.microsoft.com/office/drawing/2014/main" id="{00000000-0008-0000-06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11</xdr:col>
      <xdr:colOff>213120</xdr:colOff>
      <xdr:row>24</xdr:row>
      <xdr:rowOff>159840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5</xdr:row>
      <xdr:rowOff>0</xdr:rowOff>
    </xdr:from>
    <xdr:to>
      <xdr:col>24</xdr:col>
      <xdr:colOff>608040</xdr:colOff>
      <xdr:row>24</xdr:row>
      <xdr:rowOff>159840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0</xdr:colOff>
      <xdr:row>5</xdr:row>
      <xdr:rowOff>0</xdr:rowOff>
    </xdr:from>
    <xdr:to>
      <xdr:col>36</xdr:col>
      <xdr:colOff>608040</xdr:colOff>
      <xdr:row>24</xdr:row>
      <xdr:rowOff>159840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26</xdr:row>
      <xdr:rowOff>0</xdr:rowOff>
    </xdr:from>
    <xdr:to>
      <xdr:col>11</xdr:col>
      <xdr:colOff>213120</xdr:colOff>
      <xdr:row>45</xdr:row>
      <xdr:rowOff>160200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26</xdr:row>
      <xdr:rowOff>0</xdr:rowOff>
    </xdr:from>
    <xdr:to>
      <xdr:col>24</xdr:col>
      <xdr:colOff>608040</xdr:colOff>
      <xdr:row>45</xdr:row>
      <xdr:rowOff>160200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0</xdr:colOff>
      <xdr:row>26</xdr:row>
      <xdr:rowOff>0</xdr:rowOff>
    </xdr:from>
    <xdr:to>
      <xdr:col>36</xdr:col>
      <xdr:colOff>608040</xdr:colOff>
      <xdr:row>45</xdr:row>
      <xdr:rowOff>160200</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47</xdr:row>
      <xdr:rowOff>0</xdr:rowOff>
    </xdr:from>
    <xdr:to>
      <xdr:col>11</xdr:col>
      <xdr:colOff>213120</xdr:colOff>
      <xdr:row>66</xdr:row>
      <xdr:rowOff>159840</xdr:rowOff>
    </xdr:to>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0</xdr:colOff>
      <xdr:row>47</xdr:row>
      <xdr:rowOff>0</xdr:rowOff>
    </xdr:from>
    <xdr:to>
      <xdr:col>24</xdr:col>
      <xdr:colOff>608040</xdr:colOff>
      <xdr:row>66</xdr:row>
      <xdr:rowOff>159840</xdr:rowOff>
    </xdr:to>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25</xdr:col>
      <xdr:colOff>0</xdr:colOff>
      <xdr:row>47</xdr:row>
      <xdr:rowOff>0</xdr:rowOff>
    </xdr:from>
    <xdr:to>
      <xdr:col>36</xdr:col>
      <xdr:colOff>608040</xdr:colOff>
      <xdr:row>66</xdr:row>
      <xdr:rowOff>159840</xdr:rowOff>
    </xdr:to>
    <xdr:graphicFrame macro="">
      <xdr:nvGraphicFramePr>
        <xdr:cNvPr id="10" name="Chart 9">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68</xdr:row>
      <xdr:rowOff>0</xdr:rowOff>
    </xdr:from>
    <xdr:to>
      <xdr:col>11</xdr:col>
      <xdr:colOff>213120</xdr:colOff>
      <xdr:row>87</xdr:row>
      <xdr:rowOff>160200</xdr:rowOff>
    </xdr:to>
    <xdr:graphicFrame macro="">
      <xdr:nvGraphicFramePr>
        <xdr:cNvPr id="11" name="Chart 10">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13</xdr:col>
      <xdr:colOff>0</xdr:colOff>
      <xdr:row>68</xdr:row>
      <xdr:rowOff>0</xdr:rowOff>
    </xdr:from>
    <xdr:to>
      <xdr:col>24</xdr:col>
      <xdr:colOff>608040</xdr:colOff>
      <xdr:row>87</xdr:row>
      <xdr:rowOff>160200</xdr:rowOff>
    </xdr:to>
    <xdr:graphicFrame macro="">
      <xdr:nvGraphicFramePr>
        <xdr:cNvPr id="12" name="Chart 11">
          <a:extLst>
            <a:ext uri="{FF2B5EF4-FFF2-40B4-BE49-F238E27FC236}">
              <a16:creationId xmlns:a16="http://schemas.microsoft.com/office/drawing/2014/main" id="{00000000-0008-0000-0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25</xdr:col>
      <xdr:colOff>0</xdr:colOff>
      <xdr:row>68</xdr:row>
      <xdr:rowOff>0</xdr:rowOff>
    </xdr:from>
    <xdr:to>
      <xdr:col>36</xdr:col>
      <xdr:colOff>608040</xdr:colOff>
      <xdr:row>87</xdr:row>
      <xdr:rowOff>160200</xdr:rowOff>
    </xdr:to>
    <xdr:graphicFrame macro="">
      <xdr:nvGraphicFramePr>
        <xdr:cNvPr id="13" name="Chart 12">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xdr:col>
      <xdr:colOff>0</xdr:colOff>
      <xdr:row>89</xdr:row>
      <xdr:rowOff>0</xdr:rowOff>
    </xdr:from>
    <xdr:to>
      <xdr:col>11</xdr:col>
      <xdr:colOff>213120</xdr:colOff>
      <xdr:row>108</xdr:row>
      <xdr:rowOff>159840</xdr:rowOff>
    </xdr:to>
    <xdr:graphicFrame macro="">
      <xdr:nvGraphicFramePr>
        <xdr:cNvPr id="14" name="Chart 13">
          <a:extLst>
            <a:ext uri="{FF2B5EF4-FFF2-40B4-BE49-F238E27FC236}">
              <a16:creationId xmlns:a16="http://schemas.microsoft.com/office/drawing/2014/main" id="{00000000-0008-0000-0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13</xdr:col>
      <xdr:colOff>0</xdr:colOff>
      <xdr:row>89</xdr:row>
      <xdr:rowOff>0</xdr:rowOff>
    </xdr:from>
    <xdr:to>
      <xdr:col>24</xdr:col>
      <xdr:colOff>608040</xdr:colOff>
      <xdr:row>108</xdr:row>
      <xdr:rowOff>159840</xdr:rowOff>
    </xdr:to>
    <xdr:graphicFrame macro="">
      <xdr:nvGraphicFramePr>
        <xdr:cNvPr id="15" name="Chart 14">
          <a:extLst>
            <a:ext uri="{FF2B5EF4-FFF2-40B4-BE49-F238E27FC236}">
              <a16:creationId xmlns:a16="http://schemas.microsoft.com/office/drawing/2014/main" id="{00000000-0008-0000-03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25</xdr:col>
      <xdr:colOff>0</xdr:colOff>
      <xdr:row>89</xdr:row>
      <xdr:rowOff>0</xdr:rowOff>
    </xdr:from>
    <xdr:to>
      <xdr:col>36</xdr:col>
      <xdr:colOff>608040</xdr:colOff>
      <xdr:row>108</xdr:row>
      <xdr:rowOff>159840</xdr:rowOff>
    </xdr:to>
    <xdr:graphicFrame macro="">
      <xdr:nvGraphicFramePr>
        <xdr:cNvPr id="16" name="Chart 15">
          <a:extLst>
            <a:ext uri="{FF2B5EF4-FFF2-40B4-BE49-F238E27FC236}">
              <a16:creationId xmlns:a16="http://schemas.microsoft.com/office/drawing/2014/main" id="{00000000-0008-0000-03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0</xdr:colOff>
      <xdr:row>110</xdr:row>
      <xdr:rowOff>0</xdr:rowOff>
    </xdr:from>
    <xdr:to>
      <xdr:col>11</xdr:col>
      <xdr:colOff>213120</xdr:colOff>
      <xdr:row>129</xdr:row>
      <xdr:rowOff>160200</xdr:rowOff>
    </xdr:to>
    <xdr:graphicFrame macro="">
      <xdr:nvGraphicFramePr>
        <xdr:cNvPr id="17" name="Chart 16">
          <a:extLst>
            <a:ext uri="{FF2B5EF4-FFF2-40B4-BE49-F238E27FC236}">
              <a16:creationId xmlns:a16="http://schemas.microsoft.com/office/drawing/2014/main" id="{00000000-0008-0000-03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13</xdr:col>
      <xdr:colOff>0</xdr:colOff>
      <xdr:row>110</xdr:row>
      <xdr:rowOff>0</xdr:rowOff>
    </xdr:from>
    <xdr:to>
      <xdr:col>24</xdr:col>
      <xdr:colOff>608040</xdr:colOff>
      <xdr:row>129</xdr:row>
      <xdr:rowOff>160200</xdr:rowOff>
    </xdr:to>
    <xdr:graphicFrame macro="">
      <xdr:nvGraphicFramePr>
        <xdr:cNvPr id="18" name="Chart 17">
          <a:extLst>
            <a:ext uri="{FF2B5EF4-FFF2-40B4-BE49-F238E27FC236}">
              <a16:creationId xmlns:a16="http://schemas.microsoft.com/office/drawing/2014/main" id="{00000000-0008-0000-03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25</xdr:col>
      <xdr:colOff>0</xdr:colOff>
      <xdr:row>110</xdr:row>
      <xdr:rowOff>0</xdr:rowOff>
    </xdr:from>
    <xdr:to>
      <xdr:col>36</xdr:col>
      <xdr:colOff>608040</xdr:colOff>
      <xdr:row>129</xdr:row>
      <xdr:rowOff>160200</xdr:rowOff>
    </xdr:to>
    <xdr:graphicFrame macro="">
      <xdr:nvGraphicFramePr>
        <xdr:cNvPr id="19" name="Chart 18">
          <a:extLst>
            <a:ext uri="{FF2B5EF4-FFF2-40B4-BE49-F238E27FC236}">
              <a16:creationId xmlns:a16="http://schemas.microsoft.com/office/drawing/2014/main" id="{00000000-0008-0000-03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xdr:col>
      <xdr:colOff>0</xdr:colOff>
      <xdr:row>131</xdr:row>
      <xdr:rowOff>0</xdr:rowOff>
    </xdr:from>
    <xdr:to>
      <xdr:col>11</xdr:col>
      <xdr:colOff>213120</xdr:colOff>
      <xdr:row>153</xdr:row>
      <xdr:rowOff>128520</xdr:rowOff>
    </xdr:to>
    <xdr:graphicFrame macro="">
      <xdr:nvGraphicFramePr>
        <xdr:cNvPr id="20" name="Chart 19">
          <a:extLst>
            <a:ext uri="{FF2B5EF4-FFF2-40B4-BE49-F238E27FC236}">
              <a16:creationId xmlns:a16="http://schemas.microsoft.com/office/drawing/2014/main" id="{00000000-0008-0000-03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13</xdr:col>
      <xdr:colOff>0</xdr:colOff>
      <xdr:row>131</xdr:row>
      <xdr:rowOff>0</xdr:rowOff>
    </xdr:from>
    <xdr:to>
      <xdr:col>24</xdr:col>
      <xdr:colOff>608040</xdr:colOff>
      <xdr:row>150</xdr:row>
      <xdr:rowOff>159840</xdr:rowOff>
    </xdr:to>
    <xdr:graphicFrame macro="">
      <xdr:nvGraphicFramePr>
        <xdr:cNvPr id="21" name="Chart 20">
          <a:extLst>
            <a:ext uri="{FF2B5EF4-FFF2-40B4-BE49-F238E27FC236}">
              <a16:creationId xmlns:a16="http://schemas.microsoft.com/office/drawing/2014/main" id="{00000000-0008-0000-03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25</xdr:col>
      <xdr:colOff>0</xdr:colOff>
      <xdr:row>131</xdr:row>
      <xdr:rowOff>0</xdr:rowOff>
    </xdr:from>
    <xdr:to>
      <xdr:col>36</xdr:col>
      <xdr:colOff>608040</xdr:colOff>
      <xdr:row>150</xdr:row>
      <xdr:rowOff>159840</xdr:rowOff>
    </xdr:to>
    <xdr:graphicFrame macro="">
      <xdr:nvGraphicFramePr>
        <xdr:cNvPr id="22" name="Chart 21">
          <a:extLst>
            <a:ext uri="{FF2B5EF4-FFF2-40B4-BE49-F238E27FC236}">
              <a16:creationId xmlns:a16="http://schemas.microsoft.com/office/drawing/2014/main" id="{00000000-0008-0000-03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xdr:col>
      <xdr:colOff>0</xdr:colOff>
      <xdr:row>152</xdr:row>
      <xdr:rowOff>0</xdr:rowOff>
    </xdr:from>
    <xdr:to>
      <xdr:col>11</xdr:col>
      <xdr:colOff>213120</xdr:colOff>
      <xdr:row>174</xdr:row>
      <xdr:rowOff>128520</xdr:rowOff>
    </xdr:to>
    <xdr:graphicFrame macro="">
      <xdr:nvGraphicFramePr>
        <xdr:cNvPr id="23" name="Chart 22">
          <a:extLst>
            <a:ext uri="{FF2B5EF4-FFF2-40B4-BE49-F238E27FC236}">
              <a16:creationId xmlns:a16="http://schemas.microsoft.com/office/drawing/2014/main" id="{00000000-0008-0000-03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13</xdr:col>
      <xdr:colOff>0</xdr:colOff>
      <xdr:row>152</xdr:row>
      <xdr:rowOff>0</xdr:rowOff>
    </xdr:from>
    <xdr:to>
      <xdr:col>24</xdr:col>
      <xdr:colOff>608040</xdr:colOff>
      <xdr:row>174</xdr:row>
      <xdr:rowOff>128520</xdr:rowOff>
    </xdr:to>
    <xdr:graphicFrame macro="">
      <xdr:nvGraphicFramePr>
        <xdr:cNvPr id="24" name="Chart 23">
          <a:extLst>
            <a:ext uri="{FF2B5EF4-FFF2-40B4-BE49-F238E27FC236}">
              <a16:creationId xmlns:a16="http://schemas.microsoft.com/office/drawing/2014/main" id="{00000000-0008-0000-03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25</xdr:col>
      <xdr:colOff>0</xdr:colOff>
      <xdr:row>152</xdr:row>
      <xdr:rowOff>0</xdr:rowOff>
    </xdr:from>
    <xdr:to>
      <xdr:col>36</xdr:col>
      <xdr:colOff>608040</xdr:colOff>
      <xdr:row>174</xdr:row>
      <xdr:rowOff>128520</xdr:rowOff>
    </xdr:to>
    <xdr:graphicFrame macro="">
      <xdr:nvGraphicFramePr>
        <xdr:cNvPr id="25" name="Chart 24">
          <a:extLst>
            <a:ext uri="{FF2B5EF4-FFF2-40B4-BE49-F238E27FC236}">
              <a16:creationId xmlns:a16="http://schemas.microsoft.com/office/drawing/2014/main" id="{00000000-0008-0000-03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xdr:col>
      <xdr:colOff>10732</xdr:colOff>
      <xdr:row>175</xdr:row>
      <xdr:rowOff>75126</xdr:rowOff>
    </xdr:from>
    <xdr:to>
      <xdr:col>11</xdr:col>
      <xdr:colOff>223852</xdr:colOff>
      <xdr:row>195</xdr:row>
      <xdr:rowOff>52516</xdr:rowOff>
    </xdr:to>
    <xdr:graphicFrame macro="">
      <xdr:nvGraphicFramePr>
        <xdr:cNvPr id="26" name="Chart 25">
          <a:extLst>
            <a:ext uri="{FF2B5EF4-FFF2-40B4-BE49-F238E27FC236}">
              <a16:creationId xmlns:a16="http://schemas.microsoft.com/office/drawing/2014/main" id="{00000000-0008-0000-03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12</xdr:col>
      <xdr:colOff>611746</xdr:colOff>
      <xdr:row>175</xdr:row>
      <xdr:rowOff>107324</xdr:rowOff>
    </xdr:from>
    <xdr:to>
      <xdr:col>24</xdr:col>
      <xdr:colOff>586575</xdr:colOff>
      <xdr:row>195</xdr:row>
      <xdr:rowOff>84714</xdr:rowOff>
    </xdr:to>
    <xdr:graphicFrame macro="">
      <xdr:nvGraphicFramePr>
        <xdr:cNvPr id="27" name="Chart 26">
          <a:extLst>
            <a:ext uri="{FF2B5EF4-FFF2-40B4-BE49-F238E27FC236}">
              <a16:creationId xmlns:a16="http://schemas.microsoft.com/office/drawing/2014/main" id="{00000000-0008-0000-03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25</xdr:col>
      <xdr:colOff>128789</xdr:colOff>
      <xdr:row>175</xdr:row>
      <xdr:rowOff>96591</xdr:rowOff>
    </xdr:from>
    <xdr:to>
      <xdr:col>37</xdr:col>
      <xdr:colOff>103618</xdr:colOff>
      <xdr:row>195</xdr:row>
      <xdr:rowOff>73981</xdr:rowOff>
    </xdr:to>
    <xdr:graphicFrame macro="">
      <xdr:nvGraphicFramePr>
        <xdr:cNvPr id="28" name="Chart 27">
          <a:extLst>
            <a:ext uri="{FF2B5EF4-FFF2-40B4-BE49-F238E27FC236}">
              <a16:creationId xmlns:a16="http://schemas.microsoft.com/office/drawing/2014/main" id="{00000000-0008-0000-03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25</xdr:col>
      <xdr:colOff>754744</xdr:colOff>
      <xdr:row>73</xdr:row>
      <xdr:rowOff>57966</xdr:rowOff>
    </xdr:from>
    <xdr:to>
      <xdr:col>39</xdr:col>
      <xdr:colOff>526144</xdr:colOff>
      <xdr:row>90</xdr:row>
      <xdr:rowOff>163285</xdr:rowOff>
    </xdr:to>
    <xdr:graphicFrame macro="">
      <xdr:nvGraphicFramePr>
        <xdr:cNvPr id="27" name="Chart 1">
          <a:extLst>
            <a:ext uri="{FF2B5EF4-FFF2-40B4-BE49-F238E27FC236}">
              <a16:creationId xmlns:a16="http://schemas.microsoft.com/office/drawing/2014/main" id="{00000000-0008-0000-04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123734</xdr:colOff>
      <xdr:row>73</xdr:row>
      <xdr:rowOff>76109</xdr:rowOff>
    </xdr:from>
    <xdr:to>
      <xdr:col>25</xdr:col>
      <xdr:colOff>508000</xdr:colOff>
      <xdr:row>91</xdr:row>
      <xdr:rowOff>0</xdr:rowOff>
    </xdr:to>
    <xdr:graphicFrame macro="">
      <xdr:nvGraphicFramePr>
        <xdr:cNvPr id="28" name="Chart 2">
          <a:extLst>
            <a:ext uri="{FF2B5EF4-FFF2-40B4-BE49-F238E27FC236}">
              <a16:creationId xmlns:a16="http://schemas.microsoft.com/office/drawing/2014/main" id="{00000000-0008-0000-04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141878</xdr:colOff>
      <xdr:row>92</xdr:row>
      <xdr:rowOff>5250</xdr:rowOff>
    </xdr:from>
    <xdr:to>
      <xdr:col>25</xdr:col>
      <xdr:colOff>544285</xdr:colOff>
      <xdr:row>111</xdr:row>
      <xdr:rowOff>163284</xdr:rowOff>
    </xdr:to>
    <xdr:graphicFrame macro="">
      <xdr:nvGraphicFramePr>
        <xdr:cNvPr id="30" name="Chart 4">
          <a:extLst>
            <a:ext uri="{FF2B5EF4-FFF2-40B4-BE49-F238E27FC236}">
              <a16:creationId xmlns:a16="http://schemas.microsoft.com/office/drawing/2014/main" id="{00000000-0008-0000-04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736601</xdr:colOff>
      <xdr:row>92</xdr:row>
      <xdr:rowOff>5251</xdr:rowOff>
    </xdr:from>
    <xdr:to>
      <xdr:col>40</xdr:col>
      <xdr:colOff>36286</xdr:colOff>
      <xdr:row>112</xdr:row>
      <xdr:rowOff>127000</xdr:rowOff>
    </xdr:to>
    <xdr:graphicFrame macro="">
      <xdr:nvGraphicFramePr>
        <xdr:cNvPr id="2" name="Chart 3">
          <a:extLst>
            <a:ext uri="{FF2B5EF4-FFF2-40B4-BE49-F238E27FC236}">
              <a16:creationId xmlns:a16="http://schemas.microsoft.com/office/drawing/2014/main" id="{BAED5C43-D2E2-4E08-BD4C-1B74C6C5E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7</xdr:col>
      <xdr:colOff>560160</xdr:colOff>
      <xdr:row>123</xdr:row>
      <xdr:rowOff>149760</xdr:rowOff>
    </xdr:to>
    <xdr:graphicFrame macro="">
      <xdr:nvGraphicFramePr>
        <xdr:cNvPr id="31" name="Chart 1">
          <a:extLst>
            <a:ext uri="{FF2B5EF4-FFF2-40B4-BE49-F238E27FC236}">
              <a16:creationId xmlns:a16="http://schemas.microsoft.com/office/drawing/2014/main" id="{00000000-0008-0000-05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103</xdr:row>
      <xdr:rowOff>0</xdr:rowOff>
    </xdr:from>
    <xdr:to>
      <xdr:col>26</xdr:col>
      <xdr:colOff>330120</xdr:colOff>
      <xdr:row>125</xdr:row>
      <xdr:rowOff>128880</xdr:rowOff>
    </xdr:to>
    <xdr:graphicFrame macro="">
      <xdr:nvGraphicFramePr>
        <xdr:cNvPr id="32" name="Chart 2">
          <a:extLst>
            <a:ext uri="{FF2B5EF4-FFF2-40B4-BE49-F238E27FC236}">
              <a16:creationId xmlns:a16="http://schemas.microsoft.com/office/drawing/2014/main" id="{00000000-0008-0000-05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127</xdr:row>
      <xdr:rowOff>0</xdr:rowOff>
    </xdr:from>
    <xdr:to>
      <xdr:col>7</xdr:col>
      <xdr:colOff>560160</xdr:colOff>
      <xdr:row>147</xdr:row>
      <xdr:rowOff>149760</xdr:rowOff>
    </xdr:to>
    <xdr:graphicFrame macro="">
      <xdr:nvGraphicFramePr>
        <xdr:cNvPr id="33" name="Chart 3">
          <a:extLst>
            <a:ext uri="{FF2B5EF4-FFF2-40B4-BE49-F238E27FC236}">
              <a16:creationId xmlns:a16="http://schemas.microsoft.com/office/drawing/2014/main" id="{00000000-0008-0000-05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127</xdr:row>
      <xdr:rowOff>0</xdr:rowOff>
    </xdr:from>
    <xdr:to>
      <xdr:col>26</xdr:col>
      <xdr:colOff>330120</xdr:colOff>
      <xdr:row>149</xdr:row>
      <xdr:rowOff>128880</xdr:rowOff>
    </xdr:to>
    <xdr:graphicFrame macro="">
      <xdr:nvGraphicFramePr>
        <xdr:cNvPr id="34" name="Chart 4">
          <a:extLst>
            <a:ext uri="{FF2B5EF4-FFF2-40B4-BE49-F238E27FC236}">
              <a16:creationId xmlns:a16="http://schemas.microsoft.com/office/drawing/2014/main" id="{00000000-0008-0000-05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107</xdr:row>
      <xdr:rowOff>0</xdr:rowOff>
    </xdr:from>
    <xdr:to>
      <xdr:col>5</xdr:col>
      <xdr:colOff>949320</xdr:colOff>
      <xdr:row>127</xdr:row>
      <xdr:rowOff>149760</xdr:rowOff>
    </xdr:to>
    <xdr:graphicFrame macro="">
      <xdr:nvGraphicFramePr>
        <xdr:cNvPr id="38" name="Chart 1">
          <a:extLst>
            <a:ext uri="{FF2B5EF4-FFF2-40B4-BE49-F238E27FC236}">
              <a16:creationId xmlns:a16="http://schemas.microsoft.com/office/drawing/2014/main" id="{00000000-0008-0000-0A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10</xdr:col>
      <xdr:colOff>408240</xdr:colOff>
      <xdr:row>99</xdr:row>
      <xdr:rowOff>128520</xdr:rowOff>
    </xdr:to>
    <xdr:graphicFrame macro="">
      <xdr:nvGraphicFramePr>
        <xdr:cNvPr id="39" name="Chart 1">
          <a:extLst>
            <a:ext uri="{FF2B5EF4-FFF2-40B4-BE49-F238E27FC236}">
              <a16:creationId xmlns:a16="http://schemas.microsoft.com/office/drawing/2014/main" id="{00000000-0008-0000-10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77</xdr:row>
      <xdr:rowOff>0</xdr:rowOff>
    </xdr:from>
    <xdr:to>
      <xdr:col>19</xdr:col>
      <xdr:colOff>255960</xdr:colOff>
      <xdr:row>99</xdr:row>
      <xdr:rowOff>128520</xdr:rowOff>
    </xdr:to>
    <xdr:graphicFrame macro="">
      <xdr:nvGraphicFramePr>
        <xdr:cNvPr id="40" name="Chart 2">
          <a:extLst>
            <a:ext uri="{FF2B5EF4-FFF2-40B4-BE49-F238E27FC236}">
              <a16:creationId xmlns:a16="http://schemas.microsoft.com/office/drawing/2014/main" id="{00000000-0008-0000-10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0</xdr:colOff>
      <xdr:row>52</xdr:row>
      <xdr:rowOff>0</xdr:rowOff>
    </xdr:from>
    <xdr:to>
      <xdr:col>26</xdr:col>
      <xdr:colOff>118440</xdr:colOff>
      <xdr:row>74</xdr:row>
      <xdr:rowOff>128520</xdr:rowOff>
    </xdr:to>
    <xdr:graphicFrame macro="">
      <xdr:nvGraphicFramePr>
        <xdr:cNvPr id="41" name="Chart 1">
          <a:extLst>
            <a:ext uri="{FF2B5EF4-FFF2-40B4-BE49-F238E27FC236}">
              <a16:creationId xmlns:a16="http://schemas.microsoft.com/office/drawing/2014/main" id="{00000000-0008-0000-12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5</xdr:col>
      <xdr:colOff>863640</xdr:colOff>
      <xdr:row>98</xdr:row>
      <xdr:rowOff>170640</xdr:rowOff>
    </xdr:to>
    <xdr:graphicFrame macro="">
      <xdr:nvGraphicFramePr>
        <xdr:cNvPr id="42" name="Chart 1">
          <a:extLst>
            <a:ext uri="{FF2B5EF4-FFF2-40B4-BE49-F238E27FC236}">
              <a16:creationId xmlns:a16="http://schemas.microsoft.com/office/drawing/2014/main" id="{00000000-0008-0000-13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80</xdr:row>
      <xdr:rowOff>0</xdr:rowOff>
    </xdr:from>
    <xdr:to>
      <xdr:col>23</xdr:col>
      <xdr:colOff>221760</xdr:colOff>
      <xdr:row>98</xdr:row>
      <xdr:rowOff>170640</xdr:rowOff>
    </xdr:to>
    <xdr:graphicFrame macro="">
      <xdr:nvGraphicFramePr>
        <xdr:cNvPr id="43" name="Chart 2">
          <a:extLst>
            <a:ext uri="{FF2B5EF4-FFF2-40B4-BE49-F238E27FC236}">
              <a16:creationId xmlns:a16="http://schemas.microsoft.com/office/drawing/2014/main" id="{00000000-0008-0000-13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108BE42-4998-417A-9C20-0DA51F141966}">
  <we:reference id="wa200009404" version="1.0.0.8" store="en-US" storeType="OMEX"/>
  <we:alternateReferences>
    <we:reference id="WA200009404" version="1.0.0.8" store="" storeType="OMEX"/>
  </we:alternateReferences>
  <we:properties>
    <we:property name="claude.fileId" value="&quot;26ae1cc3-0323-47c5-af97-6a99f7a8381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13A44"/>
  </sheetPr>
  <dimension ref="B2:I65"/>
  <sheetViews>
    <sheetView showGridLines="0" tabSelected="1" zoomScale="90" zoomScaleNormal="90" workbookViewId="0">
      <selection activeCell="L10" sqref="L10"/>
    </sheetView>
  </sheetViews>
  <sheetFormatPr defaultColWidth="8.6640625" defaultRowHeight="14.4" x14ac:dyDescent="0.3"/>
  <cols>
    <col min="1" max="1" width="2.44140625" customWidth="1"/>
    <col min="2" max="2" width="3" customWidth="1"/>
    <col min="3" max="3" width="26" customWidth="1"/>
    <col min="4" max="5" width="14" customWidth="1"/>
    <col min="6" max="6" width="30" customWidth="1"/>
    <col min="7" max="8" width="14" customWidth="1"/>
    <col min="9" max="9" width="20" customWidth="1"/>
  </cols>
  <sheetData>
    <row r="2" spans="2:9" x14ac:dyDescent="0.3">
      <c r="B2" s="11"/>
      <c r="C2" s="11"/>
      <c r="D2" s="11"/>
      <c r="E2" s="11"/>
      <c r="F2" s="11"/>
      <c r="G2" s="11"/>
      <c r="H2" s="219"/>
      <c r="I2" s="219"/>
    </row>
    <row r="3" spans="2:9" ht="21.75" customHeight="1" x14ac:dyDescent="0.3">
      <c r="B3" s="222" t="s">
        <v>0</v>
      </c>
      <c r="C3" s="222"/>
      <c r="D3" s="222"/>
      <c r="E3" s="222"/>
      <c r="F3" s="222"/>
      <c r="G3" s="222"/>
      <c r="H3" s="220"/>
      <c r="I3" s="220"/>
    </row>
    <row r="4" spans="2:9" ht="13.5" customHeight="1" x14ac:dyDescent="0.3">
      <c r="B4" s="222"/>
      <c r="C4" s="222"/>
      <c r="D4" s="222"/>
      <c r="E4" s="222"/>
      <c r="F4" s="222"/>
      <c r="G4" s="222"/>
      <c r="H4" s="220"/>
      <c r="I4" s="220"/>
    </row>
    <row r="5" spans="2:9" ht="13.5" customHeight="1" x14ac:dyDescent="0.3">
      <c r="B5" s="223" t="s">
        <v>1</v>
      </c>
      <c r="C5" s="223"/>
      <c r="D5" s="223"/>
      <c r="E5" s="223"/>
      <c r="F5" s="223"/>
      <c r="G5" s="223"/>
      <c r="H5" s="221"/>
      <c r="I5" s="221"/>
    </row>
    <row r="6" spans="2:9" ht="12" customHeight="1" x14ac:dyDescent="0.3">
      <c r="B6" s="223"/>
      <c r="C6" s="223"/>
      <c r="D6" s="223"/>
      <c r="E6" s="223"/>
      <c r="F6" s="223"/>
      <c r="G6" s="223"/>
      <c r="H6" s="221"/>
      <c r="I6" s="221"/>
    </row>
    <row r="7" spans="2:9" x14ac:dyDescent="0.3">
      <c r="B7" s="223"/>
      <c r="C7" s="223"/>
      <c r="D7" s="223"/>
      <c r="E7" s="223"/>
      <c r="F7" s="223"/>
      <c r="G7" s="223"/>
      <c r="H7" s="219"/>
      <c r="I7" s="219"/>
    </row>
    <row r="9" spans="2:9" ht="16.5" customHeight="1" x14ac:dyDescent="0.3">
      <c r="B9" s="10" t="s">
        <v>2</v>
      </c>
      <c r="C9" s="10"/>
      <c r="D9" s="10"/>
      <c r="E9" s="10"/>
      <c r="F9" s="10"/>
      <c r="G9" s="10"/>
      <c r="H9" s="10"/>
      <c r="I9" s="10"/>
    </row>
    <row r="10" spans="2:9" ht="30" customHeight="1" x14ac:dyDescent="0.3">
      <c r="B10" s="9" t="s">
        <v>3</v>
      </c>
      <c r="C10" s="9"/>
      <c r="D10" s="9"/>
      <c r="E10" s="9"/>
      <c r="F10" s="9"/>
      <c r="G10" s="9"/>
      <c r="H10" s="9"/>
      <c r="I10" s="9"/>
    </row>
    <row r="11" spans="2:9" x14ac:dyDescent="0.3">
      <c r="B11" s="9"/>
      <c r="C11" s="9"/>
      <c r="D11" s="9"/>
      <c r="E11" s="9"/>
      <c r="F11" s="9"/>
      <c r="G11" s="9"/>
      <c r="H11" s="9"/>
      <c r="I11" s="9"/>
    </row>
    <row r="13" spans="2:9" ht="16.5" customHeight="1" x14ac:dyDescent="0.3">
      <c r="B13" s="10" t="s">
        <v>4</v>
      </c>
      <c r="C13" s="10"/>
      <c r="D13" s="10"/>
      <c r="E13" s="10"/>
      <c r="F13" s="10"/>
      <c r="G13" s="10"/>
      <c r="H13" s="10"/>
      <c r="I13" s="10"/>
    </row>
    <row r="14" spans="2:9" ht="42" customHeight="1" x14ac:dyDescent="0.3">
      <c r="B14" s="9" t="s">
        <v>5</v>
      </c>
      <c r="C14" s="9"/>
      <c r="D14" s="9"/>
      <c r="E14" s="9"/>
      <c r="F14" s="9"/>
      <c r="G14" s="9"/>
      <c r="H14" s="9"/>
      <c r="I14" s="9"/>
    </row>
    <row r="15" spans="2:9" x14ac:dyDescent="0.3">
      <c r="B15" s="9"/>
      <c r="C15" s="9"/>
      <c r="D15" s="9"/>
      <c r="E15" s="9"/>
      <c r="F15" s="9"/>
      <c r="G15" s="9"/>
      <c r="H15" s="9"/>
      <c r="I15" s="9"/>
    </row>
    <row r="16" spans="2:9" x14ac:dyDescent="0.3">
      <c r="B16" s="9"/>
      <c r="C16" s="9"/>
      <c r="D16" s="9"/>
      <c r="E16" s="9"/>
      <c r="F16" s="9"/>
      <c r="G16" s="9"/>
      <c r="H16" s="9"/>
      <c r="I16" s="9"/>
    </row>
    <row r="18" spans="2:9" ht="16.5" customHeight="1" x14ac:dyDescent="0.3">
      <c r="B18" s="10" t="s">
        <v>6</v>
      </c>
      <c r="C18" s="10"/>
      <c r="D18" s="10"/>
      <c r="E18" s="10"/>
      <c r="F18" s="10"/>
      <c r="G18" s="10"/>
      <c r="H18" s="10"/>
      <c r="I18" s="10"/>
    </row>
    <row r="19" spans="2:9" x14ac:dyDescent="0.3">
      <c r="B19" s="229">
        <v>1</v>
      </c>
      <c r="C19" s="230" t="s">
        <v>14</v>
      </c>
      <c r="D19" s="231"/>
      <c r="E19" s="229">
        <v>10</v>
      </c>
      <c r="F19" s="230" t="s">
        <v>1037</v>
      </c>
    </row>
    <row r="20" spans="2:9" x14ac:dyDescent="0.3">
      <c r="B20" s="229">
        <v>2</v>
      </c>
      <c r="C20" s="230" t="s">
        <v>12</v>
      </c>
      <c r="D20" s="231"/>
      <c r="E20" s="229">
        <v>11</v>
      </c>
      <c r="F20" s="230" t="s">
        <v>9</v>
      </c>
    </row>
    <row r="21" spans="2:9" x14ac:dyDescent="0.3">
      <c r="B21" s="229">
        <v>3</v>
      </c>
      <c r="C21" s="230" t="s">
        <v>16</v>
      </c>
      <c r="E21" s="229">
        <v>12</v>
      </c>
      <c r="F21" s="230" t="s">
        <v>11</v>
      </c>
    </row>
    <row r="22" spans="2:9" x14ac:dyDescent="0.3">
      <c r="B22" s="229">
        <v>4</v>
      </c>
      <c r="C22" s="230" t="s">
        <v>1035</v>
      </c>
      <c r="E22" s="229">
        <v>13</v>
      </c>
      <c r="F22" s="230" t="s">
        <v>13</v>
      </c>
    </row>
    <row r="23" spans="2:9" x14ac:dyDescent="0.3">
      <c r="B23" s="229">
        <v>5</v>
      </c>
      <c r="C23" s="230" t="s">
        <v>7</v>
      </c>
      <c r="E23" s="229">
        <v>14</v>
      </c>
      <c r="F23" s="230" t="s">
        <v>15</v>
      </c>
    </row>
    <row r="24" spans="2:9" x14ac:dyDescent="0.3">
      <c r="B24" s="229">
        <v>6</v>
      </c>
      <c r="C24" s="230" t="s">
        <v>8</v>
      </c>
      <c r="E24" s="229">
        <v>15</v>
      </c>
      <c r="F24" s="230" t="s">
        <v>17</v>
      </c>
    </row>
    <row r="25" spans="2:9" x14ac:dyDescent="0.3">
      <c r="B25" s="229">
        <v>7</v>
      </c>
      <c r="C25" s="230" t="s">
        <v>10</v>
      </c>
      <c r="E25" s="229">
        <v>16</v>
      </c>
      <c r="F25" s="230" t="s">
        <v>19</v>
      </c>
    </row>
    <row r="26" spans="2:9" x14ac:dyDescent="0.3">
      <c r="B26" s="229">
        <v>8</v>
      </c>
      <c r="C26" s="230" t="s">
        <v>18</v>
      </c>
      <c r="E26" s="229">
        <v>17</v>
      </c>
      <c r="F26" s="230" t="s">
        <v>21</v>
      </c>
    </row>
    <row r="27" spans="2:9" x14ac:dyDescent="0.3">
      <c r="B27" s="229">
        <v>9</v>
      </c>
      <c r="C27" s="230" t="s">
        <v>1036</v>
      </c>
      <c r="E27" s="229">
        <v>18</v>
      </c>
      <c r="F27" s="230" t="s">
        <v>22</v>
      </c>
    </row>
    <row r="29" spans="2:9" ht="16.5" customHeight="1" x14ac:dyDescent="0.3">
      <c r="B29" s="10" t="s">
        <v>23</v>
      </c>
      <c r="C29" s="10"/>
      <c r="D29" s="10"/>
      <c r="E29" s="10"/>
      <c r="F29" s="10"/>
      <c r="G29" s="10"/>
      <c r="H29" s="10"/>
      <c r="I29" s="10"/>
    </row>
    <row r="30" spans="2:9" x14ac:dyDescent="0.3">
      <c r="B30" s="14" t="s">
        <v>24</v>
      </c>
      <c r="C30" s="13" t="s">
        <v>25</v>
      </c>
      <c r="F30" s="15" t="s">
        <v>24</v>
      </c>
      <c r="G30" s="8" t="s">
        <v>26</v>
      </c>
      <c r="H30" s="8"/>
      <c r="I30" s="8"/>
    </row>
    <row r="31" spans="2:9" x14ac:dyDescent="0.3">
      <c r="B31" s="16" t="s">
        <v>24</v>
      </c>
      <c r="C31" s="13" t="s">
        <v>27</v>
      </c>
    </row>
    <row r="32" spans="2:9" x14ac:dyDescent="0.3">
      <c r="B32" s="17" t="s">
        <v>24</v>
      </c>
      <c r="C32" s="13" t="s">
        <v>28</v>
      </c>
      <c r="F32" s="18" t="s">
        <v>29</v>
      </c>
    </row>
    <row r="33" spans="2:9" x14ac:dyDescent="0.3">
      <c r="B33" s="19" t="s">
        <v>24</v>
      </c>
      <c r="C33" s="13" t="s">
        <v>30</v>
      </c>
      <c r="F33" s="18" t="s">
        <v>31</v>
      </c>
    </row>
    <row r="34" spans="2:9" x14ac:dyDescent="0.3">
      <c r="F34" s="20" t="s">
        <v>32</v>
      </c>
    </row>
    <row r="35" spans="2:9" x14ac:dyDescent="0.3">
      <c r="F35" s="21" t="s">
        <v>33</v>
      </c>
    </row>
    <row r="36" spans="2:9" ht="16.5" customHeight="1" x14ac:dyDescent="0.3">
      <c r="B36" s="10" t="s">
        <v>34</v>
      </c>
      <c r="C36" s="10"/>
      <c r="D36" s="10"/>
      <c r="E36" s="10"/>
      <c r="F36" s="10"/>
      <c r="G36" s="10"/>
      <c r="H36" s="10"/>
      <c r="I36" s="10"/>
    </row>
    <row r="37" spans="2:9" ht="13.5" customHeight="1" x14ac:dyDescent="0.3">
      <c r="B37" s="224" t="s">
        <v>35</v>
      </c>
      <c r="C37" s="224"/>
      <c r="D37" s="226" t="s">
        <v>36</v>
      </c>
      <c r="E37" s="226"/>
      <c r="F37" s="226"/>
      <c r="G37" s="226"/>
      <c r="H37" s="226"/>
      <c r="I37" s="226"/>
    </row>
    <row r="38" spans="2:9" ht="13.5" customHeight="1" x14ac:dyDescent="0.3">
      <c r="B38" s="224" t="s">
        <v>37</v>
      </c>
      <c r="C38" s="224"/>
      <c r="D38" s="228">
        <v>46246</v>
      </c>
      <c r="E38" s="227"/>
      <c r="F38" s="227"/>
      <c r="G38" s="227"/>
      <c r="H38" s="227"/>
      <c r="I38" s="227"/>
    </row>
    <row r="39" spans="2:9" ht="13.5" customHeight="1" x14ac:dyDescent="0.3">
      <c r="B39" s="224" t="s">
        <v>38</v>
      </c>
      <c r="C39" s="224"/>
      <c r="D39" s="225" t="s">
        <v>39</v>
      </c>
      <c r="E39" s="225"/>
      <c r="F39" s="225"/>
      <c r="G39" s="225"/>
      <c r="H39" s="225"/>
      <c r="I39" s="225"/>
    </row>
    <row r="40" spans="2:9" ht="13.5" customHeight="1" x14ac:dyDescent="0.3">
      <c r="B40" s="224" t="s">
        <v>40</v>
      </c>
      <c r="C40" s="224"/>
      <c r="D40" s="225" t="s">
        <v>41</v>
      </c>
      <c r="E40" s="225"/>
      <c r="F40" s="225"/>
      <c r="G40" s="225"/>
      <c r="H40" s="225"/>
      <c r="I40" s="225"/>
    </row>
    <row r="41" spans="2:9" ht="13.5" customHeight="1" x14ac:dyDescent="0.3">
      <c r="B41" s="224" t="s">
        <v>42</v>
      </c>
      <c r="C41" s="224"/>
      <c r="D41" s="225" t="s">
        <v>43</v>
      </c>
      <c r="E41" s="225"/>
      <c r="F41" s="225"/>
      <c r="G41" s="225"/>
      <c r="H41" s="225"/>
      <c r="I41" s="225"/>
    </row>
    <row r="42" spans="2:9" ht="24" customHeight="1" x14ac:dyDescent="0.3">
      <c r="B42" s="224" t="s">
        <v>44</v>
      </c>
      <c r="C42" s="224"/>
      <c r="D42" s="225" t="s">
        <v>45</v>
      </c>
      <c r="E42" s="225"/>
      <c r="F42" s="225"/>
      <c r="G42" s="225"/>
      <c r="H42" s="225"/>
      <c r="I42" s="225"/>
    </row>
    <row r="43" spans="2:9" ht="13.5" customHeight="1" x14ac:dyDescent="0.3">
      <c r="B43" s="224" t="s">
        <v>46</v>
      </c>
      <c r="C43" s="224"/>
      <c r="D43" s="225" t="s">
        <v>47</v>
      </c>
      <c r="E43" s="225"/>
      <c r="F43" s="225"/>
      <c r="G43" s="225"/>
      <c r="H43" s="225"/>
      <c r="I43" s="225"/>
    </row>
    <row r="44" spans="2:9" ht="24" customHeight="1" x14ac:dyDescent="0.3">
      <c r="B44" s="224" t="s">
        <v>48</v>
      </c>
      <c r="C44" s="224"/>
      <c r="D44" s="225" t="s">
        <v>49</v>
      </c>
      <c r="E44" s="225"/>
      <c r="F44" s="225"/>
      <c r="G44" s="225"/>
      <c r="H44" s="225"/>
      <c r="I44" s="225"/>
    </row>
    <row r="45" spans="2:9" ht="13.5" customHeight="1" x14ac:dyDescent="0.3">
      <c r="B45" s="224" t="s">
        <v>50</v>
      </c>
      <c r="C45" s="224"/>
      <c r="D45" s="225" t="s">
        <v>51</v>
      </c>
      <c r="E45" s="225"/>
      <c r="F45" s="225"/>
      <c r="G45" s="225"/>
      <c r="H45" s="225"/>
      <c r="I45" s="225"/>
    </row>
    <row r="46" spans="2:9" ht="13.5" customHeight="1" x14ac:dyDescent="0.3">
      <c r="B46" s="224" t="s">
        <v>52</v>
      </c>
      <c r="C46" s="224"/>
      <c r="D46" s="225" t="s">
        <v>53</v>
      </c>
      <c r="E46" s="225"/>
      <c r="F46" s="225"/>
      <c r="G46" s="225"/>
      <c r="H46" s="225"/>
      <c r="I46" s="225"/>
    </row>
    <row r="48" spans="2:9" ht="16.5" customHeight="1" x14ac:dyDescent="0.3">
      <c r="B48" s="10" t="s">
        <v>54</v>
      </c>
      <c r="C48" s="10"/>
      <c r="D48" s="10"/>
      <c r="E48" s="10"/>
      <c r="F48" s="10"/>
      <c r="G48" s="10"/>
      <c r="H48" s="10"/>
      <c r="I48" s="10"/>
    </row>
    <row r="49" spans="2:9" x14ac:dyDescent="0.3">
      <c r="B49" s="23" t="s">
        <v>55</v>
      </c>
      <c r="C49" s="6" t="s">
        <v>56</v>
      </c>
      <c r="D49" s="6"/>
      <c r="E49" s="6"/>
      <c r="F49" s="6"/>
      <c r="G49" s="6"/>
      <c r="H49" s="6"/>
      <c r="I49" s="6"/>
    </row>
    <row r="50" spans="2:9" x14ac:dyDescent="0.3">
      <c r="B50" s="23" t="s">
        <v>55</v>
      </c>
      <c r="C50" s="6" t="s">
        <v>57</v>
      </c>
      <c r="D50" s="6"/>
      <c r="E50" s="6"/>
      <c r="F50" s="6"/>
      <c r="G50" s="6"/>
      <c r="H50" s="6"/>
      <c r="I50" s="6"/>
    </row>
    <row r="51" spans="2:9" x14ac:dyDescent="0.3">
      <c r="B51" s="23" t="s">
        <v>55</v>
      </c>
      <c r="C51" s="6" t="s">
        <v>58</v>
      </c>
      <c r="D51" s="6"/>
      <c r="E51" s="6"/>
      <c r="F51" s="6"/>
      <c r="G51" s="6"/>
      <c r="H51" s="6"/>
      <c r="I51" s="6"/>
    </row>
    <row r="52" spans="2:9" x14ac:dyDescent="0.3">
      <c r="B52" s="23" t="s">
        <v>55</v>
      </c>
      <c r="C52" s="6" t="s">
        <v>59</v>
      </c>
      <c r="D52" s="6"/>
      <c r="E52" s="6"/>
      <c r="F52" s="6"/>
      <c r="G52" s="6"/>
      <c r="H52" s="6"/>
      <c r="I52" s="6"/>
    </row>
    <row r="53" spans="2:9" x14ac:dyDescent="0.3">
      <c r="B53" s="23" t="s">
        <v>55</v>
      </c>
      <c r="C53" s="6" t="s">
        <v>60</v>
      </c>
      <c r="D53" s="6"/>
      <c r="E53" s="6"/>
      <c r="F53" s="6"/>
      <c r="G53" s="6"/>
      <c r="H53" s="6"/>
      <c r="I53" s="6"/>
    </row>
    <row r="54" spans="2:9" x14ac:dyDescent="0.3">
      <c r="B54" s="23" t="s">
        <v>55</v>
      </c>
      <c r="C54" s="6" t="s">
        <v>61</v>
      </c>
      <c r="D54" s="6"/>
      <c r="E54" s="6"/>
      <c r="F54" s="6"/>
      <c r="G54" s="6"/>
      <c r="H54" s="6"/>
      <c r="I54" s="6"/>
    </row>
    <row r="55" spans="2:9" x14ac:dyDescent="0.3">
      <c r="B55" s="23" t="s">
        <v>55</v>
      </c>
      <c r="C55" s="6" t="s">
        <v>62</v>
      </c>
      <c r="D55" s="6"/>
      <c r="E55" s="6"/>
      <c r="F55" s="6"/>
      <c r="G55" s="6"/>
      <c r="H55" s="6"/>
      <c r="I55" s="6"/>
    </row>
    <row r="56" spans="2:9" x14ac:dyDescent="0.3">
      <c r="B56" s="23" t="s">
        <v>55</v>
      </c>
      <c r="C56" s="6" t="s">
        <v>63</v>
      </c>
      <c r="D56" s="6"/>
      <c r="E56" s="6"/>
      <c r="F56" s="6"/>
      <c r="G56" s="6"/>
      <c r="H56" s="6"/>
      <c r="I56" s="6"/>
    </row>
    <row r="58" spans="2:9" ht="16.5" customHeight="1" x14ac:dyDescent="0.3">
      <c r="B58" s="10" t="s">
        <v>64</v>
      </c>
      <c r="C58" s="10"/>
      <c r="D58" s="10"/>
      <c r="E58" s="10"/>
      <c r="F58" s="10"/>
      <c r="G58" s="10"/>
      <c r="H58" s="10"/>
      <c r="I58" s="10"/>
    </row>
    <row r="59" spans="2:9" ht="21.75" customHeight="1" x14ac:dyDescent="0.3">
      <c r="B59" s="25" t="s">
        <v>55</v>
      </c>
      <c r="C59" s="7" t="s">
        <v>65</v>
      </c>
      <c r="D59" s="7"/>
      <c r="E59" s="7"/>
      <c r="F59" s="7"/>
      <c r="G59" s="7"/>
      <c r="H59" s="7"/>
      <c r="I59" s="7"/>
    </row>
    <row r="60" spans="2:9" ht="21.75" customHeight="1" x14ac:dyDescent="0.3">
      <c r="B60" s="25" t="s">
        <v>55</v>
      </c>
      <c r="C60" s="7" t="s">
        <v>66</v>
      </c>
      <c r="D60" s="7"/>
      <c r="E60" s="7"/>
      <c r="F60" s="7"/>
      <c r="G60" s="7"/>
      <c r="H60" s="7"/>
      <c r="I60" s="7"/>
    </row>
    <row r="61" spans="2:9" ht="21.75" customHeight="1" x14ac:dyDescent="0.3">
      <c r="B61" s="25" t="s">
        <v>55</v>
      </c>
      <c r="C61" s="7" t="s">
        <v>67</v>
      </c>
      <c r="D61" s="7"/>
      <c r="E61" s="7"/>
      <c r="F61" s="7"/>
      <c r="G61" s="7"/>
      <c r="H61" s="7"/>
      <c r="I61" s="7"/>
    </row>
    <row r="62" spans="2:9" ht="21.75" customHeight="1" x14ac:dyDescent="0.3">
      <c r="B62" s="25" t="s">
        <v>55</v>
      </c>
      <c r="C62" s="7" t="s">
        <v>68</v>
      </c>
      <c r="D62" s="7"/>
      <c r="E62" s="7"/>
      <c r="F62" s="7"/>
      <c r="G62" s="7"/>
      <c r="H62" s="7"/>
      <c r="I62" s="7"/>
    </row>
    <row r="63" spans="2:9" ht="21.75" customHeight="1" x14ac:dyDescent="0.3">
      <c r="B63" s="25" t="s">
        <v>55</v>
      </c>
      <c r="C63" s="7" t="s">
        <v>69</v>
      </c>
      <c r="D63" s="7"/>
      <c r="E63" s="7"/>
      <c r="F63" s="7"/>
      <c r="G63" s="7"/>
      <c r="H63" s="7"/>
      <c r="I63" s="7"/>
    </row>
    <row r="64" spans="2:9" ht="21.75" customHeight="1" x14ac:dyDescent="0.3">
      <c r="B64" s="25" t="s">
        <v>55</v>
      </c>
      <c r="C64" s="7" t="s">
        <v>70</v>
      </c>
      <c r="D64" s="7"/>
      <c r="E64" s="7"/>
      <c r="F64" s="7"/>
      <c r="G64" s="7"/>
      <c r="H64" s="7"/>
      <c r="I64" s="7"/>
    </row>
    <row r="65" spans="2:9" ht="21.75" customHeight="1" x14ac:dyDescent="0.3">
      <c r="B65" s="25" t="s">
        <v>55</v>
      </c>
      <c r="C65" s="7" t="s">
        <v>71</v>
      </c>
      <c r="D65" s="7"/>
      <c r="E65" s="7"/>
      <c r="F65" s="7"/>
      <c r="G65" s="7"/>
      <c r="H65" s="7"/>
      <c r="I65" s="7"/>
    </row>
  </sheetData>
  <mergeCells count="47">
    <mergeCell ref="C64:I64"/>
    <mergeCell ref="C65:I65"/>
    <mergeCell ref="B3:G4"/>
    <mergeCell ref="B5:G7"/>
    <mergeCell ref="B37:C37"/>
    <mergeCell ref="B38:C38"/>
    <mergeCell ref="B39:C39"/>
    <mergeCell ref="B40:C40"/>
    <mergeCell ref="B41:C41"/>
    <mergeCell ref="B42:C42"/>
    <mergeCell ref="B43:C43"/>
    <mergeCell ref="B44:C44"/>
    <mergeCell ref="B45:C45"/>
    <mergeCell ref="B46:C46"/>
    <mergeCell ref="C59:I59"/>
    <mergeCell ref="C60:I60"/>
    <mergeCell ref="C61:I61"/>
    <mergeCell ref="C62:I62"/>
    <mergeCell ref="C63:I63"/>
    <mergeCell ref="C53:I53"/>
    <mergeCell ref="C54:I54"/>
    <mergeCell ref="C55:I55"/>
    <mergeCell ref="C56:I56"/>
    <mergeCell ref="B58:I58"/>
    <mergeCell ref="B48:I48"/>
    <mergeCell ref="C49:I49"/>
    <mergeCell ref="C50:I50"/>
    <mergeCell ref="C51:I51"/>
    <mergeCell ref="C52:I52"/>
    <mergeCell ref="D42:I42"/>
    <mergeCell ref="D43:I43"/>
    <mergeCell ref="D44:I44"/>
    <mergeCell ref="D45:I45"/>
    <mergeCell ref="D46:I46"/>
    <mergeCell ref="D37:I37"/>
    <mergeCell ref="D38:I38"/>
    <mergeCell ref="D39:I39"/>
    <mergeCell ref="D40:I40"/>
    <mergeCell ref="D41:I41"/>
    <mergeCell ref="B14:I16"/>
    <mergeCell ref="B18:I18"/>
    <mergeCell ref="B29:I29"/>
    <mergeCell ref="G30:I30"/>
    <mergeCell ref="B36:I36"/>
    <mergeCell ref="B9:I9"/>
    <mergeCell ref="B10:I11"/>
    <mergeCell ref="B13:I13"/>
  </mergeCells>
  <hyperlinks>
    <hyperlink ref="C19" location="'Balance Sheet'!A1" tooltip="Go to Balance Sheet" display="Balance Sheet" xr:uid="{4A118849-A79E-4285-B8B4-0B1EBE656489}"/>
    <hyperlink ref="C20" location="'Income Statement'!A1" tooltip="Go to Income Statement" display="Income Statement" xr:uid="{AC3A78D3-091C-4A41-A20A-F0AC00FE1C1A}"/>
    <hyperlink ref="C21" location="'Cash Flows'!A1" tooltip="Go to Cash Flows" display="Cash Flows" xr:uid="{AD97340A-F85B-4FD1-93D4-FBED363A1ADF}"/>
    <hyperlink ref="C22" location="'Graphical Representation'!A1" tooltip="Go to Graphical Representation" display="Graphical Representation" xr:uid="{9776BB82-7175-4F30-A257-9B7A0976306F}"/>
    <hyperlink ref="C23" location="'Guidance &amp; Assumptions'!A1" tooltip="Go to Guidance &amp; Assumptions" display="Guidance &amp; Assumptions" xr:uid="{FCF66630-0B6B-4F86-814B-369E65B71764}"/>
    <hyperlink ref="C24" location="'Revenue Segments'!A1" tooltip="Go to Revenue Segments" display="Revenue Segments" xr:uid="{0F43A6C7-3730-4AE6-A475-3B616A33E18B}"/>
    <hyperlink ref="C25" location="'Cost Structure &amp; Hedging'!A1" tooltip="Go to Cost Structure &amp; Hedging" display="Cost Structure &amp; Hedging" xr:uid="{AF1DBD75-4887-46D4-A29B-3421ED9E159E}"/>
    <hyperlink ref="C26" location="'Debt &amp; Cost of Capital'!A1" tooltip="Go to Debt &amp; Cost of Capital" display="Debt &amp; Cost of Capital" xr:uid="{20E51135-52DD-4B0D-8A68-C6B923510644}"/>
    <hyperlink ref="C27" location="'DCF - FCFF'!A1" tooltip="Go to DCF - FCFF" display="DCF - FCFF" xr:uid="{DF2DE131-8F6A-4D8F-B38D-F29ABBF3CA3C}"/>
    <hyperlink ref="F19" location="'DCF - FCFE &amp; DDM'!A1" tooltip="Go to DCF - FCFE &amp; DDM" display="DCF - FCFE &amp; DDM" xr:uid="{EE7D808C-583D-4733-AAB3-3783796489A7}"/>
    <hyperlink ref="F20" location="'TVS Credit (NBFC)'!A1" tooltip="Go to TVS Credit (NBFC)" display="TVS Credit (NBFC)" xr:uid="{13C22A32-9AE7-4AA3-A66C-4778536C470C}"/>
    <hyperlink ref="F21" location="'Peer Comps'!A1" tooltip="Go to Peer Comps" display="Peer Comps" xr:uid="{A5CAF307-069A-4F59-97F6-C44F60A4703B}"/>
    <hyperlink ref="F22" location="'Precedent Transactions'!A1" tooltip="Go to Precedent Transactions" display="Precedent Transactions" xr:uid="{92D9683A-321B-4597-BA5A-8ABB8EE55510}"/>
    <hyperlink ref="F23" location="'Asset-Based Valuation'!A1" tooltip="Go to Asset-Based Valuation" display="Asset-Based Valuation" xr:uid="{896D5139-9EEE-40F7-A725-6A75F5375111}"/>
    <hyperlink ref="F24" location="'SOTP &amp; Football Field'!A1" tooltip="Go to SOTP &amp; Football Field" display="SOTP &amp; Football Field" xr:uid="{DE4872DD-B934-4E0C-B3C4-B772FD736279}"/>
    <hyperlink ref="F25" location="'Sensitivity &amp; Scenarios'!A1" tooltip="Go to Sensitivity &amp; Scenarios" display="Sensitivity &amp; Scenarios" xr:uid="{B6848B2F-CCD0-4677-BDAA-558B599C4C33}"/>
    <hyperlink ref="F26" location="'Monte Carlo'!A1" tooltip="Go to Monte Carlo" display="Monte Carlo" xr:uid="{5CF45FD6-3A82-4D28-834F-29EE88F9FCC1}"/>
    <hyperlink ref="F27" location="'Credit &amp; Quality Analysis'!A1" tooltip="Go to Credit &amp; Quality Analysis" display="Credit &amp; Quality Analysis" xr:uid="{99321DC2-931E-47FE-9773-D0FCD22D56F6}"/>
  </hyperlinks>
  <printOptions horizontalCentered="1"/>
  <pageMargins left="0.75" right="0.75" top="1" bottom="1" header="0.511811023622047" footer="0.511811023622047"/>
  <pageSetup orientation="landscape"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13A44"/>
  </sheetPr>
  <dimension ref="B1:O79"/>
  <sheetViews>
    <sheetView showGridLines="0" zoomScale="90" zoomScaleNormal="90" workbookViewId="0">
      <pane xSplit="2" ySplit="6" topLeftCell="C7" activePane="bottomRight" state="frozen"/>
      <selection pane="topRight" activeCell="C1" sqref="C1"/>
      <selection pane="bottomLeft" activeCell="A7" sqref="A7"/>
      <selection pane="bottomRight" activeCell="F11" sqref="F11"/>
    </sheetView>
  </sheetViews>
  <sheetFormatPr defaultColWidth="8.6640625" defaultRowHeight="14.4" x14ac:dyDescent="0.3"/>
  <cols>
    <col min="1" max="1" width="2" customWidth="1"/>
    <col min="2" max="2" width="46" customWidth="1"/>
    <col min="3" max="3" width="20" customWidth="1"/>
    <col min="4" max="12" width="12" customWidth="1"/>
    <col min="13" max="13" width="14" customWidth="1"/>
    <col min="14" max="14" width="3" customWidth="1"/>
    <col min="15" max="15" width="54" customWidth="1"/>
  </cols>
  <sheetData>
    <row r="1" spans="2:15" ht="24" customHeight="1" x14ac:dyDescent="0.3">
      <c r="B1" s="5" t="s">
        <v>0</v>
      </c>
      <c r="C1" s="5"/>
      <c r="D1" s="5"/>
      <c r="E1" s="5"/>
      <c r="F1" s="5"/>
      <c r="G1" s="5"/>
      <c r="H1" s="5"/>
      <c r="I1" s="5"/>
      <c r="J1" s="5"/>
      <c r="K1" s="5"/>
      <c r="L1" s="5"/>
      <c r="M1" s="5"/>
      <c r="N1" s="5"/>
      <c r="O1" s="5"/>
    </row>
    <row r="2" spans="2:15" ht="15" customHeight="1" x14ac:dyDescent="0.3">
      <c r="B2" s="26" t="s">
        <v>72</v>
      </c>
    </row>
    <row r="3" spans="2:15" ht="13.5" customHeight="1" x14ac:dyDescent="0.3">
      <c r="B3" s="27" t="s">
        <v>73</v>
      </c>
    </row>
    <row r="5" spans="2:15" ht="16.5" customHeight="1" x14ac:dyDescent="0.3">
      <c r="B5" s="10" t="s">
        <v>74</v>
      </c>
      <c r="C5" s="10"/>
      <c r="D5" s="10"/>
      <c r="E5" s="10"/>
      <c r="F5" s="10"/>
      <c r="G5" s="10"/>
      <c r="H5" s="10"/>
      <c r="I5" s="10"/>
      <c r="J5" s="10"/>
      <c r="K5" s="10"/>
      <c r="L5" s="10"/>
      <c r="M5" s="10"/>
      <c r="N5" s="10"/>
      <c r="O5" s="10"/>
    </row>
    <row r="6" spans="2:15" ht="25.5" customHeight="1" x14ac:dyDescent="0.3">
      <c r="B6" s="28" t="s">
        <v>75</v>
      </c>
      <c r="C6" s="28" t="s">
        <v>76</v>
      </c>
      <c r="O6" s="28" t="s">
        <v>77</v>
      </c>
    </row>
    <row r="7" spans="2:15" ht="19.5" customHeight="1" x14ac:dyDescent="0.3">
      <c r="B7" s="29" t="s">
        <v>78</v>
      </c>
      <c r="C7" s="30" t="s">
        <v>79</v>
      </c>
      <c r="O7" s="31" t="s">
        <v>80</v>
      </c>
    </row>
    <row r="8" spans="2:15" ht="19.5" customHeight="1" x14ac:dyDescent="0.3">
      <c r="B8" s="29" t="s">
        <v>81</v>
      </c>
      <c r="C8" s="30" t="s">
        <v>79</v>
      </c>
      <c r="O8" s="31" t="s">
        <v>82</v>
      </c>
    </row>
    <row r="9" spans="2:15" ht="19.5" customHeight="1" x14ac:dyDescent="0.3">
      <c r="B9" s="29" t="s">
        <v>83</v>
      </c>
      <c r="C9" s="30" t="s">
        <v>84</v>
      </c>
      <c r="O9" s="31" t="s">
        <v>85</v>
      </c>
    </row>
    <row r="10" spans="2:15" ht="19.5" customHeight="1" x14ac:dyDescent="0.3">
      <c r="B10" s="29" t="s">
        <v>86</v>
      </c>
      <c r="C10" s="30" t="s">
        <v>87</v>
      </c>
      <c r="O10" s="31" t="s">
        <v>88</v>
      </c>
    </row>
    <row r="11" spans="2:15" ht="19.5" customHeight="1" x14ac:dyDescent="0.3">
      <c r="B11" s="29" t="s">
        <v>89</v>
      </c>
      <c r="C11" s="30" t="s">
        <v>90</v>
      </c>
      <c r="O11" s="31" t="s">
        <v>91</v>
      </c>
    </row>
    <row r="12" spans="2:15" ht="19.5" customHeight="1" x14ac:dyDescent="0.3">
      <c r="B12" s="29" t="s">
        <v>92</v>
      </c>
      <c r="C12" s="30" t="s">
        <v>93</v>
      </c>
      <c r="O12" s="31" t="s">
        <v>94</v>
      </c>
    </row>
    <row r="13" spans="2:15" ht="19.5" customHeight="1" x14ac:dyDescent="0.3">
      <c r="B13" s="29" t="s">
        <v>95</v>
      </c>
      <c r="C13" s="30" t="s">
        <v>96</v>
      </c>
      <c r="O13" s="31" t="s">
        <v>97</v>
      </c>
    </row>
    <row r="14" spans="2:15" ht="19.5" customHeight="1" x14ac:dyDescent="0.3">
      <c r="B14" s="29" t="s">
        <v>98</v>
      </c>
      <c r="C14" s="30" t="s">
        <v>99</v>
      </c>
      <c r="O14" s="31" t="s">
        <v>100</v>
      </c>
    </row>
    <row r="15" spans="2:15" ht="19.5" customHeight="1" x14ac:dyDescent="0.3">
      <c r="B15" s="29" t="s">
        <v>101</v>
      </c>
      <c r="C15" s="30" t="s">
        <v>79</v>
      </c>
      <c r="O15" s="31" t="s">
        <v>102</v>
      </c>
    </row>
    <row r="17" spans="2:15" ht="16.5" customHeight="1" x14ac:dyDescent="0.3">
      <c r="B17" s="10" t="s">
        <v>103</v>
      </c>
      <c r="C17" s="10"/>
      <c r="D17" s="10"/>
      <c r="E17" s="10"/>
      <c r="F17" s="10"/>
      <c r="G17" s="10"/>
      <c r="H17" s="10"/>
      <c r="I17" s="10"/>
      <c r="J17" s="10"/>
      <c r="K17" s="10"/>
      <c r="L17" s="10"/>
      <c r="M17" s="10"/>
      <c r="N17" s="10"/>
      <c r="O17" s="10"/>
    </row>
    <row r="18" spans="2:15" x14ac:dyDescent="0.3">
      <c r="B18" s="32" t="s">
        <v>104</v>
      </c>
      <c r="C18" s="33">
        <f>'Debt &amp; Cost of Capital'!C45</f>
        <v>0.13905529997482807</v>
      </c>
    </row>
    <row r="19" spans="2:15" x14ac:dyDescent="0.3">
      <c r="B19" s="32" t="s">
        <v>105</v>
      </c>
      <c r="C19" s="33">
        <f>'Debt &amp; Cost of Capital'!C57</f>
        <v>0.13755225943997798</v>
      </c>
    </row>
    <row r="20" spans="2:15" x14ac:dyDescent="0.3">
      <c r="B20" s="32" t="s">
        <v>106</v>
      </c>
      <c r="C20" s="34">
        <f>'Debt &amp; Cost of Capital'!C64</f>
        <v>5.5E-2</v>
      </c>
    </row>
    <row r="21" spans="2:15" x14ac:dyDescent="0.3">
      <c r="B21" s="32" t="s">
        <v>107</v>
      </c>
      <c r="C21" s="35">
        <f>'DCF - FCFF'!C75</f>
        <v>1774.9018489518817</v>
      </c>
    </row>
    <row r="22" spans="2:15" x14ac:dyDescent="0.3">
      <c r="B22" s="32" t="s">
        <v>108</v>
      </c>
      <c r="C22" s="35">
        <f>'TVS Credit (NBFC)'!C57</f>
        <v>226.87519365896179</v>
      </c>
    </row>
    <row r="23" spans="2:15" x14ac:dyDescent="0.3">
      <c r="B23" s="32" t="s">
        <v>109</v>
      </c>
      <c r="C23" s="35">
        <f>'SOTP &amp; Football Field'!C24</f>
        <v>2079.6575150295794</v>
      </c>
    </row>
    <row r="24" spans="2:15" x14ac:dyDescent="0.3">
      <c r="B24" s="36" t="s">
        <v>110</v>
      </c>
      <c r="C24" s="37">
        <f>'SOTP &amp; Football Field'!C50</f>
        <v>2615.7926478206796</v>
      </c>
    </row>
    <row r="25" spans="2:15" x14ac:dyDescent="0.3">
      <c r="B25" s="32" t="s">
        <v>111</v>
      </c>
      <c r="C25" s="35">
        <f>'Debt &amp; Cost of Capital'!C48</f>
        <v>4343</v>
      </c>
    </row>
    <row r="26" spans="2:15" x14ac:dyDescent="0.3">
      <c r="B26" s="29" t="s">
        <v>112</v>
      </c>
      <c r="C26" s="38">
        <f>'SOTP &amp; Football Field'!C52</f>
        <v>-0.39769913704336179</v>
      </c>
    </row>
    <row r="27" spans="2:15" x14ac:dyDescent="0.3">
      <c r="B27" s="29" t="s">
        <v>113</v>
      </c>
      <c r="C27" s="39" t="str">
        <f>'SOTP &amp; Football Field'!C53</f>
        <v>SELL</v>
      </c>
    </row>
    <row r="29" spans="2:15" ht="16.5" customHeight="1" x14ac:dyDescent="0.3">
      <c r="B29" s="10" t="s">
        <v>114</v>
      </c>
      <c r="C29" s="10"/>
      <c r="D29" s="10"/>
      <c r="E29" s="10"/>
      <c r="F29" s="10"/>
      <c r="G29" s="10"/>
      <c r="H29" s="10"/>
      <c r="I29" s="10"/>
      <c r="J29" s="10"/>
      <c r="K29" s="10"/>
      <c r="L29" s="10"/>
      <c r="M29" s="10"/>
      <c r="N29" s="10"/>
      <c r="O29" s="10"/>
    </row>
    <row r="30" spans="2:15" ht="25.5" customHeight="1" x14ac:dyDescent="0.3">
      <c r="B30" s="40" t="s">
        <v>78</v>
      </c>
      <c r="C30" s="41" t="s">
        <v>115</v>
      </c>
      <c r="D30" s="41" t="s">
        <v>116</v>
      </c>
      <c r="E30" s="41" t="s">
        <v>117</v>
      </c>
      <c r="F30" s="41" t="s">
        <v>118</v>
      </c>
      <c r="G30" s="41" t="s">
        <v>119</v>
      </c>
      <c r="H30" s="41" t="s">
        <v>120</v>
      </c>
      <c r="I30" s="41" t="s">
        <v>116</v>
      </c>
      <c r="J30" s="41" t="s">
        <v>117</v>
      </c>
      <c r="K30" s="41" t="s">
        <v>118</v>
      </c>
      <c r="L30" s="41" t="s">
        <v>119</v>
      </c>
      <c r="M30" s="41" t="s">
        <v>121</v>
      </c>
    </row>
    <row r="31" spans="2:15" x14ac:dyDescent="0.3">
      <c r="B31" s="13" t="s">
        <v>122</v>
      </c>
      <c r="C31" s="42">
        <v>0.72</v>
      </c>
      <c r="D31" s="42">
        <v>0.71899999999999997</v>
      </c>
      <c r="E31" s="42">
        <v>0.71799999999999997</v>
      </c>
      <c r="F31" s="42">
        <v>0.71699999999999997</v>
      </c>
      <c r="G31" s="42">
        <v>0.71599999999999997</v>
      </c>
      <c r="H31" s="42">
        <v>4.4999999999999998E-2</v>
      </c>
      <c r="I31" s="42">
        <v>4.2999999999999997E-2</v>
      </c>
      <c r="J31" s="42">
        <v>4.1000000000000002E-2</v>
      </c>
      <c r="K31" s="42">
        <v>3.9E-2</v>
      </c>
      <c r="L31" s="42">
        <v>3.7999999999999999E-2</v>
      </c>
      <c r="M31" s="43">
        <v>0.7</v>
      </c>
    </row>
    <row r="32" spans="2:15" x14ac:dyDescent="0.3">
      <c r="B32" s="44" t="s">
        <v>79</v>
      </c>
      <c r="C32" s="42">
        <v>0.71199999999999997</v>
      </c>
      <c r="D32" s="42">
        <v>0.70799999999999996</v>
      </c>
      <c r="E32" s="42">
        <v>0.70499999999999996</v>
      </c>
      <c r="F32" s="42">
        <v>0.70299999999999996</v>
      </c>
      <c r="G32" s="42">
        <v>0.70099999999999996</v>
      </c>
      <c r="H32" s="42">
        <v>4.2000000000000003E-2</v>
      </c>
      <c r="I32" s="42">
        <v>0.04</v>
      </c>
      <c r="J32" s="42">
        <v>3.7999999999999999E-2</v>
      </c>
      <c r="K32" s="42">
        <v>3.5999999999999997E-2</v>
      </c>
      <c r="L32" s="42">
        <v>3.5000000000000003E-2</v>
      </c>
      <c r="M32" s="43">
        <v>1</v>
      </c>
    </row>
    <row r="33" spans="2:13" x14ac:dyDescent="0.3">
      <c r="B33" s="13" t="s">
        <v>123</v>
      </c>
      <c r="C33" s="42">
        <v>0.70399999999999996</v>
      </c>
      <c r="D33" s="42">
        <v>0.69699999999999995</v>
      </c>
      <c r="E33" s="42">
        <v>0.69199999999999995</v>
      </c>
      <c r="F33" s="42">
        <v>0.68799999999999994</v>
      </c>
      <c r="G33" s="42">
        <v>0.68500000000000005</v>
      </c>
      <c r="H33" s="42">
        <v>0.04</v>
      </c>
      <c r="I33" s="42">
        <v>3.7999999999999999E-2</v>
      </c>
      <c r="J33" s="42">
        <v>3.5999999999999997E-2</v>
      </c>
      <c r="K33" s="42">
        <v>3.4000000000000002E-2</v>
      </c>
      <c r="L33" s="42">
        <v>3.3000000000000002E-2</v>
      </c>
      <c r="M33" s="43">
        <v>1.25</v>
      </c>
    </row>
    <row r="35" spans="2:13" x14ac:dyDescent="0.3">
      <c r="B35" s="40" t="s">
        <v>81</v>
      </c>
      <c r="C35" s="45" t="s">
        <v>124</v>
      </c>
    </row>
    <row r="36" spans="2:13" x14ac:dyDescent="0.3">
      <c r="B36" s="13" t="s">
        <v>122</v>
      </c>
      <c r="C36" s="42">
        <v>4.4999999999999998E-2</v>
      </c>
    </row>
    <row r="37" spans="2:13" x14ac:dyDescent="0.3">
      <c r="B37" s="44" t="s">
        <v>79</v>
      </c>
      <c r="C37" s="42">
        <v>5.5E-2</v>
      </c>
    </row>
    <row r="38" spans="2:13" x14ac:dyDescent="0.3">
      <c r="B38" s="13" t="s">
        <v>123</v>
      </c>
      <c r="C38" s="42">
        <v>0.06</v>
      </c>
    </row>
    <row r="40" spans="2:13" x14ac:dyDescent="0.3">
      <c r="B40" s="40" t="s">
        <v>86</v>
      </c>
      <c r="C40" s="45" t="s">
        <v>125</v>
      </c>
    </row>
    <row r="41" spans="2:13" x14ac:dyDescent="0.3">
      <c r="B41" s="13" t="s">
        <v>126</v>
      </c>
      <c r="C41" s="46">
        <v>-0.01</v>
      </c>
    </row>
    <row r="42" spans="2:13" x14ac:dyDescent="0.3">
      <c r="B42" s="13" t="s">
        <v>127</v>
      </c>
      <c r="C42" s="46">
        <v>-5.0000000000000001E-3</v>
      </c>
    </row>
    <row r="43" spans="2:13" x14ac:dyDescent="0.3">
      <c r="B43" s="13" t="s">
        <v>87</v>
      </c>
      <c r="C43" s="46">
        <v>0</v>
      </c>
    </row>
    <row r="44" spans="2:13" x14ac:dyDescent="0.3">
      <c r="B44" s="13" t="s">
        <v>128</v>
      </c>
      <c r="C44" s="46">
        <v>5.0000000000000001E-3</v>
      </c>
    </row>
    <row r="45" spans="2:13" x14ac:dyDescent="0.3">
      <c r="B45" s="13" t="s">
        <v>129</v>
      </c>
      <c r="C45" s="46">
        <v>0.01</v>
      </c>
    </row>
    <row r="47" spans="2:13" x14ac:dyDescent="0.3">
      <c r="B47" s="40" t="s">
        <v>89</v>
      </c>
      <c r="C47" s="45" t="s">
        <v>130</v>
      </c>
    </row>
    <row r="48" spans="2:13" x14ac:dyDescent="0.3">
      <c r="B48" s="13" t="s">
        <v>131</v>
      </c>
      <c r="C48" s="42">
        <v>0.4</v>
      </c>
    </row>
    <row r="49" spans="2:10" x14ac:dyDescent="0.3">
      <c r="B49" s="13" t="s">
        <v>90</v>
      </c>
      <c r="C49" s="42">
        <v>0.7</v>
      </c>
    </row>
    <row r="50" spans="2:10" x14ac:dyDescent="0.3">
      <c r="B50" s="13" t="s">
        <v>132</v>
      </c>
      <c r="C50" s="42">
        <v>0.9</v>
      </c>
    </row>
    <row r="52" spans="2:10" x14ac:dyDescent="0.3">
      <c r="B52" s="40" t="s">
        <v>133</v>
      </c>
      <c r="C52" s="45" t="s">
        <v>134</v>
      </c>
    </row>
    <row r="53" spans="2:10" x14ac:dyDescent="0.3">
      <c r="B53" s="13" t="s">
        <v>93</v>
      </c>
      <c r="C53" s="47">
        <f>AVERAGE('TVS Credit (NBFC)'!C49,'TVS Credit (NBFC)'!C50,'TVS Credit (NBFC)'!C51)</f>
        <v>12658.303597164437</v>
      </c>
    </row>
    <row r="54" spans="2:10" x14ac:dyDescent="0.3">
      <c r="B54" s="13" t="s">
        <v>135</v>
      </c>
      <c r="C54" s="47">
        <f>'TVS Credit (NBFC)'!C49</f>
        <v>16687</v>
      </c>
    </row>
    <row r="55" spans="2:10" x14ac:dyDescent="0.3">
      <c r="B55" s="13" t="s">
        <v>136</v>
      </c>
      <c r="C55" s="47">
        <f>'TVS Credit (NBFC)'!C50</f>
        <v>5092.0110192837474</v>
      </c>
    </row>
    <row r="56" spans="2:10" x14ac:dyDescent="0.3">
      <c r="B56" s="13" t="s">
        <v>137</v>
      </c>
      <c r="C56" s="47">
        <f>'TVS Credit (NBFC)'!C51</f>
        <v>16195.899772209566</v>
      </c>
    </row>
    <row r="58" spans="2:10" x14ac:dyDescent="0.3">
      <c r="B58" s="40" t="s">
        <v>95</v>
      </c>
      <c r="C58" s="45" t="s">
        <v>138</v>
      </c>
      <c r="D58" s="45" t="s">
        <v>139</v>
      </c>
    </row>
    <row r="59" spans="2:10" x14ac:dyDescent="0.3">
      <c r="B59" s="13" t="s">
        <v>96</v>
      </c>
      <c r="C59" s="48">
        <f>'Peer Comps'!C19</f>
        <v>26.102337964888925</v>
      </c>
      <c r="D59" s="48">
        <f>'Peer Comps'!D19</f>
        <v>32.745445292620865</v>
      </c>
    </row>
    <row r="60" spans="2:10" x14ac:dyDescent="0.3">
      <c r="B60" s="13" t="s">
        <v>140</v>
      </c>
      <c r="C60" s="48">
        <f>'Peer Comps'!C18</f>
        <v>24.230111016082777</v>
      </c>
      <c r="D60" s="48">
        <f>'Peer Comps'!D18</f>
        <v>30.986506522984396</v>
      </c>
    </row>
    <row r="61" spans="2:10" x14ac:dyDescent="0.3">
      <c r="B61" s="13" t="s">
        <v>141</v>
      </c>
      <c r="C61" s="48">
        <f>MIN('Peer Comps'!C15:C17)</f>
        <v>15.877687391051714</v>
      </c>
      <c r="D61" s="48">
        <f>MIN('Peer Comps'!D15:D17)</f>
        <v>22.171981776765374</v>
      </c>
    </row>
    <row r="62" spans="2:10" x14ac:dyDescent="0.3">
      <c r="B62" s="13" t="s">
        <v>142</v>
      </c>
      <c r="C62" s="48">
        <f>MAX('Peer Comps'!C15:C17)</f>
        <v>30.710307692307694</v>
      </c>
      <c r="D62" s="48">
        <f>MAX('Peer Comps'!D15:D17)</f>
        <v>38.042092499566948</v>
      </c>
    </row>
    <row r="64" spans="2:10" x14ac:dyDescent="0.3">
      <c r="B64" s="40" t="s">
        <v>98</v>
      </c>
      <c r="C64" s="49" t="s">
        <v>143</v>
      </c>
      <c r="D64" s="49" t="s">
        <v>144</v>
      </c>
      <c r="E64" s="49" t="s">
        <v>138</v>
      </c>
      <c r="F64" s="49" t="s">
        <v>139</v>
      </c>
      <c r="G64" s="49" t="s">
        <v>145</v>
      </c>
      <c r="H64" s="49" t="s">
        <v>146</v>
      </c>
      <c r="I64" s="49" t="s">
        <v>147</v>
      </c>
      <c r="J64" s="49" t="s">
        <v>148</v>
      </c>
    </row>
    <row r="65" spans="2:10" x14ac:dyDescent="0.3">
      <c r="B65" s="13" t="s">
        <v>149</v>
      </c>
      <c r="C65" s="42">
        <v>0.55000000000000004</v>
      </c>
      <c r="D65" s="42">
        <v>0.15</v>
      </c>
      <c r="E65" s="42">
        <v>0.15</v>
      </c>
      <c r="F65" s="42">
        <v>0.05</v>
      </c>
      <c r="G65" s="42">
        <v>0.1</v>
      </c>
      <c r="H65" s="42">
        <v>0</v>
      </c>
      <c r="I65" s="42">
        <v>0</v>
      </c>
      <c r="J65" s="50">
        <f>SUM(C65:I65)</f>
        <v>1.0000000000000002</v>
      </c>
    </row>
    <row r="66" spans="2:10" x14ac:dyDescent="0.3">
      <c r="B66" s="44" t="s">
        <v>99</v>
      </c>
      <c r="C66" s="42">
        <v>0.4</v>
      </c>
      <c r="D66" s="42">
        <v>0.1</v>
      </c>
      <c r="E66" s="42">
        <v>0.3</v>
      </c>
      <c r="F66" s="42">
        <v>0.1</v>
      </c>
      <c r="G66" s="42">
        <v>0.1</v>
      </c>
      <c r="H66" s="42">
        <v>0</v>
      </c>
      <c r="I66" s="42">
        <v>0</v>
      </c>
      <c r="J66" s="50">
        <f>SUM(C66:I66)</f>
        <v>1</v>
      </c>
    </row>
    <row r="67" spans="2:10" x14ac:dyDescent="0.3">
      <c r="B67" s="13" t="s">
        <v>150</v>
      </c>
      <c r="C67" s="42">
        <v>0.2</v>
      </c>
      <c r="D67" s="42">
        <v>0.05</v>
      </c>
      <c r="E67" s="42">
        <v>0.45</v>
      </c>
      <c r="F67" s="42">
        <v>0.2</v>
      </c>
      <c r="G67" s="42">
        <v>0.1</v>
      </c>
      <c r="H67" s="42">
        <v>0</v>
      </c>
      <c r="I67" s="42">
        <v>0</v>
      </c>
      <c r="J67" s="50">
        <f>SUM(C67:I67)</f>
        <v>0.99999999999999989</v>
      </c>
    </row>
    <row r="70" spans="2:10" x14ac:dyDescent="0.3">
      <c r="B70" s="40" t="s">
        <v>101</v>
      </c>
      <c r="C70" s="45" t="s">
        <v>151</v>
      </c>
    </row>
    <row r="71" spans="2:10" x14ac:dyDescent="0.3">
      <c r="B71" s="13" t="s">
        <v>152</v>
      </c>
      <c r="C71" s="43">
        <v>0.6</v>
      </c>
    </row>
    <row r="72" spans="2:10" x14ac:dyDescent="0.3">
      <c r="B72" s="13" t="s">
        <v>79</v>
      </c>
      <c r="C72" s="43">
        <v>1</v>
      </c>
    </row>
    <row r="73" spans="2:10" x14ac:dyDescent="0.3">
      <c r="B73" s="13" t="s">
        <v>153</v>
      </c>
      <c r="C73" s="43">
        <v>1.6</v>
      </c>
    </row>
    <row r="75" spans="2:10" x14ac:dyDescent="0.3">
      <c r="B75" s="51" t="s">
        <v>154</v>
      </c>
    </row>
    <row r="76" spans="2:10" x14ac:dyDescent="0.3">
      <c r="B76" s="52" t="s">
        <v>155</v>
      </c>
      <c r="C76" s="53">
        <f>INDEX($M$31:$M$33,MATCH($C$7,$B$31:$B$33,0))</f>
        <v>1</v>
      </c>
    </row>
    <row r="77" spans="2:10" x14ac:dyDescent="0.3">
      <c r="B77" s="52" t="s">
        <v>156</v>
      </c>
      <c r="C77" s="54">
        <f>INDEX($C$41:$C$45,MATCH($C$10,$B$41:$B$45,0))</f>
        <v>0</v>
      </c>
    </row>
    <row r="78" spans="2:10" x14ac:dyDescent="0.3">
      <c r="B78" s="52" t="s">
        <v>157</v>
      </c>
      <c r="C78" s="55">
        <f>INDEX($C$48:$C$50,MATCH($C$11,$B$48:$B$50,0))</f>
        <v>0.7</v>
      </c>
    </row>
    <row r="79" spans="2:10" x14ac:dyDescent="0.3">
      <c r="B79" s="52" t="s">
        <v>158</v>
      </c>
      <c r="C79" s="53">
        <f>INDEX($C$71:$C$73,MATCH($C$15,$B$71:$B$73,0))</f>
        <v>1</v>
      </c>
    </row>
  </sheetData>
  <mergeCells count="4">
    <mergeCell ref="B1:O1"/>
    <mergeCell ref="B5:O5"/>
    <mergeCell ref="B17:O17"/>
    <mergeCell ref="B29:O29"/>
  </mergeCells>
  <dataValidations count="9">
    <dataValidation type="list" showInputMessage="1" showErrorMessage="1" error="Pick one of the listed cases." promptTitle="Select a case" prompt="Raw material and capex as a % of sales, and a multiplier on every segment volume growth rate" sqref="C7" xr:uid="{00000000-0002-0000-0100-000000000000}">
      <formula1>"Conservative,Base,Aggressive"</formula1>
      <formula2>0</formula2>
    </dataValidation>
    <dataValidation type="list" showInputMessage="1" showErrorMessage="1" error="Pick one of the listed cases." promptTitle="Select a case" prompt="Terminal growth g on the Debt &amp; Cost of Capital tab — flows into the DCF, FCFE, DDM and every sensitivity table" sqref="C8" xr:uid="{00000000-0002-0000-0100-000001000000}">
      <formula1>"Conservative,Base,Aggressive"</formula1>
      <formula2>0</formula2>
    </dataValidation>
    <dataValidation type="list" showInputMessage="1" showErrorMessage="1" error="Pick one of the listed cases." promptTitle="Select a case" prompt="Which beta feeds the CAPM: the raw regression, the Hamada-relevered bottom-up, or the average" sqref="C9" xr:uid="{00000000-0002-0000-0100-000002000000}">
      <formula1>"Regression beta,Bottom-up relevered,Average of both"</formula1>
      <formula2>0</formula2>
    </dataValidation>
    <dataValidation type="list" showInputMessage="1" showErrorMessage="1" error="Pick one of the listed cases." promptTitle="Select a case" prompt="A manual overlay on the computed WACC for stress testing without touching the CAPM build" sqref="C10" xr:uid="{00000000-0002-0000-0100-000003000000}">
      <formula1>"-100 bp,-50 bp,As calculated,+50 bp,+100 bp"</formula1>
      <formula2>0</formula2>
    </dataValidation>
    <dataValidation type="list" showInputMessage="1" showErrorMessage="1" error="Pick one of the listed cases." promptTitle="Select a case" prompt="Share of a raw-material price move recovered in vehicle pricing — drives the commodity sensitivity on the Cost tab" sqref="C11" xr:uid="{00000000-0002-0000-0100-000004000000}">
      <formula1>"Weak - 40%,Base - 70%,Strong - 90%"</formula1>
      <formula2>0</formula2>
    </dataValidation>
    <dataValidation type="list" showInputMessage="1" showErrorMessage="1" error="Pick one of the listed cases." promptTitle="Select a case" prompt="Which of the three NBFC methods sets Leg 2 of the sum-of-the-parts" sqref="C12" xr:uid="{00000000-0002-0000-0100-000005000000}">
      <formula1>"Average of three,Peer P/B only,Warranted P/B only,Transaction only"</formula1>
      <formula2>0</formula2>
    </dataValidation>
    <dataValidation type="list" showInputMessage="1" showErrorMessage="1" error="Pick one of the listed cases." promptTitle="Select a case" prompt="Which point of the peer multiple range drives the relative valuation" sqref="C13" xr:uid="{00000000-0002-0000-0100-000006000000}">
      <formula1>"Peer median,Peer mean,Peer low,Peer high"</formula1>
      <formula2>0</formula2>
    </dataValidation>
    <dataValidation type="list" showInputMessage="1" showErrorMessage="1" error="Pick one of the listed cases." promptTitle="Select a case" prompt="The weights applied to the seven methodologies in the concluded value" sqref="C14" xr:uid="{00000000-0002-0000-0100-000007000000}">
      <formula1>"DCF-led,Balanced,Market-led"</formula1>
      <formula2>0</formula2>
    </dataValidation>
    <dataValidation type="list" showInputMessage="1" showErrorMessage="1" error="Pick one of the listed cases." promptTitle="Select a case" prompt="Scales all four input standard deviations in the simulation" sqref="C15" xr:uid="{00000000-0002-0000-0100-000008000000}">
      <formula1>"Low,Base,High"</formula1>
      <formula2>0</formula2>
    </dataValidation>
  </dataValidations>
  <printOptions horizontalCentered="1"/>
  <pageMargins left="0.75" right="0.75" top="1" bottom="1"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13A44"/>
  </sheetPr>
  <dimension ref="B1:L61"/>
  <sheetViews>
    <sheetView showGridLines="0" zoomScale="90" zoomScaleNormal="90" workbookViewId="0">
      <pane xSplit="2" ySplit="3" topLeftCell="C4" activePane="bottomRight" state="frozen"/>
      <selection pane="topRight" activeCell="C1" sqref="C1"/>
      <selection pane="bottomLeft" activeCell="A4" sqref="A4"/>
      <selection pane="bottomRight"/>
    </sheetView>
  </sheetViews>
  <sheetFormatPr defaultColWidth="8.6640625" defaultRowHeight="14.4" x14ac:dyDescent="0.3"/>
  <cols>
    <col min="1" max="1" width="2" customWidth="1"/>
    <col min="2" max="2" width="56" customWidth="1"/>
    <col min="3" max="12" width="12" customWidth="1"/>
  </cols>
  <sheetData>
    <row r="1" spans="2:12" ht="24" customHeight="1" x14ac:dyDescent="0.3">
      <c r="B1" s="5" t="s">
        <v>0</v>
      </c>
      <c r="C1" s="5"/>
      <c r="D1" s="5"/>
      <c r="E1" s="5"/>
      <c r="F1" s="5"/>
      <c r="G1" s="5"/>
      <c r="H1" s="5"/>
      <c r="I1" s="5"/>
      <c r="J1" s="5"/>
      <c r="K1" s="5"/>
      <c r="L1" s="5"/>
    </row>
    <row r="2" spans="2:12" ht="15" customHeight="1" x14ac:dyDescent="0.3">
      <c r="B2" s="26" t="s">
        <v>72</v>
      </c>
      <c r="C2" s="116" t="s">
        <v>334</v>
      </c>
      <c r="D2" s="116" t="s">
        <v>334</v>
      </c>
      <c r="E2" s="116" t="s">
        <v>334</v>
      </c>
      <c r="F2" s="116" t="s">
        <v>334</v>
      </c>
      <c r="G2" s="116" t="s">
        <v>334</v>
      </c>
      <c r="H2" s="116" t="s">
        <v>335</v>
      </c>
      <c r="I2" s="116" t="s">
        <v>335</v>
      </c>
      <c r="J2" s="116" t="s">
        <v>335</v>
      </c>
      <c r="K2" s="116" t="s">
        <v>335</v>
      </c>
      <c r="L2" s="116" t="s">
        <v>335</v>
      </c>
    </row>
    <row r="3" spans="2:12" ht="13.5" customHeight="1" x14ac:dyDescent="0.3">
      <c r="B3" s="27" t="s">
        <v>461</v>
      </c>
      <c r="C3" s="45" t="s">
        <v>212</v>
      </c>
      <c r="D3" s="45" t="s">
        <v>213</v>
      </c>
      <c r="E3" s="45" t="s">
        <v>214</v>
      </c>
      <c r="F3" s="45" t="s">
        <v>215</v>
      </c>
      <c r="G3" s="45" t="s">
        <v>216</v>
      </c>
      <c r="H3" s="92" t="s">
        <v>189</v>
      </c>
      <c r="I3" s="92" t="s">
        <v>190</v>
      </c>
      <c r="J3" s="92" t="s">
        <v>191</v>
      </c>
      <c r="K3" s="92" t="s">
        <v>192</v>
      </c>
      <c r="L3" s="92" t="s">
        <v>193</v>
      </c>
    </row>
    <row r="5" spans="2:12" ht="16.5" customHeight="1" x14ac:dyDescent="0.3">
      <c r="B5" s="10" t="s">
        <v>462</v>
      </c>
      <c r="C5" s="10"/>
      <c r="D5" s="10"/>
      <c r="E5" s="10"/>
      <c r="F5" s="10"/>
      <c r="G5" s="10"/>
      <c r="H5" s="10"/>
      <c r="I5" s="10"/>
      <c r="J5" s="10"/>
      <c r="K5" s="10"/>
      <c r="L5" s="10"/>
    </row>
    <row r="7" spans="2:12" x14ac:dyDescent="0.3">
      <c r="B7" s="26" t="s">
        <v>463</v>
      </c>
    </row>
    <row r="8" spans="2:12" x14ac:dyDescent="0.3">
      <c r="B8" s="93" t="s">
        <v>464</v>
      </c>
      <c r="C8" s="104">
        <v>48</v>
      </c>
      <c r="D8" s="104">
        <v>48</v>
      </c>
      <c r="E8" s="104">
        <v>48</v>
      </c>
      <c r="F8" s="104">
        <v>48</v>
      </c>
      <c r="G8" s="104">
        <v>48</v>
      </c>
      <c r="H8" s="104">
        <f>G8</f>
        <v>48</v>
      </c>
      <c r="I8" s="104">
        <f>H8</f>
        <v>48</v>
      </c>
      <c r="J8" s="104">
        <f>I8</f>
        <v>48</v>
      </c>
      <c r="K8" s="104">
        <f>J8</f>
        <v>48</v>
      </c>
      <c r="L8" s="104">
        <f>K8</f>
        <v>48</v>
      </c>
    </row>
    <row r="9" spans="2:12" x14ac:dyDescent="0.3">
      <c r="B9" s="93" t="s">
        <v>465</v>
      </c>
      <c r="C9" s="104">
        <v>4775</v>
      </c>
      <c r="D9" s="104">
        <v>6000</v>
      </c>
      <c r="E9" s="104">
        <v>7684</v>
      </c>
      <c r="F9" s="104">
        <v>9850</v>
      </c>
      <c r="G9" s="104">
        <v>11187</v>
      </c>
      <c r="H9" s="104">
        <f>G9+'Income Statement'!T36-'Income Statement'!T45</f>
        <v>15333.008283602147</v>
      </c>
      <c r="I9" s="104">
        <f>H9+'Income Statement'!W36-'Income Statement'!W45</f>
        <v>20387.494028814446</v>
      </c>
      <c r="J9" s="104">
        <f>I9+'Income Statement'!Z36-'Income Statement'!Z45</f>
        <v>26292.479960002875</v>
      </c>
      <c r="K9" s="104">
        <f>J9+'Income Statement'!AC36-'Income Statement'!AC45</f>
        <v>32990.345748071144</v>
      </c>
      <c r="L9" s="104">
        <f>K9+'Income Statement'!AF36-'Income Statement'!AF45</f>
        <v>40502.786312757147</v>
      </c>
    </row>
    <row r="11" spans="2:12" x14ac:dyDescent="0.3">
      <c r="B11" s="29" t="s">
        <v>466</v>
      </c>
      <c r="C11" s="103">
        <f t="shared" ref="C11:L11" si="0">C8+C9</f>
        <v>4823</v>
      </c>
      <c r="D11" s="103">
        <f t="shared" si="0"/>
        <v>6048</v>
      </c>
      <c r="E11" s="103">
        <f t="shared" si="0"/>
        <v>7732</v>
      </c>
      <c r="F11" s="103">
        <f t="shared" si="0"/>
        <v>9898</v>
      </c>
      <c r="G11" s="103">
        <f t="shared" si="0"/>
        <v>11235</v>
      </c>
      <c r="H11" s="103">
        <f t="shared" si="0"/>
        <v>15381.008283602147</v>
      </c>
      <c r="I11" s="103">
        <f t="shared" si="0"/>
        <v>20435.494028814446</v>
      </c>
      <c r="J11" s="103">
        <f t="shared" si="0"/>
        <v>26340.479960002875</v>
      </c>
      <c r="K11" s="103">
        <f t="shared" si="0"/>
        <v>33038.345748071144</v>
      </c>
      <c r="L11" s="103">
        <f t="shared" si="0"/>
        <v>40550.786312757147</v>
      </c>
    </row>
    <row r="13" spans="2:12" x14ac:dyDescent="0.3">
      <c r="B13" s="93" t="s">
        <v>467</v>
      </c>
      <c r="C13" s="104">
        <v>1963</v>
      </c>
      <c r="D13" s="104">
        <v>2663</v>
      </c>
      <c r="E13" s="104">
        <v>1964</v>
      </c>
      <c r="F13" s="104">
        <v>2037</v>
      </c>
      <c r="G13" s="104">
        <v>3733</v>
      </c>
      <c r="H13" s="131">
        <f>H53</f>
        <v>3733</v>
      </c>
      <c r="I13" s="131">
        <f>I53</f>
        <v>3733</v>
      </c>
      <c r="J13" s="131">
        <f>J53</f>
        <v>3733</v>
      </c>
      <c r="K13" s="131">
        <f>K53</f>
        <v>3733</v>
      </c>
      <c r="L13" s="131">
        <f>L53</f>
        <v>3733</v>
      </c>
    </row>
    <row r="14" spans="2:12" x14ac:dyDescent="0.3">
      <c r="B14" s="93" t="s">
        <v>468</v>
      </c>
      <c r="C14" s="104">
        <f>C38*'Income Statement'!E10/365</f>
        <v>3946.5123287671231</v>
      </c>
      <c r="D14" s="104">
        <f>D38*'Income Statement'!H10/365</f>
        <v>4010.9589041095892</v>
      </c>
      <c r="E14" s="104">
        <f>E38*'Income Statement'!K10/365</f>
        <v>5077.2602739726026</v>
      </c>
      <c r="F14" s="104">
        <f>F38*'Income Statement'!N10/365</f>
        <v>6212.5150684931505</v>
      </c>
      <c r="G14" s="104">
        <f>G38*'Income Statement'!Q10/365</f>
        <v>8345.3424657534251</v>
      </c>
      <c r="H14" s="104">
        <f>H38*'Income Statement'!T10/365</f>
        <v>10312.05163520219</v>
      </c>
      <c r="I14" s="104">
        <f>I38*'Income Statement'!W10/365</f>
        <v>12212.33766397054</v>
      </c>
      <c r="J14" s="104">
        <f>J38*'Income Statement'!Z10/365</f>
        <v>14049.196953915156</v>
      </c>
      <c r="K14" s="104">
        <f>K38*'Income Statement'!AC10/365</f>
        <v>15861.762958574349</v>
      </c>
      <c r="L14" s="104">
        <f>L38*'Income Statement'!AF10/365</f>
        <v>17701.860327945513</v>
      </c>
    </row>
    <row r="15" spans="2:12" x14ac:dyDescent="0.3">
      <c r="B15" s="93" t="s">
        <v>469</v>
      </c>
      <c r="C15" s="104">
        <f>C16-C14</f>
        <v>1171.4876712328769</v>
      </c>
      <c r="D15" s="104">
        <f>D16-D14</f>
        <v>1270.0410958904108</v>
      </c>
      <c r="E15" s="104">
        <f>E16-E14</f>
        <v>1290.7397260273974</v>
      </c>
      <c r="F15" s="104">
        <f>F16-F14</f>
        <v>1804.4849315068495</v>
      </c>
      <c r="G15" s="104">
        <f>G16-G14</f>
        <v>2602.6575342465749</v>
      </c>
      <c r="H15" s="104">
        <f>G15/'Income Statement'!Q7*'Income Statement'!T7</f>
        <v>3234.0509984653413</v>
      </c>
      <c r="I15" s="104">
        <f>H15/'Income Statement'!T7*'Income Statement'!W7</f>
        <v>3851.6545143365397</v>
      </c>
      <c r="J15" s="104">
        <f>I15/'Income Statement'!W7*'Income Statement'!Z7</f>
        <v>4449.837612878544</v>
      </c>
      <c r="K15" s="104">
        <f>J15/'Income Statement'!Z7*'Income Statement'!AC7</f>
        <v>5038.2290670605153</v>
      </c>
      <c r="L15" s="104">
        <f>K15/'Income Statement'!AC7*'Income Statement'!AF7</f>
        <v>5638.747798355228</v>
      </c>
    </row>
    <row r="16" spans="2:12" x14ac:dyDescent="0.3">
      <c r="B16" s="29" t="s">
        <v>470</v>
      </c>
      <c r="C16" s="103">
        <v>5118</v>
      </c>
      <c r="D16" s="103">
        <v>5281</v>
      </c>
      <c r="E16" s="103">
        <v>6368</v>
      </c>
      <c r="F16" s="103">
        <v>8017</v>
      </c>
      <c r="G16" s="103">
        <v>10948</v>
      </c>
      <c r="H16" s="103">
        <f>H14+H15</f>
        <v>13546.102633667531</v>
      </c>
      <c r="I16" s="103">
        <f>I14+I15</f>
        <v>16063.99217830708</v>
      </c>
      <c r="J16" s="103">
        <f>J14+J15</f>
        <v>18499.0345667937</v>
      </c>
      <c r="K16" s="103">
        <f>K14+K15</f>
        <v>20899.992025634863</v>
      </c>
      <c r="L16" s="103">
        <f>L14+L15</f>
        <v>23340.60812630074</v>
      </c>
    </row>
    <row r="17" spans="2:12" x14ac:dyDescent="0.3">
      <c r="B17" s="29" t="s">
        <v>471</v>
      </c>
      <c r="C17" s="106">
        <f t="shared" ref="C17:L17" si="1">C11+C13+C16</f>
        <v>11904</v>
      </c>
      <c r="D17" s="106">
        <f t="shared" si="1"/>
        <v>13992</v>
      </c>
      <c r="E17" s="106">
        <f t="shared" si="1"/>
        <v>16064</v>
      </c>
      <c r="F17" s="106">
        <f t="shared" si="1"/>
        <v>19952</v>
      </c>
      <c r="G17" s="106">
        <f t="shared" si="1"/>
        <v>25916</v>
      </c>
      <c r="H17" s="106">
        <f t="shared" si="1"/>
        <v>32660.110917269678</v>
      </c>
      <c r="I17" s="106">
        <f t="shared" si="1"/>
        <v>40232.486207121525</v>
      </c>
      <c r="J17" s="106">
        <f t="shared" si="1"/>
        <v>48572.514526796571</v>
      </c>
      <c r="K17" s="106">
        <f t="shared" si="1"/>
        <v>57671.337773706007</v>
      </c>
      <c r="L17" s="106">
        <f t="shared" si="1"/>
        <v>67624.394439057884</v>
      </c>
    </row>
    <row r="19" spans="2:12" x14ac:dyDescent="0.3">
      <c r="B19" s="26" t="s">
        <v>472</v>
      </c>
    </row>
    <row r="20" spans="2:12" x14ac:dyDescent="0.3">
      <c r="B20" s="93" t="s">
        <v>473</v>
      </c>
      <c r="C20" s="104">
        <v>3307</v>
      </c>
      <c r="D20" s="104">
        <v>3596</v>
      </c>
      <c r="E20" s="104">
        <v>3772</v>
      </c>
      <c r="F20" s="104">
        <v>4402</v>
      </c>
      <c r="G20" s="104">
        <v>5460</v>
      </c>
      <c r="H20" s="104">
        <f>H47-H21</f>
        <v>7084.7048996199992</v>
      </c>
      <c r="I20" s="104">
        <f>I47-I21</f>
        <v>8839.9654184963692</v>
      </c>
      <c r="J20" s="104">
        <f>J47-J21</f>
        <v>10651.386501775476</v>
      </c>
      <c r="K20" s="104">
        <f>K47-K21</f>
        <v>12462.172860487364</v>
      </c>
      <c r="L20" s="104">
        <f>L47-L21</f>
        <v>14339.557807343246</v>
      </c>
    </row>
    <row r="21" spans="2:12" x14ac:dyDescent="0.3">
      <c r="B21" s="93" t="s">
        <v>474</v>
      </c>
      <c r="C21" s="104">
        <v>424</v>
      </c>
      <c r="D21" s="104">
        <v>628</v>
      </c>
      <c r="E21" s="104">
        <v>930</v>
      </c>
      <c r="F21" s="104">
        <v>1239</v>
      </c>
      <c r="G21" s="104">
        <v>1360</v>
      </c>
      <c r="H21" s="104">
        <f>G21</f>
        <v>1360</v>
      </c>
      <c r="I21" s="104">
        <f>H21</f>
        <v>1360</v>
      </c>
      <c r="J21" s="104">
        <f>I21</f>
        <v>1360</v>
      </c>
      <c r="K21" s="104">
        <f>J21</f>
        <v>1360</v>
      </c>
      <c r="L21" s="104">
        <f>K21</f>
        <v>1360</v>
      </c>
    </row>
    <row r="22" spans="2:12" x14ac:dyDescent="0.3">
      <c r="B22" s="93" t="s">
        <v>475</v>
      </c>
      <c r="C22" s="104">
        <v>4716</v>
      </c>
      <c r="D22" s="104">
        <v>5684</v>
      </c>
      <c r="E22" s="104">
        <v>6991</v>
      </c>
      <c r="F22" s="104">
        <v>9163</v>
      </c>
      <c r="G22" s="104">
        <v>11647</v>
      </c>
      <c r="H22" s="104">
        <f>H23+H24</f>
        <v>11647</v>
      </c>
      <c r="I22" s="104">
        <f>I23+I24</f>
        <v>11647</v>
      </c>
      <c r="J22" s="104">
        <f>J23+J24</f>
        <v>11647</v>
      </c>
      <c r="K22" s="104">
        <f>K23+K24</f>
        <v>11647</v>
      </c>
      <c r="L22" s="104">
        <f>L23+L24</f>
        <v>11647</v>
      </c>
    </row>
    <row r="23" spans="2:12" x14ac:dyDescent="0.3">
      <c r="B23" s="139" t="s">
        <v>476</v>
      </c>
      <c r="C23" s="135">
        <v>4100</v>
      </c>
      <c r="D23" s="135">
        <v>5000</v>
      </c>
      <c r="E23" s="135">
        <v>6250</v>
      </c>
      <c r="F23" s="135">
        <v>8300</v>
      </c>
      <c r="G23" s="135">
        <v>10650</v>
      </c>
      <c r="H23" s="135">
        <f t="shared" ref="H23:L24" si="2">G23</f>
        <v>10650</v>
      </c>
      <c r="I23" s="135">
        <f t="shared" si="2"/>
        <v>10650</v>
      </c>
      <c r="J23" s="135">
        <f t="shared" si="2"/>
        <v>10650</v>
      </c>
      <c r="K23" s="135">
        <f t="shared" si="2"/>
        <v>10650</v>
      </c>
      <c r="L23" s="135">
        <f t="shared" si="2"/>
        <v>10650</v>
      </c>
    </row>
    <row r="24" spans="2:12" x14ac:dyDescent="0.3">
      <c r="B24" s="139" t="s">
        <v>477</v>
      </c>
      <c r="C24" s="135">
        <f>C22-C23</f>
        <v>616</v>
      </c>
      <c r="D24" s="135">
        <f>D22-D23</f>
        <v>684</v>
      </c>
      <c r="E24" s="135">
        <f>E22-E23</f>
        <v>741</v>
      </c>
      <c r="F24" s="135">
        <f>F22-F23</f>
        <v>863</v>
      </c>
      <c r="G24" s="135">
        <f>G22-G23</f>
        <v>997</v>
      </c>
      <c r="H24" s="135">
        <f t="shared" si="2"/>
        <v>997</v>
      </c>
      <c r="I24" s="135">
        <f t="shared" si="2"/>
        <v>997</v>
      </c>
      <c r="J24" s="135">
        <f t="shared" si="2"/>
        <v>997</v>
      </c>
      <c r="K24" s="135">
        <f t="shared" si="2"/>
        <v>997</v>
      </c>
      <c r="L24" s="135">
        <f t="shared" si="2"/>
        <v>997</v>
      </c>
    </row>
    <row r="26" spans="2:12" x14ac:dyDescent="0.3">
      <c r="B26" s="93" t="s">
        <v>478</v>
      </c>
      <c r="C26" s="104">
        <f>C36*'Income Statement'!E10/365</f>
        <v>1103.3260273972603</v>
      </c>
      <c r="D26" s="104">
        <f>D36*'Income Statement'!H10/365</f>
        <v>1230.027397260274</v>
      </c>
      <c r="E26" s="104">
        <f>E36*'Income Statement'!K10/365</f>
        <v>1332.7808219178082</v>
      </c>
      <c r="F26" s="104">
        <f>F36*'Income Statement'!N10/365</f>
        <v>1713.7972602739726</v>
      </c>
      <c r="G26" s="104">
        <f>G36*'Income Statement'!Q10/365</f>
        <v>1576.3424657534247</v>
      </c>
      <c r="H26" s="104">
        <f>H36*'Income Statement'!T10/365</f>
        <v>1947.8319755381915</v>
      </c>
      <c r="I26" s="104">
        <f>I36*'Income Statement'!W10/365</f>
        <v>2306.7748920833246</v>
      </c>
      <c r="J26" s="104">
        <f>J36*'Income Statement'!Z10/365</f>
        <v>2653.737202406196</v>
      </c>
      <c r="K26" s="104">
        <f>K36*'Income Statement'!AC10/365</f>
        <v>2996.1107810640433</v>
      </c>
      <c r="L26" s="104">
        <f>L36*'Income Statement'!AF10/365</f>
        <v>3343.6847286119305</v>
      </c>
    </row>
    <row r="27" spans="2:12" x14ac:dyDescent="0.3">
      <c r="B27" s="93" t="s">
        <v>479</v>
      </c>
      <c r="C27" s="104">
        <v>900</v>
      </c>
      <c r="D27" s="104">
        <v>800</v>
      </c>
      <c r="E27" s="104">
        <v>1050</v>
      </c>
      <c r="F27" s="104">
        <v>900</v>
      </c>
      <c r="G27" s="104">
        <v>1500</v>
      </c>
      <c r="H27" s="104">
        <f>H17-H20-H21-H22-H26-H28-H29</f>
        <v>5187.1286969209514</v>
      </c>
      <c r="I27" s="104">
        <f>I17-I20-I21-I22-I26-I28-I29</f>
        <v>9607.6808755712682</v>
      </c>
      <c r="J27" s="104">
        <f>J17-J20-J21-J22-J26-J28-J29</f>
        <v>14784.333866177949</v>
      </c>
      <c r="K27" s="104">
        <f>K17-K20-K21-K22-K26-K28-K29</f>
        <v>20741.455928411408</v>
      </c>
      <c r="L27" s="104">
        <f>L17-L20-L21-L22-L26-L28-L29</f>
        <v>27460.63772778042</v>
      </c>
    </row>
    <row r="28" spans="2:12" x14ac:dyDescent="0.3">
      <c r="B28" s="93" t="s">
        <v>480</v>
      </c>
      <c r="C28" s="104">
        <f>C37*'Income Statement'!E7/365</f>
        <v>968.3479452054795</v>
      </c>
      <c r="D28" s="104">
        <f>D37*'Income Statement'!H7/365</f>
        <v>1011.758904109589</v>
      </c>
      <c r="E28" s="104">
        <f>E37*'Income Statement'!K7/365</f>
        <v>1305.8630136986301</v>
      </c>
      <c r="F28" s="104">
        <f>F37*'Income Statement'!N7/365</f>
        <v>1291.131506849315</v>
      </c>
      <c r="G28" s="104">
        <f>G37*'Income Statement'!Q7/365</f>
        <v>2072.1095890410961</v>
      </c>
      <c r="H28" s="104">
        <f>H37*'Income Statement'!T7/365</f>
        <v>2574.794415780822</v>
      </c>
      <c r="I28" s="104">
        <f>I37*'Income Statement'!W7/365</f>
        <v>3066.5003550459619</v>
      </c>
      <c r="J28" s="104">
        <f>J37*'Income Statement'!Z7/365</f>
        <v>3542.7447007508667</v>
      </c>
      <c r="K28" s="104">
        <f>K37*'Income Statement'!AC7/365</f>
        <v>4011.1934145280479</v>
      </c>
      <c r="L28" s="104">
        <f>L37*'Income Statement'!AF7/365</f>
        <v>4489.2972776530069</v>
      </c>
    </row>
    <row r="29" spans="2:12" x14ac:dyDescent="0.3">
      <c r="B29" s="93" t="s">
        <v>481</v>
      </c>
      <c r="C29" s="104">
        <f>C30-C26-C27-C28</f>
        <v>483.32602739726042</v>
      </c>
      <c r="D29" s="104">
        <f>D30-D26-D27-D28</f>
        <v>1043.2136986301371</v>
      </c>
      <c r="E29" s="104">
        <f>E30-E26-E27-E28</f>
        <v>680.35616438356169</v>
      </c>
      <c r="F29" s="104">
        <f>F30-F26-F27-F28</f>
        <v>1242.0712328767122</v>
      </c>
      <c r="G29" s="104">
        <f>G30-G26-G27-G28</f>
        <v>2300.5479452054788</v>
      </c>
      <c r="H29" s="104">
        <f>G29/'Income Statement'!Q7*'Income Statement'!T7</f>
        <v>2858.650929409715</v>
      </c>
      <c r="I29" s="104">
        <f>H29/'Income Statement'!T7*'Income Statement'!W7</f>
        <v>3404.5646659245999</v>
      </c>
      <c r="J29" s="104">
        <f>I29/'Income Statement'!W7*'Income Statement'!Z7</f>
        <v>3933.3122556860881</v>
      </c>
      <c r="K29" s="104">
        <f>J29/'Income Statement'!Z7*'Income Statement'!AC7</f>
        <v>4453.4047892151484</v>
      </c>
      <c r="L29" s="104">
        <f>K29/'Income Statement'!AC7*'Income Statement'!AF7</f>
        <v>4984.2168976692792</v>
      </c>
    </row>
    <row r="30" spans="2:12" x14ac:dyDescent="0.3">
      <c r="B30" s="29" t="s">
        <v>482</v>
      </c>
      <c r="C30" s="103">
        <v>3455</v>
      </c>
      <c r="D30" s="103">
        <v>4085</v>
      </c>
      <c r="E30" s="103">
        <v>4369</v>
      </c>
      <c r="F30" s="103">
        <v>5147</v>
      </c>
      <c r="G30" s="103">
        <v>7449</v>
      </c>
      <c r="H30" s="103">
        <f>SUM(H26,H27,H28,H29)</f>
        <v>12568.406017649679</v>
      </c>
      <c r="I30" s="103">
        <f>SUM(I26,I27,I28,I29)</f>
        <v>18385.520788625156</v>
      </c>
      <c r="J30" s="103">
        <f>SUM(J26,J27,J28,J29)</f>
        <v>24914.128025021098</v>
      </c>
      <c r="K30" s="103">
        <f>SUM(K26,K27,K28,K29)</f>
        <v>32202.164913218643</v>
      </c>
      <c r="L30" s="103">
        <f>SUM(L26,L27,L28,L29)</f>
        <v>40277.836631714636</v>
      </c>
    </row>
    <row r="32" spans="2:12" x14ac:dyDescent="0.3">
      <c r="B32" s="29" t="s">
        <v>483</v>
      </c>
      <c r="C32" s="106">
        <f t="shared" ref="C32:L32" si="3">SUM(C20,C21,C22,C30)</f>
        <v>11902</v>
      </c>
      <c r="D32" s="106">
        <f t="shared" si="3"/>
        <v>13993</v>
      </c>
      <c r="E32" s="106">
        <f t="shared" si="3"/>
        <v>16062</v>
      </c>
      <c r="F32" s="106">
        <f t="shared" si="3"/>
        <v>19951</v>
      </c>
      <c r="G32" s="106">
        <f t="shared" si="3"/>
        <v>25916</v>
      </c>
      <c r="H32" s="106">
        <f t="shared" si="3"/>
        <v>32660.110917269678</v>
      </c>
      <c r="I32" s="106">
        <f t="shared" si="3"/>
        <v>40232.486207121525</v>
      </c>
      <c r="J32" s="106">
        <f t="shared" si="3"/>
        <v>48572.514526796571</v>
      </c>
      <c r="K32" s="106">
        <f t="shared" si="3"/>
        <v>57671.337773706007</v>
      </c>
      <c r="L32" s="106">
        <f t="shared" si="3"/>
        <v>67624.394439057884</v>
      </c>
    </row>
    <row r="33" spans="2:12" x14ac:dyDescent="0.3">
      <c r="B33" s="108" t="s">
        <v>484</v>
      </c>
      <c r="C33" s="109">
        <f t="shared" ref="C33:L33" si="4">C32-C17</f>
        <v>-2</v>
      </c>
      <c r="D33" s="109">
        <f t="shared" si="4"/>
        <v>1</v>
      </c>
      <c r="E33" s="109">
        <f t="shared" si="4"/>
        <v>-2</v>
      </c>
      <c r="F33" s="109">
        <f t="shared" si="4"/>
        <v>-1</v>
      </c>
      <c r="G33" s="109">
        <f t="shared" si="4"/>
        <v>0</v>
      </c>
      <c r="H33" s="109">
        <f t="shared" si="4"/>
        <v>0</v>
      </c>
      <c r="I33" s="109">
        <f t="shared" si="4"/>
        <v>0</v>
      </c>
      <c r="J33" s="109">
        <f t="shared" si="4"/>
        <v>0</v>
      </c>
      <c r="K33" s="109">
        <f t="shared" si="4"/>
        <v>0</v>
      </c>
      <c r="L33" s="109">
        <f t="shared" si="4"/>
        <v>0</v>
      </c>
    </row>
    <row r="35" spans="2:12" ht="16.5" customHeight="1" x14ac:dyDescent="0.3">
      <c r="B35" s="10" t="s">
        <v>485</v>
      </c>
      <c r="C35" s="10"/>
      <c r="D35" s="10"/>
      <c r="E35" s="10"/>
      <c r="F35" s="10"/>
      <c r="G35" s="10"/>
      <c r="H35" s="10"/>
      <c r="I35" s="10"/>
      <c r="J35" s="10"/>
      <c r="K35" s="10"/>
      <c r="L35" s="10"/>
    </row>
    <row r="36" spans="2:12" x14ac:dyDescent="0.3">
      <c r="B36" s="32" t="s">
        <v>486</v>
      </c>
      <c r="C36" s="129">
        <v>26</v>
      </c>
      <c r="D36" s="129">
        <v>23</v>
      </c>
      <c r="E36" s="129">
        <v>21</v>
      </c>
      <c r="F36" s="129">
        <v>24</v>
      </c>
      <c r="G36" s="129">
        <v>17</v>
      </c>
      <c r="H36" s="140">
        <f t="shared" ref="H36:L38" si="5">G36</f>
        <v>17</v>
      </c>
      <c r="I36" s="140">
        <f t="shared" si="5"/>
        <v>17</v>
      </c>
      <c r="J36" s="140">
        <f t="shared" si="5"/>
        <v>17</v>
      </c>
      <c r="K36" s="140">
        <f t="shared" si="5"/>
        <v>17</v>
      </c>
      <c r="L36" s="140">
        <f t="shared" si="5"/>
        <v>17</v>
      </c>
    </row>
    <row r="37" spans="2:12" x14ac:dyDescent="0.3">
      <c r="B37" s="32" t="s">
        <v>487</v>
      </c>
      <c r="C37" s="129">
        <v>17</v>
      </c>
      <c r="D37" s="129">
        <v>14</v>
      </c>
      <c r="E37" s="129">
        <v>15</v>
      </c>
      <c r="F37" s="129">
        <v>13</v>
      </c>
      <c r="G37" s="129">
        <v>16</v>
      </c>
      <c r="H37" s="140">
        <f t="shared" si="5"/>
        <v>16</v>
      </c>
      <c r="I37" s="140">
        <f t="shared" si="5"/>
        <v>16</v>
      </c>
      <c r="J37" s="140">
        <f t="shared" si="5"/>
        <v>16</v>
      </c>
      <c r="K37" s="140">
        <f t="shared" si="5"/>
        <v>16</v>
      </c>
      <c r="L37" s="140">
        <f t="shared" si="5"/>
        <v>16</v>
      </c>
    </row>
    <row r="38" spans="2:12" x14ac:dyDescent="0.3">
      <c r="B38" s="32" t="s">
        <v>488</v>
      </c>
      <c r="C38" s="129">
        <v>93</v>
      </c>
      <c r="D38" s="129">
        <v>75</v>
      </c>
      <c r="E38" s="129">
        <v>80</v>
      </c>
      <c r="F38" s="129">
        <v>87</v>
      </c>
      <c r="G38" s="129">
        <v>90</v>
      </c>
      <c r="H38" s="140">
        <f t="shared" si="5"/>
        <v>90</v>
      </c>
      <c r="I38" s="140">
        <f t="shared" si="5"/>
        <v>90</v>
      </c>
      <c r="J38" s="140">
        <f t="shared" si="5"/>
        <v>90</v>
      </c>
      <c r="K38" s="140">
        <f t="shared" si="5"/>
        <v>90</v>
      </c>
      <c r="L38" s="140">
        <f t="shared" si="5"/>
        <v>90</v>
      </c>
    </row>
    <row r="39" spans="2:12" x14ac:dyDescent="0.3">
      <c r="B39" s="29" t="s">
        <v>489</v>
      </c>
      <c r="C39" s="141">
        <f t="shared" ref="C39:L39" si="6">C36+C37-C38</f>
        <v>-50</v>
      </c>
      <c r="D39" s="141">
        <f t="shared" si="6"/>
        <v>-38</v>
      </c>
      <c r="E39" s="141">
        <f t="shared" si="6"/>
        <v>-44</v>
      </c>
      <c r="F39" s="141">
        <f t="shared" si="6"/>
        <v>-50</v>
      </c>
      <c r="G39" s="141">
        <f t="shared" si="6"/>
        <v>-57</v>
      </c>
      <c r="H39" s="141">
        <f t="shared" si="6"/>
        <v>-57</v>
      </c>
      <c r="I39" s="141">
        <f t="shared" si="6"/>
        <v>-57</v>
      </c>
      <c r="J39" s="141">
        <f t="shared" si="6"/>
        <v>-57</v>
      </c>
      <c r="K39" s="141">
        <f t="shared" si="6"/>
        <v>-57</v>
      </c>
      <c r="L39" s="141">
        <f t="shared" si="6"/>
        <v>-57</v>
      </c>
    </row>
    <row r="40" spans="2:12" x14ac:dyDescent="0.3">
      <c r="B40" s="32" t="s">
        <v>490</v>
      </c>
      <c r="C40" s="104">
        <f t="shared" ref="C40:L40" si="7">C26+C28-C14</f>
        <v>-1874.8383561643832</v>
      </c>
      <c r="D40" s="104">
        <f t="shared" si="7"/>
        <v>-1769.1726027397262</v>
      </c>
      <c r="E40" s="104">
        <f t="shared" si="7"/>
        <v>-2438.6164383561645</v>
      </c>
      <c r="F40" s="104">
        <f t="shared" si="7"/>
        <v>-3207.5863013698627</v>
      </c>
      <c r="G40" s="104">
        <f t="shared" si="7"/>
        <v>-4696.8904109589039</v>
      </c>
      <c r="H40" s="104">
        <f t="shared" si="7"/>
        <v>-5789.4252438831763</v>
      </c>
      <c r="I40" s="104">
        <f t="shared" si="7"/>
        <v>-6839.0624168412542</v>
      </c>
      <c r="J40" s="104">
        <f t="shared" si="7"/>
        <v>-7852.7150507580936</v>
      </c>
      <c r="K40" s="104">
        <f t="shared" si="7"/>
        <v>-8854.4587629822581</v>
      </c>
      <c r="L40" s="104">
        <f t="shared" si="7"/>
        <v>-9868.878321680575</v>
      </c>
    </row>
    <row r="41" spans="2:12" x14ac:dyDescent="0.3">
      <c r="B41" s="29" t="s">
        <v>491</v>
      </c>
      <c r="D41" s="111">
        <f t="shared" ref="D41:L41" si="8">C40-D40</f>
        <v>-105.66575342465694</v>
      </c>
      <c r="E41" s="111">
        <f t="shared" si="8"/>
        <v>669.44383561643826</v>
      </c>
      <c r="F41" s="111">
        <f t="shared" si="8"/>
        <v>768.96986301369816</v>
      </c>
      <c r="G41" s="111">
        <f t="shared" si="8"/>
        <v>1489.3041095890412</v>
      </c>
      <c r="H41" s="111">
        <f t="shared" si="8"/>
        <v>1092.5348329242725</v>
      </c>
      <c r="I41" s="111">
        <f t="shared" si="8"/>
        <v>1049.6371729580778</v>
      </c>
      <c r="J41" s="111">
        <f t="shared" si="8"/>
        <v>1013.6526339168395</v>
      </c>
      <c r="K41" s="111">
        <f t="shared" si="8"/>
        <v>1001.7437122241645</v>
      </c>
      <c r="L41" s="111">
        <f t="shared" si="8"/>
        <v>1014.4195586983169</v>
      </c>
    </row>
    <row r="42" spans="2:12" ht="12.75" customHeight="1" x14ac:dyDescent="0.3">
      <c r="B42" s="74"/>
    </row>
    <row r="43" spans="2:12" ht="16.5" customHeight="1" x14ac:dyDescent="0.3">
      <c r="B43" s="10" t="s">
        <v>492</v>
      </c>
      <c r="C43" s="10"/>
      <c r="D43" s="10"/>
      <c r="E43" s="10"/>
      <c r="F43" s="10"/>
      <c r="G43" s="10"/>
      <c r="H43" s="10"/>
      <c r="I43" s="10"/>
      <c r="J43" s="10"/>
      <c r="K43" s="10"/>
      <c r="L43" s="10"/>
    </row>
    <row r="44" spans="2:12" x14ac:dyDescent="0.3">
      <c r="B44" s="32" t="s">
        <v>493</v>
      </c>
      <c r="D44" s="104">
        <f t="shared" ref="D44:L44" si="9">C47</f>
        <v>3731</v>
      </c>
      <c r="E44" s="104">
        <f t="shared" si="9"/>
        <v>4224</v>
      </c>
      <c r="F44" s="104">
        <f t="shared" si="9"/>
        <v>4702</v>
      </c>
      <c r="G44" s="104">
        <f t="shared" si="9"/>
        <v>5641</v>
      </c>
      <c r="H44" s="104">
        <f t="shared" si="9"/>
        <v>6820</v>
      </c>
      <c r="I44" s="104">
        <f t="shared" si="9"/>
        <v>8444.7048996199992</v>
      </c>
      <c r="J44" s="104">
        <f t="shared" si="9"/>
        <v>10199.965418496369</v>
      </c>
      <c r="K44" s="104">
        <f t="shared" si="9"/>
        <v>12011.386501775476</v>
      </c>
      <c r="L44" s="104">
        <f t="shared" si="9"/>
        <v>13822.172860487364</v>
      </c>
    </row>
    <row r="45" spans="2:12" x14ac:dyDescent="0.3">
      <c r="B45" s="32" t="s">
        <v>494</v>
      </c>
      <c r="C45" s="104">
        <v>728</v>
      </c>
      <c r="D45" s="104">
        <v>997</v>
      </c>
      <c r="E45" s="104">
        <v>1055</v>
      </c>
      <c r="F45" s="104">
        <v>1780</v>
      </c>
      <c r="G45" s="104">
        <v>1925</v>
      </c>
      <c r="H45" s="104">
        <f>'Income Statement'!T7*'Guidance &amp; Assumptions'!$C$34</f>
        <v>2466.9748996200001</v>
      </c>
      <c r="I45" s="104">
        <f>'Income Statement'!W7*'Guidance &amp; Assumptions'!$D$34</f>
        <v>2798.1815739794401</v>
      </c>
      <c r="J45" s="104">
        <f>'Income Statement'!Z7*'Guidance &amp; Assumptions'!$E$34</f>
        <v>3071.1168124634078</v>
      </c>
      <c r="K45" s="104">
        <f>'Income Statement'!AC7*'Guidance &amp; Assumptions'!$F$34</f>
        <v>3294.1925916811592</v>
      </c>
      <c r="L45" s="104">
        <f>'Income Statement'!AF7*'Guidance &amp; Assumptions'!$G$34</f>
        <v>3584.4232951260728</v>
      </c>
    </row>
    <row r="46" spans="2:12" x14ac:dyDescent="0.3">
      <c r="B46" s="32" t="s">
        <v>495</v>
      </c>
      <c r="C46" s="104">
        <v>611</v>
      </c>
      <c r="D46" s="104">
        <v>631</v>
      </c>
      <c r="E46" s="104">
        <v>700</v>
      </c>
      <c r="F46" s="104">
        <v>748</v>
      </c>
      <c r="G46" s="104">
        <v>901</v>
      </c>
      <c r="H46" s="104">
        <f>H44*H49</f>
        <v>842.27</v>
      </c>
      <c r="I46" s="104">
        <f>I44*I49</f>
        <v>1042.9210551030699</v>
      </c>
      <c r="J46" s="104">
        <f>J44*J49</f>
        <v>1259.6957291843016</v>
      </c>
      <c r="K46" s="104">
        <f>K44*K49</f>
        <v>1483.4062329692713</v>
      </c>
      <c r="L46" s="104">
        <f>L44*L49</f>
        <v>1707.0383482701895</v>
      </c>
    </row>
    <row r="47" spans="2:12" x14ac:dyDescent="0.3">
      <c r="B47" s="29" t="s">
        <v>496</v>
      </c>
      <c r="C47" s="103">
        <f>C20+C21</f>
        <v>3731</v>
      </c>
      <c r="D47" s="103">
        <f>D20+D21</f>
        <v>4224</v>
      </c>
      <c r="E47" s="103">
        <f>E20+E21</f>
        <v>4702</v>
      </c>
      <c r="F47" s="103">
        <f>F20+F21</f>
        <v>5641</v>
      </c>
      <c r="G47" s="103">
        <f>G20+G21</f>
        <v>6820</v>
      </c>
      <c r="H47" s="103">
        <f>H44+H45-H46</f>
        <v>8444.7048996199992</v>
      </c>
      <c r="I47" s="103">
        <f>I44+I45-I46</f>
        <v>10199.965418496369</v>
      </c>
      <c r="J47" s="103">
        <f>J44+J45-J46</f>
        <v>12011.386501775476</v>
      </c>
      <c r="K47" s="103">
        <f>K44+K45-K46</f>
        <v>13822.172860487364</v>
      </c>
      <c r="L47" s="103">
        <f>L44+L45-L46</f>
        <v>15699.557807343246</v>
      </c>
    </row>
    <row r="48" spans="2:12" x14ac:dyDescent="0.3">
      <c r="B48" s="52" t="s">
        <v>497</v>
      </c>
      <c r="C48" s="105">
        <f>C45/'Income Statement'!E7</f>
        <v>3.5015150786397962E-2</v>
      </c>
      <c r="D48" s="105">
        <f>D45/'Income Statement'!H7</f>
        <v>3.7796648722420195E-2</v>
      </c>
      <c r="E48" s="105">
        <f>E45/'Income Statement'!K7</f>
        <v>3.3201158106747231E-2</v>
      </c>
      <c r="F48" s="105">
        <f>F45/'Income Statement'!N7</f>
        <v>4.9102093735345229E-2</v>
      </c>
      <c r="G48" s="105">
        <f>G45/'Income Statement'!Q7</f>
        <v>4.0723503279035331E-2</v>
      </c>
      <c r="H48" s="105">
        <f>H45/'Income Statement'!T7</f>
        <v>4.2000000000000003E-2</v>
      </c>
      <c r="I48" s="105">
        <f>I45/'Income Statement'!W7</f>
        <v>0.04</v>
      </c>
      <c r="J48" s="105">
        <f>J45/'Income Statement'!Z7</f>
        <v>3.7999999999999999E-2</v>
      </c>
      <c r="K48" s="105">
        <f>K45/'Income Statement'!AC7</f>
        <v>3.5999999999999997E-2</v>
      </c>
      <c r="L48" s="105">
        <f>L45/'Income Statement'!AF7</f>
        <v>3.5000000000000003E-2</v>
      </c>
    </row>
    <row r="49" spans="2:12" x14ac:dyDescent="0.3">
      <c r="B49" s="52" t="s">
        <v>498</v>
      </c>
      <c r="D49" s="105">
        <f>D46/D44</f>
        <v>0.16912355936746182</v>
      </c>
      <c r="E49" s="105">
        <f>E46/E44</f>
        <v>0.16571969696969696</v>
      </c>
      <c r="F49" s="105">
        <f>F46/F44</f>
        <v>0.15908124202467036</v>
      </c>
      <c r="G49" s="105">
        <f>G46/G44</f>
        <v>0.15972345328842405</v>
      </c>
      <c r="H49" s="142">
        <v>0.1235</v>
      </c>
      <c r="I49" s="142">
        <v>0.1235</v>
      </c>
      <c r="J49" s="142">
        <v>0.1235</v>
      </c>
      <c r="K49" s="142">
        <v>0.1235</v>
      </c>
      <c r="L49" s="142">
        <v>0.1235</v>
      </c>
    </row>
    <row r="51" spans="2:12" x14ac:dyDescent="0.3">
      <c r="B51" s="32" t="s">
        <v>499</v>
      </c>
      <c r="D51" s="104">
        <f t="shared" ref="D51:L51" si="10">C53</f>
        <v>1963</v>
      </c>
      <c r="E51" s="104">
        <f t="shared" si="10"/>
        <v>2663</v>
      </c>
      <c r="F51" s="104">
        <f t="shared" si="10"/>
        <v>1964</v>
      </c>
      <c r="G51" s="104">
        <f t="shared" si="10"/>
        <v>2037</v>
      </c>
      <c r="H51" s="104">
        <f t="shared" si="10"/>
        <v>3733</v>
      </c>
      <c r="I51" s="104">
        <f t="shared" si="10"/>
        <v>3733</v>
      </c>
      <c r="J51" s="104">
        <f t="shared" si="10"/>
        <v>3733</v>
      </c>
      <c r="K51" s="104">
        <f t="shared" si="10"/>
        <v>3733</v>
      </c>
      <c r="L51" s="104">
        <f t="shared" si="10"/>
        <v>3733</v>
      </c>
    </row>
    <row r="52" spans="2:12" x14ac:dyDescent="0.3">
      <c r="B52" s="32" t="s">
        <v>500</v>
      </c>
      <c r="D52" s="104">
        <f>D53-D51</f>
        <v>700</v>
      </c>
      <c r="E52" s="104">
        <f>E53-E51</f>
        <v>-699</v>
      </c>
      <c r="F52" s="104">
        <f>F53-F51</f>
        <v>73</v>
      </c>
      <c r="G52" s="104">
        <f>G53-G51</f>
        <v>1696</v>
      </c>
      <c r="H52" s="143">
        <v>0</v>
      </c>
      <c r="I52" s="143">
        <v>0</v>
      </c>
      <c r="J52" s="143">
        <v>0</v>
      </c>
      <c r="K52" s="143">
        <v>0</v>
      </c>
      <c r="L52" s="143">
        <v>0</v>
      </c>
    </row>
    <row r="53" spans="2:12" x14ac:dyDescent="0.3">
      <c r="B53" s="29" t="s">
        <v>501</v>
      </c>
      <c r="C53" s="111">
        <f>C13</f>
        <v>1963</v>
      </c>
      <c r="D53" s="111">
        <f>D13</f>
        <v>2663</v>
      </c>
      <c r="E53" s="111">
        <f>E13</f>
        <v>1964</v>
      </c>
      <c r="F53" s="111">
        <f>F13</f>
        <v>2037</v>
      </c>
      <c r="G53" s="111">
        <f>G13</f>
        <v>3733</v>
      </c>
      <c r="H53" s="111">
        <f>H51+H52</f>
        <v>3733</v>
      </c>
      <c r="I53" s="111">
        <f>I51+I52</f>
        <v>3733</v>
      </c>
      <c r="J53" s="111">
        <f>J51+J52</f>
        <v>3733</v>
      </c>
      <c r="K53" s="111">
        <f>K51+K52</f>
        <v>3733</v>
      </c>
      <c r="L53" s="111">
        <f>L51+L52</f>
        <v>3733</v>
      </c>
    </row>
    <row r="54" spans="2:12" x14ac:dyDescent="0.3">
      <c r="B54" s="52" t="s">
        <v>502</v>
      </c>
      <c r="D54" s="135">
        <f t="shared" ref="D54:L54" si="11">(D51+D53)/2</f>
        <v>2313</v>
      </c>
      <c r="E54" s="135">
        <f t="shared" si="11"/>
        <v>2313.5</v>
      </c>
      <c r="F54" s="135">
        <f t="shared" si="11"/>
        <v>2000.5</v>
      </c>
      <c r="G54" s="135">
        <f t="shared" si="11"/>
        <v>2885</v>
      </c>
      <c r="H54" s="135">
        <f t="shared" si="11"/>
        <v>3733</v>
      </c>
      <c r="I54" s="135">
        <f t="shared" si="11"/>
        <v>3733</v>
      </c>
      <c r="J54" s="135">
        <f t="shared" si="11"/>
        <v>3733</v>
      </c>
      <c r="K54" s="135">
        <f t="shared" si="11"/>
        <v>3733</v>
      </c>
      <c r="L54" s="135">
        <f t="shared" si="11"/>
        <v>3733</v>
      </c>
    </row>
    <row r="55" spans="2:12" x14ac:dyDescent="0.3">
      <c r="B55" s="52" t="s">
        <v>503</v>
      </c>
      <c r="D55" s="144">
        <f>D56/D54</f>
        <v>6.0959792477302203E-2</v>
      </c>
      <c r="E55" s="144">
        <f>E56/E54</f>
        <v>7.8668683812405452E-2</v>
      </c>
      <c r="F55" s="144">
        <f>F56/F54</f>
        <v>6.9482629342664332E-2</v>
      </c>
      <c r="G55" s="144">
        <f>G56/G54</f>
        <v>7.0710571923743498E-2</v>
      </c>
      <c r="H55" s="145">
        <f>'Debt &amp; Cost of Capital'!$C$26</f>
        <v>7.2800000000000004E-2</v>
      </c>
      <c r="I55" s="145">
        <f>'Debt &amp; Cost of Capital'!$C$26</f>
        <v>7.2800000000000004E-2</v>
      </c>
      <c r="J55" s="145">
        <f>'Debt &amp; Cost of Capital'!$C$26</f>
        <v>7.2800000000000004E-2</v>
      </c>
      <c r="K55" s="145">
        <f>'Debt &amp; Cost of Capital'!$C$26</f>
        <v>7.2800000000000004E-2</v>
      </c>
      <c r="L55" s="145">
        <f>'Debt &amp; Cost of Capital'!$C$26</f>
        <v>7.2800000000000004E-2</v>
      </c>
    </row>
    <row r="56" spans="2:12" x14ac:dyDescent="0.3">
      <c r="B56" s="29" t="s">
        <v>432</v>
      </c>
      <c r="C56" s="111">
        <v>126</v>
      </c>
      <c r="D56" s="111">
        <v>141</v>
      </c>
      <c r="E56" s="111">
        <v>182</v>
      </c>
      <c r="F56" s="111">
        <v>139</v>
      </c>
      <c r="G56" s="111">
        <v>204</v>
      </c>
      <c r="H56" s="111">
        <f>H54*H55</f>
        <v>271.76240000000001</v>
      </c>
      <c r="I56" s="111">
        <f>I54*I55</f>
        <v>271.76240000000001</v>
      </c>
      <c r="J56" s="111">
        <f>J54*J55</f>
        <v>271.76240000000001</v>
      </c>
      <c r="K56" s="111">
        <f>K54*K55</f>
        <v>271.76240000000001</v>
      </c>
      <c r="L56" s="111">
        <f>L54*L55</f>
        <v>271.76240000000001</v>
      </c>
    </row>
    <row r="58" spans="2:12" ht="12.75" customHeight="1" x14ac:dyDescent="0.3">
      <c r="B58" s="74"/>
    </row>
    <row r="59" spans="2:12" ht="12.75" customHeight="1" x14ac:dyDescent="0.3">
      <c r="B59" s="74"/>
    </row>
    <row r="60" spans="2:12" ht="12.75" customHeight="1" x14ac:dyDescent="0.3">
      <c r="B60" s="74"/>
    </row>
    <row r="61" spans="2:12" ht="12.75" customHeight="1" x14ac:dyDescent="0.3">
      <c r="B61" s="74"/>
    </row>
  </sheetData>
  <mergeCells count="4">
    <mergeCell ref="B1:L1"/>
    <mergeCell ref="B5:L5"/>
    <mergeCell ref="B35:L35"/>
    <mergeCell ref="B43:L43"/>
  </mergeCells>
  <printOptions horizontalCentered="1"/>
  <pageMargins left="0.75" right="0.75" top="1" bottom="1" header="0.511811023622047" footer="0.511811023622047"/>
  <pageSetup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13A44"/>
  </sheetPr>
  <dimension ref="B1:AT119"/>
  <sheetViews>
    <sheetView showGridLines="0" zoomScale="90" zoomScaleNormal="90" workbookViewId="0">
      <pane xSplit="2" ySplit="3" topLeftCell="E4" activePane="bottomRight" state="frozen"/>
      <selection pane="topRight" activeCell="C1" sqref="C1"/>
      <selection pane="bottomLeft" activeCell="A4" sqref="A4"/>
      <selection pane="bottomRight" activeCell="AS92" sqref="AS92"/>
    </sheetView>
  </sheetViews>
  <sheetFormatPr defaultColWidth="8.6640625" defaultRowHeight="14.4" outlineLevelCol="1" x14ac:dyDescent="0.3"/>
  <cols>
    <col min="1" max="1" width="2" customWidth="1"/>
    <col min="2" max="2" width="52" customWidth="1"/>
    <col min="3" max="4" width="11" hidden="1" customWidth="1" outlineLevel="1"/>
    <col min="5" max="5" width="11" customWidth="1" collapsed="1"/>
    <col min="6" max="7" width="11" hidden="1" customWidth="1" outlineLevel="1"/>
    <col min="8" max="8" width="11" customWidth="1" collapsed="1"/>
    <col min="9" max="10" width="11" hidden="1" customWidth="1" outlineLevel="1"/>
    <col min="11" max="11" width="11" customWidth="1" collapsed="1"/>
    <col min="12" max="13" width="11" hidden="1" customWidth="1" outlineLevel="1"/>
    <col min="14" max="14" width="11" customWidth="1" collapsed="1"/>
    <col min="15" max="16" width="11" hidden="1" customWidth="1" outlineLevel="1"/>
    <col min="17" max="17" width="11" customWidth="1" collapsed="1"/>
    <col min="18" max="19" width="11" hidden="1" customWidth="1" outlineLevel="1"/>
    <col min="20" max="20" width="11" customWidth="1" collapsed="1"/>
    <col min="21" max="22" width="11" hidden="1" customWidth="1" outlineLevel="1"/>
    <col min="23" max="23" width="11" customWidth="1" collapsed="1"/>
    <col min="24" max="25" width="11" hidden="1" customWidth="1" outlineLevel="1"/>
    <col min="26" max="26" width="11" customWidth="1" collapsed="1"/>
    <col min="27" max="28" width="11" hidden="1" customWidth="1" outlineLevel="1"/>
    <col min="29" max="29" width="11" customWidth="1" collapsed="1"/>
    <col min="30" max="31" width="11" hidden="1" customWidth="1" outlineLevel="1"/>
    <col min="32" max="32" width="11" customWidth="1" collapsed="1"/>
  </cols>
  <sheetData>
    <row r="1" spans="2:32" ht="24" customHeight="1" x14ac:dyDescent="0.3">
      <c r="B1" s="5" t="s">
        <v>0</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row>
    <row r="2" spans="2:32" ht="15" customHeight="1" x14ac:dyDescent="0.3">
      <c r="B2" s="26" t="s">
        <v>72</v>
      </c>
      <c r="C2" s="91" t="s">
        <v>283</v>
      </c>
      <c r="D2" s="91" t="s">
        <v>284</v>
      </c>
      <c r="E2" s="91" t="s">
        <v>285</v>
      </c>
      <c r="F2" s="91" t="s">
        <v>283</v>
      </c>
      <c r="G2" s="91" t="s">
        <v>284</v>
      </c>
      <c r="H2" s="91" t="s">
        <v>285</v>
      </c>
      <c r="I2" s="91" t="s">
        <v>283</v>
      </c>
      <c r="J2" s="91" t="s">
        <v>284</v>
      </c>
      <c r="K2" s="91" t="s">
        <v>285</v>
      </c>
      <c r="L2" s="91" t="s">
        <v>283</v>
      </c>
      <c r="M2" s="91" t="s">
        <v>284</v>
      </c>
      <c r="N2" s="91" t="s">
        <v>285</v>
      </c>
      <c r="O2" s="91" t="s">
        <v>283</v>
      </c>
      <c r="P2" s="91" t="s">
        <v>284</v>
      </c>
      <c r="Q2" s="91" t="s">
        <v>285</v>
      </c>
      <c r="R2" s="91" t="s">
        <v>283</v>
      </c>
      <c r="S2" s="91" t="s">
        <v>284</v>
      </c>
      <c r="T2" s="91" t="s">
        <v>285</v>
      </c>
      <c r="U2" s="91" t="s">
        <v>283</v>
      </c>
      <c r="V2" s="91" t="s">
        <v>284</v>
      </c>
      <c r="W2" s="91" t="s">
        <v>285</v>
      </c>
      <c r="X2" s="91" t="s">
        <v>283</v>
      </c>
      <c r="Y2" s="91" t="s">
        <v>284</v>
      </c>
      <c r="Z2" s="91" t="s">
        <v>285</v>
      </c>
      <c r="AA2" s="91" t="s">
        <v>283</v>
      </c>
      <c r="AB2" s="91" t="s">
        <v>284</v>
      </c>
      <c r="AC2" s="91" t="s">
        <v>285</v>
      </c>
      <c r="AD2" s="91" t="s">
        <v>283</v>
      </c>
      <c r="AE2" s="91" t="s">
        <v>284</v>
      </c>
      <c r="AF2" s="91" t="s">
        <v>285</v>
      </c>
    </row>
    <row r="3" spans="2:32" ht="13.5" customHeight="1" x14ac:dyDescent="0.3">
      <c r="B3" s="27" t="s">
        <v>423</v>
      </c>
      <c r="C3" s="45" t="s">
        <v>212</v>
      </c>
      <c r="D3" s="45" t="s">
        <v>212</v>
      </c>
      <c r="E3" s="45" t="s">
        <v>212</v>
      </c>
      <c r="F3" s="45" t="s">
        <v>213</v>
      </c>
      <c r="G3" s="45" t="s">
        <v>213</v>
      </c>
      <c r="H3" s="45" t="s">
        <v>213</v>
      </c>
      <c r="I3" s="45" t="s">
        <v>214</v>
      </c>
      <c r="J3" s="45" t="s">
        <v>214</v>
      </c>
      <c r="K3" s="45" t="s">
        <v>214</v>
      </c>
      <c r="L3" s="45" t="s">
        <v>215</v>
      </c>
      <c r="M3" s="45" t="s">
        <v>215</v>
      </c>
      <c r="N3" s="45" t="s">
        <v>215</v>
      </c>
      <c r="O3" s="45" t="s">
        <v>216</v>
      </c>
      <c r="P3" s="45" t="s">
        <v>216</v>
      </c>
      <c r="Q3" s="45" t="s">
        <v>216</v>
      </c>
      <c r="R3" s="92" t="s">
        <v>189</v>
      </c>
      <c r="S3" s="92" t="s">
        <v>189</v>
      </c>
      <c r="T3" s="92" t="s">
        <v>189</v>
      </c>
      <c r="U3" s="92" t="s">
        <v>190</v>
      </c>
      <c r="V3" s="92" t="s">
        <v>190</v>
      </c>
      <c r="W3" s="92" t="s">
        <v>190</v>
      </c>
      <c r="X3" s="92" t="s">
        <v>191</v>
      </c>
      <c r="Y3" s="92" t="s">
        <v>191</v>
      </c>
      <c r="Z3" s="92" t="s">
        <v>191</v>
      </c>
      <c r="AA3" s="92" t="s">
        <v>192</v>
      </c>
      <c r="AB3" s="92" t="s">
        <v>192</v>
      </c>
      <c r="AC3" s="92" t="s">
        <v>192</v>
      </c>
      <c r="AD3" s="92" t="s">
        <v>193</v>
      </c>
      <c r="AE3" s="92" t="s">
        <v>193</v>
      </c>
      <c r="AF3" s="92" t="s">
        <v>193</v>
      </c>
    </row>
    <row r="5" spans="2:32" ht="16.5" customHeight="1" x14ac:dyDescent="0.3">
      <c r="B5" s="10" t="s">
        <v>424</v>
      </c>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row>
    <row r="7" spans="2:32" x14ac:dyDescent="0.3">
      <c r="B7" s="29" t="s">
        <v>338</v>
      </c>
      <c r="C7" s="132">
        <f>'Revenue Segments'!C50</f>
        <v>9980</v>
      </c>
      <c r="D7" s="132">
        <f>'Revenue Segments'!D50</f>
        <v>10811</v>
      </c>
      <c r="E7" s="132">
        <f>'Revenue Segments'!E50</f>
        <v>20791</v>
      </c>
      <c r="F7" s="132">
        <f>'Revenue Segments'!F50</f>
        <v>12661</v>
      </c>
      <c r="G7" s="132">
        <f>'Revenue Segments'!G50</f>
        <v>13717</v>
      </c>
      <c r="H7" s="132">
        <f>'Revenue Segments'!H50</f>
        <v>26378</v>
      </c>
      <c r="I7" s="132">
        <f>'Revenue Segments'!I50</f>
        <v>15361</v>
      </c>
      <c r="J7" s="132">
        <f>'Revenue Segments'!J50</f>
        <v>16415</v>
      </c>
      <c r="K7" s="132">
        <f>'Revenue Segments'!K50</f>
        <v>31776</v>
      </c>
      <c r="L7" s="132">
        <f>'Revenue Segments'!L50</f>
        <v>17603</v>
      </c>
      <c r="M7" s="132">
        <f>'Revenue Segments'!M50</f>
        <v>18648</v>
      </c>
      <c r="N7" s="132">
        <f>'Revenue Segments'!N50</f>
        <v>36251</v>
      </c>
      <c r="O7" s="132">
        <f>'Revenue Segments'!O50</f>
        <v>21985</v>
      </c>
      <c r="P7" s="132">
        <f>'Revenue Segments'!P50</f>
        <v>25285</v>
      </c>
      <c r="Q7" s="132">
        <f>'Revenue Segments'!Q50</f>
        <v>47270</v>
      </c>
      <c r="R7" s="132">
        <f>'Revenue Segments'!R50</f>
        <v>27606.623876699996</v>
      </c>
      <c r="S7" s="132">
        <f>'Revenue Segments'!S50</f>
        <v>31130.873733299999</v>
      </c>
      <c r="T7" s="132">
        <f>'Revenue Segments'!T50</f>
        <v>58737.497609999999</v>
      </c>
      <c r="U7" s="132">
        <f>'Revenue Segments'!U50</f>
        <v>32878.633494258414</v>
      </c>
      <c r="V7" s="132">
        <f>'Revenue Segments'!V50</f>
        <v>37075.905855227582</v>
      </c>
      <c r="W7" s="132">
        <f>'Revenue Segments'!W50</f>
        <v>69954.539349486004</v>
      </c>
      <c r="X7" s="132">
        <f>'Revenue Segments'!X50</f>
        <v>37984.865838363199</v>
      </c>
      <c r="Y7" s="132">
        <f>'Revenue Segments'!Y50</f>
        <v>42833.997647515956</v>
      </c>
      <c r="Z7" s="132">
        <f>'Revenue Segments'!Z50</f>
        <v>80818.863485879148</v>
      </c>
      <c r="AA7" s="132">
        <f>'Revenue Segments'!AA50</f>
        <v>43007.514391392913</v>
      </c>
      <c r="AB7" s="132">
        <f>'Revenue Segments'!AB50</f>
        <v>48497.835377528179</v>
      </c>
      <c r="AC7" s="132">
        <f>'Revenue Segments'!AC50</f>
        <v>91505.349768921093</v>
      </c>
      <c r="AD7" s="132">
        <f>'Revenue Segments'!AD50</f>
        <v>48133.684248835831</v>
      </c>
      <c r="AE7" s="132">
        <f>'Revenue Segments'!AE50</f>
        <v>54278.40989762338</v>
      </c>
      <c r="AF7" s="132">
        <f>'Revenue Segments'!AF50</f>
        <v>102412.09414645922</v>
      </c>
    </row>
    <row r="8" spans="2:32" x14ac:dyDescent="0.3">
      <c r="B8" s="52" t="s">
        <v>425</v>
      </c>
      <c r="F8" s="55">
        <f t="shared" ref="F8:AF8" si="0">(F7-C7)/C7</f>
        <v>0.26863727454909819</v>
      </c>
      <c r="G8" s="55">
        <f t="shared" si="0"/>
        <v>0.26880029599482008</v>
      </c>
      <c r="H8" s="55">
        <f t="shared" si="0"/>
        <v>0.26872204319176568</v>
      </c>
      <c r="I8" s="55">
        <f t="shared" si="0"/>
        <v>0.21325329752784139</v>
      </c>
      <c r="J8" s="55">
        <f t="shared" si="0"/>
        <v>0.19669023839031857</v>
      </c>
      <c r="K8" s="55">
        <f t="shared" si="0"/>
        <v>0.20464023049510957</v>
      </c>
      <c r="L8" s="55">
        <f t="shared" si="0"/>
        <v>0.1459540394505566</v>
      </c>
      <c r="M8" s="55">
        <f t="shared" si="0"/>
        <v>0.13603411513859276</v>
      </c>
      <c r="N8" s="55">
        <f t="shared" si="0"/>
        <v>0.14082955689828802</v>
      </c>
      <c r="O8" s="55">
        <f t="shared" si="0"/>
        <v>0.24893484065216157</v>
      </c>
      <c r="P8" s="55">
        <f t="shared" si="0"/>
        <v>0.35590948090948094</v>
      </c>
      <c r="Q8" s="55">
        <f t="shared" si="0"/>
        <v>0.30396402857852195</v>
      </c>
      <c r="R8" s="55">
        <f t="shared" si="0"/>
        <v>0.25570270078235141</v>
      </c>
      <c r="S8" s="55">
        <f t="shared" si="0"/>
        <v>0.23119927756772787</v>
      </c>
      <c r="T8" s="55">
        <f t="shared" si="0"/>
        <v>0.24259567611592972</v>
      </c>
      <c r="U8" s="55">
        <f t="shared" si="0"/>
        <v>0.19096900950673643</v>
      </c>
      <c r="V8" s="55">
        <f t="shared" si="0"/>
        <v>0.19096900950673656</v>
      </c>
      <c r="W8" s="55">
        <f t="shared" si="0"/>
        <v>0.19096900950673654</v>
      </c>
      <c r="X8" s="55">
        <f t="shared" si="0"/>
        <v>0.15530549178683123</v>
      </c>
      <c r="Y8" s="55">
        <f t="shared" si="0"/>
        <v>0.1553054917868312</v>
      </c>
      <c r="Z8" s="55">
        <f t="shared" si="0"/>
        <v>0.15530549178683101</v>
      </c>
      <c r="AA8" s="55">
        <f t="shared" si="0"/>
        <v>0.1322276238753235</v>
      </c>
      <c r="AB8" s="55">
        <f t="shared" si="0"/>
        <v>0.1322276238753233</v>
      </c>
      <c r="AC8" s="55">
        <f t="shared" si="0"/>
        <v>0.1322276238753235</v>
      </c>
      <c r="AD8" s="55">
        <f t="shared" si="0"/>
        <v>0.11919242323078352</v>
      </c>
      <c r="AE8" s="55">
        <f t="shared" si="0"/>
        <v>0.11919242323078344</v>
      </c>
      <c r="AF8" s="55">
        <f t="shared" si="0"/>
        <v>0.11919242323078355</v>
      </c>
    </row>
    <row r="10" spans="2:32" x14ac:dyDescent="0.3">
      <c r="B10" s="32" t="s">
        <v>426</v>
      </c>
      <c r="C10" s="104">
        <f>E10*C7/E7</f>
        <v>7434.9583954595737</v>
      </c>
      <c r="D10" s="104">
        <f>E10-C10</f>
        <v>8054.0416045404263</v>
      </c>
      <c r="E10" s="104">
        <v>15489</v>
      </c>
      <c r="F10" s="104">
        <f>H10*F7/H7</f>
        <v>9369.2743953294412</v>
      </c>
      <c r="G10" s="104">
        <f>H10-F10</f>
        <v>10150.725604670559</v>
      </c>
      <c r="H10" s="104">
        <v>19520</v>
      </c>
      <c r="I10" s="104">
        <f>K10*I7/K7</f>
        <v>11198.312090886204</v>
      </c>
      <c r="J10" s="104">
        <f>K10-I10</f>
        <v>11966.687909113796</v>
      </c>
      <c r="K10" s="104">
        <v>23165</v>
      </c>
      <c r="L10" s="104">
        <f>N10*L7/N7</f>
        <v>12656.329259882486</v>
      </c>
      <c r="M10" s="104">
        <f>N10-L10</f>
        <v>13407.670740117514</v>
      </c>
      <c r="N10" s="104">
        <v>26064</v>
      </c>
      <c r="O10" s="104">
        <f>Q10*O7/Q7</f>
        <v>15741.111169875185</v>
      </c>
      <c r="P10" s="104">
        <f>Q10-O10</f>
        <v>18103.888830124815</v>
      </c>
      <c r="Q10" s="104">
        <v>33845</v>
      </c>
      <c r="R10" s="104">
        <f>R7*'Guidance &amp; Assumptions'!$C$31</f>
        <v>19655.916200210395</v>
      </c>
      <c r="S10" s="104">
        <f>S7*'Guidance &amp; Assumptions'!$C$31</f>
        <v>22165.182098109599</v>
      </c>
      <c r="T10" s="104">
        <f>T7*'Guidance &amp; Assumptions'!$C$31</f>
        <v>41821.098298319994</v>
      </c>
      <c r="U10" s="104">
        <f>U7*'Guidance &amp; Assumptions'!$D$31</f>
        <v>23278.072513934956</v>
      </c>
      <c r="V10" s="104">
        <f>V7*'Guidance &amp; Assumptions'!$D$31</f>
        <v>26249.741345501126</v>
      </c>
      <c r="W10" s="104">
        <f>W7*'Guidance &amp; Assumptions'!$D$31</f>
        <v>49527.813859436086</v>
      </c>
      <c r="X10" s="104">
        <f>X7*'Guidance &amp; Assumptions'!$E$31</f>
        <v>26779.330416046054</v>
      </c>
      <c r="Y10" s="104">
        <f>Y7*'Guidance &amp; Assumptions'!$E$31</f>
        <v>30197.968341498748</v>
      </c>
      <c r="Z10" s="104">
        <f>Z7*'Guidance &amp; Assumptions'!$E$31</f>
        <v>56977.298757544799</v>
      </c>
      <c r="AA10" s="104">
        <f>AA7*'Guidance &amp; Assumptions'!$F$31</f>
        <v>30234.282617149216</v>
      </c>
      <c r="AB10" s="104">
        <f>AB7*'Guidance &amp; Assumptions'!$F$31</f>
        <v>34093.978270402309</v>
      </c>
      <c r="AC10" s="104">
        <f>AC7*'Guidance &amp; Assumptions'!$F$31</f>
        <v>64328.260887551522</v>
      </c>
      <c r="AD10" s="104">
        <f>AD7*'Guidance &amp; Assumptions'!$G$31</f>
        <v>33741.712658433913</v>
      </c>
      <c r="AE10" s="104">
        <f>AE7*'Guidance &amp; Assumptions'!$G$31</f>
        <v>38049.165338233986</v>
      </c>
      <c r="AF10" s="104">
        <f>AF7*'Guidance &amp; Assumptions'!$G$31</f>
        <v>71790.877996667914</v>
      </c>
    </row>
    <row r="11" spans="2:32" x14ac:dyDescent="0.3">
      <c r="B11" s="52" t="s">
        <v>340</v>
      </c>
      <c r="C11" s="105">
        <f t="shared" ref="C11:AF11" si="1">C10/C7</f>
        <v>0.74498581116829399</v>
      </c>
      <c r="D11" s="105">
        <f t="shared" si="1"/>
        <v>0.74498581116829399</v>
      </c>
      <c r="E11" s="105">
        <f t="shared" si="1"/>
        <v>0.74498581116829399</v>
      </c>
      <c r="F11" s="105">
        <f t="shared" si="1"/>
        <v>0.74001061490636133</v>
      </c>
      <c r="G11" s="105">
        <f t="shared" si="1"/>
        <v>0.74001061490636133</v>
      </c>
      <c r="H11" s="105">
        <f t="shared" si="1"/>
        <v>0.74001061490636133</v>
      </c>
      <c r="I11" s="105">
        <f t="shared" si="1"/>
        <v>0.72900931520644519</v>
      </c>
      <c r="J11" s="105">
        <f t="shared" si="1"/>
        <v>0.72900931520644507</v>
      </c>
      <c r="K11" s="105">
        <f t="shared" si="1"/>
        <v>0.72900931520644507</v>
      </c>
      <c r="L11" s="105">
        <f t="shared" si="1"/>
        <v>0.71898706242586419</v>
      </c>
      <c r="M11" s="105">
        <f t="shared" si="1"/>
        <v>0.71898706242586408</v>
      </c>
      <c r="N11" s="105">
        <f t="shared" si="1"/>
        <v>0.71898706242586408</v>
      </c>
      <c r="O11" s="105">
        <f t="shared" si="1"/>
        <v>0.71599323037867568</v>
      </c>
      <c r="P11" s="105">
        <f t="shared" si="1"/>
        <v>0.71599323037867568</v>
      </c>
      <c r="Q11" s="105">
        <f t="shared" si="1"/>
        <v>0.71599323037867568</v>
      </c>
      <c r="R11" s="105">
        <f t="shared" si="1"/>
        <v>0.71199999999999997</v>
      </c>
      <c r="S11" s="105">
        <f t="shared" si="1"/>
        <v>0.71199999999999997</v>
      </c>
      <c r="T11" s="105">
        <f t="shared" si="1"/>
        <v>0.71199999999999997</v>
      </c>
      <c r="U11" s="105">
        <f t="shared" si="1"/>
        <v>0.70799999999999996</v>
      </c>
      <c r="V11" s="105">
        <f t="shared" si="1"/>
        <v>0.70799999999999996</v>
      </c>
      <c r="W11" s="105">
        <f t="shared" si="1"/>
        <v>0.70799999999999996</v>
      </c>
      <c r="X11" s="105">
        <f t="shared" si="1"/>
        <v>0.70499999999999996</v>
      </c>
      <c r="Y11" s="105">
        <f t="shared" si="1"/>
        <v>0.70499999999999996</v>
      </c>
      <c r="Z11" s="105">
        <f t="shared" si="1"/>
        <v>0.70499999999999996</v>
      </c>
      <c r="AA11" s="105">
        <f t="shared" si="1"/>
        <v>0.70299999999999996</v>
      </c>
      <c r="AB11" s="105">
        <f t="shared" si="1"/>
        <v>0.70299999999999996</v>
      </c>
      <c r="AC11" s="105">
        <f t="shared" si="1"/>
        <v>0.70299999999999996</v>
      </c>
      <c r="AD11" s="105">
        <f t="shared" si="1"/>
        <v>0.70099999999999996</v>
      </c>
      <c r="AE11" s="105">
        <f t="shared" si="1"/>
        <v>0.70099999999999996</v>
      </c>
      <c r="AF11" s="105">
        <f t="shared" si="1"/>
        <v>0.70100000000000007</v>
      </c>
    </row>
    <row r="12" spans="2:32" x14ac:dyDescent="0.3">
      <c r="B12" s="32" t="s">
        <v>341</v>
      </c>
      <c r="C12" s="104">
        <f>E12*C7/E7</f>
        <v>578.89856187773557</v>
      </c>
      <c r="D12" s="104">
        <f>E12-C12</f>
        <v>627.10143812226443</v>
      </c>
      <c r="E12" s="104">
        <v>1206</v>
      </c>
      <c r="F12" s="104">
        <f>H12*F7/H7</f>
        <v>696.45579649708088</v>
      </c>
      <c r="G12" s="104">
        <f>H12-F12</f>
        <v>754.54420350291912</v>
      </c>
      <c r="H12" s="104">
        <v>1451</v>
      </c>
      <c r="I12" s="104">
        <f>K12*I7/K7</f>
        <v>845.0096928499496</v>
      </c>
      <c r="J12" s="104">
        <f>K12-I12</f>
        <v>902.9903071500504</v>
      </c>
      <c r="K12" s="104">
        <v>1748</v>
      </c>
      <c r="L12" s="104">
        <f>N12*L7/N7</f>
        <v>985.74080715014759</v>
      </c>
      <c r="M12" s="104">
        <f>N12-L12</f>
        <v>1044.2591928498523</v>
      </c>
      <c r="N12" s="104">
        <v>2030</v>
      </c>
      <c r="O12" s="104">
        <f>Q12*O7/Q7</f>
        <v>1187.3853395388196</v>
      </c>
      <c r="P12" s="104">
        <f>Q12-O12</f>
        <v>1365.6146604611804</v>
      </c>
      <c r="Q12" s="104">
        <v>2553</v>
      </c>
      <c r="R12" s="104">
        <f>R7*'Guidance &amp; Assumptions'!$C$32</f>
        <v>1490.7576893417997</v>
      </c>
      <c r="S12" s="104">
        <f>S7*'Guidance &amp; Assumptions'!$C$32</f>
        <v>1681.0671815982</v>
      </c>
      <c r="T12" s="104">
        <f>T7*'Guidance &amp; Assumptions'!$C$32</f>
        <v>3171.82487094</v>
      </c>
      <c r="U12" s="104">
        <f>U7*'Guidance &amp; Assumptions'!$D$32</f>
        <v>1775.4462086899543</v>
      </c>
      <c r="V12" s="104">
        <f>V7*'Guidance &amp; Assumptions'!$D$32</f>
        <v>2002.0989161822895</v>
      </c>
      <c r="W12" s="104">
        <f>W7*'Guidance &amp; Assumptions'!$D$32</f>
        <v>3777.5451248722443</v>
      </c>
      <c r="X12" s="104">
        <f>X7*'Guidance &amp; Assumptions'!$E$32</f>
        <v>2051.1827552716127</v>
      </c>
      <c r="Y12" s="104">
        <f>Y7*'Guidance &amp; Assumptions'!$E$32</f>
        <v>2313.0358729658615</v>
      </c>
      <c r="Z12" s="104">
        <f>Z7*'Guidance &amp; Assumptions'!$E$32</f>
        <v>4364.2186282374741</v>
      </c>
      <c r="AA12" s="104">
        <f>AA7*'Guidance &amp; Assumptions'!$F$32</f>
        <v>2322.4057771352172</v>
      </c>
      <c r="AB12" s="104">
        <f>AB7*'Guidance &amp; Assumptions'!$F$32</f>
        <v>2618.8831103865218</v>
      </c>
      <c r="AC12" s="104">
        <f>AC7*'Guidance &amp; Assumptions'!$F$32</f>
        <v>4941.2888875217386</v>
      </c>
      <c r="AD12" s="104">
        <f>AD7*'Guidance &amp; Assumptions'!$G$32</f>
        <v>2599.2189494371351</v>
      </c>
      <c r="AE12" s="104">
        <f>AE7*'Guidance &amp; Assumptions'!$G$32</f>
        <v>2931.0341344716626</v>
      </c>
      <c r="AF12" s="104">
        <f>AF7*'Guidance &amp; Assumptions'!$G$32</f>
        <v>5530.2530839087976</v>
      </c>
    </row>
    <row r="13" spans="2:32" x14ac:dyDescent="0.3">
      <c r="B13" s="52" t="s">
        <v>340</v>
      </c>
      <c r="C13" s="105">
        <f t="shared" ref="C13:AF13" si="2">C12/C7</f>
        <v>5.8005867923620801E-2</v>
      </c>
      <c r="D13" s="105">
        <f t="shared" si="2"/>
        <v>5.8005867923620794E-2</v>
      </c>
      <c r="E13" s="105">
        <f t="shared" si="2"/>
        <v>5.8005867923620801E-2</v>
      </c>
      <c r="F13" s="105">
        <f t="shared" si="2"/>
        <v>5.5007961179771019E-2</v>
      </c>
      <c r="G13" s="105">
        <f t="shared" si="2"/>
        <v>5.5007961179771026E-2</v>
      </c>
      <c r="H13" s="105">
        <f t="shared" si="2"/>
        <v>5.5007961179771019E-2</v>
      </c>
      <c r="I13" s="105">
        <f t="shared" si="2"/>
        <v>5.5010070493454175E-2</v>
      </c>
      <c r="J13" s="105">
        <f t="shared" si="2"/>
        <v>5.5010070493454181E-2</v>
      </c>
      <c r="K13" s="105">
        <f t="shared" si="2"/>
        <v>5.5010070493454181E-2</v>
      </c>
      <c r="L13" s="105">
        <f t="shared" si="2"/>
        <v>5.5998455215028553E-2</v>
      </c>
      <c r="M13" s="105">
        <f t="shared" si="2"/>
        <v>5.5998455215028546E-2</v>
      </c>
      <c r="N13" s="105">
        <f t="shared" si="2"/>
        <v>5.5998455215028553E-2</v>
      </c>
      <c r="O13" s="105">
        <f t="shared" si="2"/>
        <v>5.4008885127988154E-2</v>
      </c>
      <c r="P13" s="105">
        <f t="shared" si="2"/>
        <v>5.4008885127988147E-2</v>
      </c>
      <c r="Q13" s="105">
        <f t="shared" si="2"/>
        <v>5.4008885127988154E-2</v>
      </c>
      <c r="R13" s="105">
        <f t="shared" si="2"/>
        <v>5.3999999999999999E-2</v>
      </c>
      <c r="S13" s="105">
        <f t="shared" si="2"/>
        <v>5.3999999999999999E-2</v>
      </c>
      <c r="T13" s="105">
        <f t="shared" si="2"/>
        <v>5.3999999999999999E-2</v>
      </c>
      <c r="U13" s="105">
        <f t="shared" si="2"/>
        <v>5.3999999999999999E-2</v>
      </c>
      <c r="V13" s="105">
        <f t="shared" si="2"/>
        <v>5.3999999999999999E-2</v>
      </c>
      <c r="W13" s="105">
        <f t="shared" si="2"/>
        <v>5.3999999999999999E-2</v>
      </c>
      <c r="X13" s="105">
        <f t="shared" si="2"/>
        <v>5.3999999999999999E-2</v>
      </c>
      <c r="Y13" s="105">
        <f t="shared" si="2"/>
        <v>5.3999999999999992E-2</v>
      </c>
      <c r="Z13" s="105">
        <f t="shared" si="2"/>
        <v>5.3999999999999999E-2</v>
      </c>
      <c r="AA13" s="105">
        <f t="shared" si="2"/>
        <v>5.3999999999999999E-2</v>
      </c>
      <c r="AB13" s="105">
        <f t="shared" si="2"/>
        <v>5.3999999999999999E-2</v>
      </c>
      <c r="AC13" s="105">
        <f t="shared" si="2"/>
        <v>5.3999999999999992E-2</v>
      </c>
      <c r="AD13" s="105">
        <f t="shared" si="2"/>
        <v>5.4000000000000006E-2</v>
      </c>
      <c r="AE13" s="105">
        <f t="shared" si="2"/>
        <v>5.3999999999999999E-2</v>
      </c>
      <c r="AF13" s="105">
        <f t="shared" si="2"/>
        <v>5.3999999999999999E-2</v>
      </c>
    </row>
    <row r="14" spans="2:32" x14ac:dyDescent="0.3">
      <c r="B14" s="32" t="s">
        <v>251</v>
      </c>
      <c r="C14" s="104">
        <f>E14*C7/E7</f>
        <v>1024.3528449810015</v>
      </c>
      <c r="D14" s="104">
        <f>E14-C14</f>
        <v>1109.6471550189985</v>
      </c>
      <c r="E14" s="104">
        <v>2134</v>
      </c>
      <c r="F14" s="104">
        <f>H14*F7/H7</f>
        <v>1311.3144286905754</v>
      </c>
      <c r="G14" s="104">
        <f>H14-F14</f>
        <v>1420.6855713094246</v>
      </c>
      <c r="H14" s="104">
        <v>2732</v>
      </c>
      <c r="I14" s="104">
        <f>K14*I7/K7</f>
        <v>1619.4407729103725</v>
      </c>
      <c r="J14" s="104">
        <f>K14-I14</f>
        <v>1730.5592270896275</v>
      </c>
      <c r="K14" s="104">
        <v>3350</v>
      </c>
      <c r="L14" s="104">
        <f>N14*L7/N7</f>
        <v>1793.7569170505642</v>
      </c>
      <c r="M14" s="104">
        <f>N14-L14</f>
        <v>1900.2430829494358</v>
      </c>
      <c r="N14" s="104">
        <v>3694</v>
      </c>
      <c r="O14" s="104">
        <f>Q14*O7/Q7</f>
        <v>2229.1962132430717</v>
      </c>
      <c r="P14" s="104">
        <f>Q14-O14</f>
        <v>2563.8037867569283</v>
      </c>
      <c r="Q14" s="104">
        <v>4793</v>
      </c>
      <c r="R14" s="104">
        <f>R7*'Guidance &amp; Assumptions'!$C$33</f>
        <v>2760.6623876699996</v>
      </c>
      <c r="S14" s="104">
        <f>S7*'Guidance &amp; Assumptions'!$C$33</f>
        <v>3113.08737333</v>
      </c>
      <c r="T14" s="104">
        <f>T7*'Guidance &amp; Assumptions'!$C$33</f>
        <v>5873.749761</v>
      </c>
      <c r="U14" s="104">
        <f>U7*'Guidance &amp; Assumptions'!$D$33</f>
        <v>3287.8633494258415</v>
      </c>
      <c r="V14" s="104">
        <f>V7*'Guidance &amp; Assumptions'!$D$33</f>
        <v>3707.5905855227584</v>
      </c>
      <c r="W14" s="104">
        <f>W7*'Guidance &amp; Assumptions'!$D$33</f>
        <v>6995.4539349486004</v>
      </c>
      <c r="X14" s="104">
        <f>X7*'Guidance &amp; Assumptions'!$E$33</f>
        <v>3798.4865838363203</v>
      </c>
      <c r="Y14" s="104">
        <f>Y7*'Guidance &amp; Assumptions'!$E$33</f>
        <v>4283.3997647515962</v>
      </c>
      <c r="Z14" s="104">
        <f>Z7*'Guidance &amp; Assumptions'!$E$33</f>
        <v>8081.8863485879156</v>
      </c>
      <c r="AA14" s="104">
        <f>AA7*'Guidance &amp; Assumptions'!$F$33</f>
        <v>4300.7514391392915</v>
      </c>
      <c r="AB14" s="104">
        <f>AB7*'Guidance &amp; Assumptions'!$F$33</f>
        <v>4849.7835377528181</v>
      </c>
      <c r="AC14" s="104">
        <f>AC7*'Guidance &amp; Assumptions'!$F$33</f>
        <v>9150.5349768921096</v>
      </c>
      <c r="AD14" s="104">
        <f>AD7*'Guidance &amp; Assumptions'!$G$33</f>
        <v>4813.3684248835834</v>
      </c>
      <c r="AE14" s="104">
        <f>AE7*'Guidance &amp; Assumptions'!$G$33</f>
        <v>5427.8409897623387</v>
      </c>
      <c r="AF14" s="104">
        <f>AF7*'Guidance &amp; Assumptions'!$G$33</f>
        <v>10241.209414645922</v>
      </c>
    </row>
    <row r="15" spans="2:32" x14ac:dyDescent="0.3">
      <c r="B15" s="52" t="s">
        <v>340</v>
      </c>
      <c r="C15" s="105">
        <f t="shared" ref="C15:AF15" si="3">C14/C7</f>
        <v>0.10264056562935886</v>
      </c>
      <c r="D15" s="105">
        <f t="shared" si="3"/>
        <v>0.10264056562935885</v>
      </c>
      <c r="E15" s="105">
        <f t="shared" si="3"/>
        <v>0.10264056562935886</v>
      </c>
      <c r="F15" s="105">
        <f t="shared" si="3"/>
        <v>0.10357115778300098</v>
      </c>
      <c r="G15" s="105">
        <f t="shared" si="3"/>
        <v>0.10357115778300099</v>
      </c>
      <c r="H15" s="105">
        <f t="shared" si="3"/>
        <v>0.10357115778300098</v>
      </c>
      <c r="I15" s="105">
        <f t="shared" si="3"/>
        <v>0.10542547834843907</v>
      </c>
      <c r="J15" s="105">
        <f t="shared" si="3"/>
        <v>0.10542547834843907</v>
      </c>
      <c r="K15" s="105">
        <f t="shared" si="3"/>
        <v>0.10542547834843907</v>
      </c>
      <c r="L15" s="105">
        <f t="shared" si="3"/>
        <v>0.10190063722380073</v>
      </c>
      <c r="M15" s="105">
        <f t="shared" si="3"/>
        <v>0.10190063722380072</v>
      </c>
      <c r="N15" s="105">
        <f t="shared" si="3"/>
        <v>0.10190063722380072</v>
      </c>
      <c r="O15" s="105">
        <f t="shared" si="3"/>
        <v>0.10139623439813836</v>
      </c>
      <c r="P15" s="105">
        <f t="shared" si="3"/>
        <v>0.10139623439813836</v>
      </c>
      <c r="Q15" s="105">
        <f t="shared" si="3"/>
        <v>0.10139623439813836</v>
      </c>
      <c r="R15" s="105">
        <f t="shared" si="3"/>
        <v>0.1</v>
      </c>
      <c r="S15" s="105">
        <f t="shared" si="3"/>
        <v>0.1</v>
      </c>
      <c r="T15" s="105">
        <f t="shared" si="3"/>
        <v>0.1</v>
      </c>
      <c r="U15" s="105">
        <f t="shared" si="3"/>
        <v>0.1</v>
      </c>
      <c r="V15" s="105">
        <f t="shared" si="3"/>
        <v>0.1</v>
      </c>
      <c r="W15" s="105">
        <f t="shared" si="3"/>
        <v>0.1</v>
      </c>
      <c r="X15" s="105">
        <f t="shared" si="3"/>
        <v>0.1</v>
      </c>
      <c r="Y15" s="105">
        <f t="shared" si="3"/>
        <v>0.10000000000000002</v>
      </c>
      <c r="Z15" s="105">
        <f t="shared" si="3"/>
        <v>0.1</v>
      </c>
      <c r="AA15" s="105">
        <f t="shared" si="3"/>
        <v>0.1</v>
      </c>
      <c r="AB15" s="105">
        <f t="shared" si="3"/>
        <v>0.1</v>
      </c>
      <c r="AC15" s="105">
        <f t="shared" si="3"/>
        <v>0.1</v>
      </c>
      <c r="AD15" s="105">
        <f t="shared" si="3"/>
        <v>0.1</v>
      </c>
      <c r="AE15" s="105">
        <f t="shared" si="3"/>
        <v>0.10000000000000002</v>
      </c>
      <c r="AF15" s="105">
        <f t="shared" si="3"/>
        <v>0.1</v>
      </c>
    </row>
    <row r="16" spans="2:32" x14ac:dyDescent="0.3">
      <c r="B16" s="29" t="s">
        <v>427</v>
      </c>
      <c r="C16" s="103">
        <f t="shared" ref="C16:AF16" si="4">SUM(C10,C12,C14)</f>
        <v>9038.2098023183116</v>
      </c>
      <c r="D16" s="103">
        <f t="shared" si="4"/>
        <v>9790.7901976816884</v>
      </c>
      <c r="E16" s="103">
        <f t="shared" si="4"/>
        <v>18829</v>
      </c>
      <c r="F16" s="103">
        <f t="shared" si="4"/>
        <v>11377.044620517097</v>
      </c>
      <c r="G16" s="103">
        <f t="shared" si="4"/>
        <v>12325.955379482903</v>
      </c>
      <c r="H16" s="103">
        <f t="shared" si="4"/>
        <v>23703</v>
      </c>
      <c r="I16" s="103">
        <f t="shared" si="4"/>
        <v>13662.762556646527</v>
      </c>
      <c r="J16" s="103">
        <f t="shared" si="4"/>
        <v>14600.237443353473</v>
      </c>
      <c r="K16" s="103">
        <f t="shared" si="4"/>
        <v>28263</v>
      </c>
      <c r="L16" s="103">
        <f t="shared" si="4"/>
        <v>15435.826984083198</v>
      </c>
      <c r="M16" s="103">
        <f t="shared" si="4"/>
        <v>16352.173015916802</v>
      </c>
      <c r="N16" s="103">
        <f t="shared" si="4"/>
        <v>31788</v>
      </c>
      <c r="O16" s="103">
        <f t="shared" si="4"/>
        <v>19157.692722657077</v>
      </c>
      <c r="P16" s="103">
        <f t="shared" si="4"/>
        <v>22033.307277342923</v>
      </c>
      <c r="Q16" s="103">
        <f t="shared" si="4"/>
        <v>41191</v>
      </c>
      <c r="R16" s="103">
        <f t="shared" si="4"/>
        <v>23907.336277222195</v>
      </c>
      <c r="S16" s="103">
        <f t="shared" si="4"/>
        <v>26959.336653037797</v>
      </c>
      <c r="T16" s="103">
        <f t="shared" si="4"/>
        <v>50866.672930259992</v>
      </c>
      <c r="U16" s="103">
        <f t="shared" si="4"/>
        <v>28341.382072050754</v>
      </c>
      <c r="V16" s="103">
        <f t="shared" si="4"/>
        <v>31959.430847206175</v>
      </c>
      <c r="W16" s="103">
        <f t="shared" si="4"/>
        <v>60300.812919256932</v>
      </c>
      <c r="X16" s="103">
        <f t="shared" si="4"/>
        <v>32628.999755153985</v>
      </c>
      <c r="Y16" s="103">
        <f t="shared" si="4"/>
        <v>36794.403979216208</v>
      </c>
      <c r="Z16" s="103">
        <f t="shared" si="4"/>
        <v>69423.403734370193</v>
      </c>
      <c r="AA16" s="103">
        <f t="shared" si="4"/>
        <v>36857.439833423727</v>
      </c>
      <c r="AB16" s="103">
        <f t="shared" si="4"/>
        <v>41562.64491854165</v>
      </c>
      <c r="AC16" s="103">
        <f t="shared" si="4"/>
        <v>78420.084751965376</v>
      </c>
      <c r="AD16" s="103">
        <f t="shared" si="4"/>
        <v>41154.300032754632</v>
      </c>
      <c r="AE16" s="103">
        <f t="shared" si="4"/>
        <v>46408.040462467994</v>
      </c>
      <c r="AF16" s="103">
        <f t="shared" si="4"/>
        <v>87562.340495222641</v>
      </c>
    </row>
    <row r="18" spans="2:32" x14ac:dyDescent="0.3">
      <c r="B18" s="29" t="s">
        <v>223</v>
      </c>
      <c r="C18" s="103">
        <f t="shared" ref="C18:AF18" si="5">C7-C16</f>
        <v>941.79019768168837</v>
      </c>
      <c r="D18" s="103">
        <f t="shared" si="5"/>
        <v>1020.2098023183116</v>
      </c>
      <c r="E18" s="103">
        <f t="shared" si="5"/>
        <v>1962</v>
      </c>
      <c r="F18" s="103">
        <f t="shared" si="5"/>
        <v>1283.9553794829026</v>
      </c>
      <c r="G18" s="103">
        <f t="shared" si="5"/>
        <v>1391.0446205170974</v>
      </c>
      <c r="H18" s="103">
        <f t="shared" si="5"/>
        <v>2675</v>
      </c>
      <c r="I18" s="103">
        <f t="shared" si="5"/>
        <v>1698.2374433534733</v>
      </c>
      <c r="J18" s="103">
        <f t="shared" si="5"/>
        <v>1814.7625566465267</v>
      </c>
      <c r="K18" s="103">
        <f t="shared" si="5"/>
        <v>3513</v>
      </c>
      <c r="L18" s="103">
        <f t="shared" si="5"/>
        <v>2167.1730159168019</v>
      </c>
      <c r="M18" s="103">
        <f t="shared" si="5"/>
        <v>2295.8269840831981</v>
      </c>
      <c r="N18" s="103">
        <f t="shared" si="5"/>
        <v>4463</v>
      </c>
      <c r="O18" s="103">
        <f t="shared" si="5"/>
        <v>2827.307277342923</v>
      </c>
      <c r="P18" s="103">
        <f t="shared" si="5"/>
        <v>3251.692722657077</v>
      </c>
      <c r="Q18" s="103">
        <f t="shared" si="5"/>
        <v>6079</v>
      </c>
      <c r="R18" s="103">
        <f t="shared" si="5"/>
        <v>3699.2875994778005</v>
      </c>
      <c r="S18" s="103">
        <f t="shared" si="5"/>
        <v>4171.5370802622019</v>
      </c>
      <c r="T18" s="103">
        <f t="shared" si="5"/>
        <v>7870.8246797400061</v>
      </c>
      <c r="U18" s="103">
        <f t="shared" si="5"/>
        <v>4537.2514222076607</v>
      </c>
      <c r="V18" s="103">
        <f t="shared" si="5"/>
        <v>5116.4750080214071</v>
      </c>
      <c r="W18" s="103">
        <f t="shared" si="5"/>
        <v>9653.7264302290714</v>
      </c>
      <c r="X18" s="103">
        <f t="shared" si="5"/>
        <v>5355.8660832092137</v>
      </c>
      <c r="Y18" s="103">
        <f t="shared" si="5"/>
        <v>6039.593668299749</v>
      </c>
      <c r="Z18" s="103">
        <f t="shared" si="5"/>
        <v>11395.459751508955</v>
      </c>
      <c r="AA18" s="103">
        <f t="shared" si="5"/>
        <v>6150.0745579691866</v>
      </c>
      <c r="AB18" s="103">
        <f t="shared" si="5"/>
        <v>6935.1904589865298</v>
      </c>
      <c r="AC18" s="103">
        <f t="shared" si="5"/>
        <v>13085.265016955716</v>
      </c>
      <c r="AD18" s="103">
        <f t="shared" si="5"/>
        <v>6979.3842160811982</v>
      </c>
      <c r="AE18" s="103">
        <f t="shared" si="5"/>
        <v>7870.3694351553859</v>
      </c>
      <c r="AF18" s="103">
        <f t="shared" si="5"/>
        <v>14849.753651236577</v>
      </c>
    </row>
    <row r="19" spans="2:32" x14ac:dyDescent="0.3">
      <c r="B19" s="133" t="s">
        <v>224</v>
      </c>
      <c r="C19" s="134">
        <f t="shared" ref="C19:AF19" si="6">C18/C7</f>
        <v>9.436775527872629E-2</v>
      </c>
      <c r="D19" s="134">
        <f t="shared" si="6"/>
        <v>9.4367755278726442E-2</v>
      </c>
      <c r="E19" s="134">
        <f t="shared" si="6"/>
        <v>9.4367755278726373E-2</v>
      </c>
      <c r="F19" s="134">
        <f t="shared" si="6"/>
        <v>0.10141026613086665</v>
      </c>
      <c r="G19" s="134">
        <f t="shared" si="6"/>
        <v>0.10141026613086662</v>
      </c>
      <c r="H19" s="134">
        <f t="shared" si="6"/>
        <v>0.10141026613086664</v>
      </c>
      <c r="I19" s="134">
        <f t="shared" si="6"/>
        <v>0.11055513595166157</v>
      </c>
      <c r="J19" s="134">
        <f t="shared" si="6"/>
        <v>0.11055513595166169</v>
      </c>
      <c r="K19" s="134">
        <f t="shared" si="6"/>
        <v>0.11055513595166164</v>
      </c>
      <c r="L19" s="134">
        <f t="shared" si="6"/>
        <v>0.12311384513530658</v>
      </c>
      <c r="M19" s="134">
        <f t="shared" si="6"/>
        <v>0.12311384513530664</v>
      </c>
      <c r="N19" s="134">
        <f t="shared" si="6"/>
        <v>0.12311384513530661</v>
      </c>
      <c r="O19" s="134">
        <f t="shared" si="6"/>
        <v>0.12860165009519778</v>
      </c>
      <c r="P19" s="134">
        <f t="shared" si="6"/>
        <v>0.12860165009519783</v>
      </c>
      <c r="Q19" s="134">
        <f t="shared" si="6"/>
        <v>0.12860165009519781</v>
      </c>
      <c r="R19" s="134">
        <f t="shared" si="6"/>
        <v>0.13400000000000004</v>
      </c>
      <c r="S19" s="134">
        <f t="shared" si="6"/>
        <v>0.13400000000000006</v>
      </c>
      <c r="T19" s="134">
        <f t="shared" si="6"/>
        <v>0.13400000000000012</v>
      </c>
      <c r="U19" s="134">
        <f t="shared" si="6"/>
        <v>0.13799999999999998</v>
      </c>
      <c r="V19" s="134">
        <f t="shared" si="6"/>
        <v>0.13800000000000001</v>
      </c>
      <c r="W19" s="134">
        <f t="shared" si="6"/>
        <v>0.13800000000000004</v>
      </c>
      <c r="X19" s="134">
        <f t="shared" si="6"/>
        <v>0.14100000000000007</v>
      </c>
      <c r="Y19" s="134">
        <f t="shared" si="6"/>
        <v>0.14099999999999999</v>
      </c>
      <c r="Z19" s="134">
        <f t="shared" si="6"/>
        <v>0.14099999999999993</v>
      </c>
      <c r="AA19" s="134">
        <f t="shared" si="6"/>
        <v>0.14299999999999999</v>
      </c>
      <c r="AB19" s="134">
        <f t="shared" si="6"/>
        <v>0.14300000000000002</v>
      </c>
      <c r="AC19" s="134">
        <f t="shared" si="6"/>
        <v>0.14299999999999999</v>
      </c>
      <c r="AD19" s="134">
        <f t="shared" si="6"/>
        <v>0.14500000000000005</v>
      </c>
      <c r="AE19" s="134">
        <f t="shared" si="6"/>
        <v>0.14499999999999993</v>
      </c>
      <c r="AF19" s="134">
        <f t="shared" si="6"/>
        <v>0.14499999999999991</v>
      </c>
    </row>
    <row r="21" spans="2:32" x14ac:dyDescent="0.3">
      <c r="B21" s="32" t="s">
        <v>428</v>
      </c>
      <c r="C21" s="104">
        <f>E21/2</f>
        <v>305.5</v>
      </c>
      <c r="D21" s="104">
        <f>E21-C21</f>
        <v>305.5</v>
      </c>
      <c r="E21" s="104">
        <v>611</v>
      </c>
      <c r="F21" s="104">
        <f>H21/2</f>
        <v>315.5</v>
      </c>
      <c r="G21" s="104">
        <f>H21-F21</f>
        <v>315.5</v>
      </c>
      <c r="H21" s="104">
        <v>631</v>
      </c>
      <c r="I21" s="104">
        <f>K21/2</f>
        <v>350</v>
      </c>
      <c r="J21" s="104">
        <f>K21-I21</f>
        <v>350</v>
      </c>
      <c r="K21" s="104">
        <v>700</v>
      </c>
      <c r="L21" s="104">
        <f>N21/2</f>
        <v>374</v>
      </c>
      <c r="M21" s="104">
        <f>N21-L21</f>
        <v>374</v>
      </c>
      <c r="N21" s="104">
        <v>748</v>
      </c>
      <c r="O21" s="104">
        <f>Q21/2</f>
        <v>450.5</v>
      </c>
      <c r="P21" s="104">
        <f>Q21-O21</f>
        <v>450.5</v>
      </c>
      <c r="Q21" s="104">
        <v>901</v>
      </c>
      <c r="R21" s="104">
        <f>T21/2</f>
        <v>421.13499999999999</v>
      </c>
      <c r="S21" s="104">
        <f>T21/2</f>
        <v>421.13499999999999</v>
      </c>
      <c r="T21" s="131">
        <f>'Balance Sheet'!H46</f>
        <v>842.27</v>
      </c>
      <c r="U21" s="104">
        <f>W21/2</f>
        <v>521.46052755153494</v>
      </c>
      <c r="V21" s="104">
        <f>W21/2</f>
        <v>521.46052755153494</v>
      </c>
      <c r="W21" s="131">
        <f>'Balance Sheet'!I46</f>
        <v>1042.9210551030699</v>
      </c>
      <c r="X21" s="104">
        <f>Z21/2</f>
        <v>629.84786459215081</v>
      </c>
      <c r="Y21" s="104">
        <f>Z21/2</f>
        <v>629.84786459215081</v>
      </c>
      <c r="Z21" s="131">
        <f>'Balance Sheet'!J46</f>
        <v>1259.6957291843016</v>
      </c>
      <c r="AA21" s="104">
        <f>AC21/2</f>
        <v>741.70311648463564</v>
      </c>
      <c r="AB21" s="104">
        <f>AC21/2</f>
        <v>741.70311648463564</v>
      </c>
      <c r="AC21" s="131">
        <f>'Balance Sheet'!K46</f>
        <v>1483.4062329692713</v>
      </c>
      <c r="AD21" s="104">
        <f>AF21/2</f>
        <v>853.51917413509477</v>
      </c>
      <c r="AE21" s="104">
        <f>AF21/2</f>
        <v>853.51917413509477</v>
      </c>
      <c r="AF21" s="131">
        <f>'Balance Sheet'!L46</f>
        <v>1707.0383482701895</v>
      </c>
    </row>
    <row r="22" spans="2:32" x14ac:dyDescent="0.3">
      <c r="B22" s="29" t="s">
        <v>429</v>
      </c>
      <c r="C22" s="103">
        <f t="shared" ref="C22:AF22" si="7">C18-C21</f>
        <v>636.29019768168837</v>
      </c>
      <c r="D22" s="103">
        <f t="shared" si="7"/>
        <v>714.70980231831163</v>
      </c>
      <c r="E22" s="103">
        <f t="shared" si="7"/>
        <v>1351</v>
      </c>
      <c r="F22" s="103">
        <f t="shared" si="7"/>
        <v>968.45537948290257</v>
      </c>
      <c r="G22" s="103">
        <f t="shared" si="7"/>
        <v>1075.5446205170974</v>
      </c>
      <c r="H22" s="103">
        <f t="shared" si="7"/>
        <v>2044</v>
      </c>
      <c r="I22" s="103">
        <f t="shared" si="7"/>
        <v>1348.2374433534733</v>
      </c>
      <c r="J22" s="103">
        <f t="shared" si="7"/>
        <v>1464.7625566465267</v>
      </c>
      <c r="K22" s="103">
        <f t="shared" si="7"/>
        <v>2813</v>
      </c>
      <c r="L22" s="103">
        <f t="shared" si="7"/>
        <v>1793.1730159168019</v>
      </c>
      <c r="M22" s="103">
        <f t="shared" si="7"/>
        <v>1921.8269840831981</v>
      </c>
      <c r="N22" s="103">
        <f t="shared" si="7"/>
        <v>3715</v>
      </c>
      <c r="O22" s="103">
        <f t="shared" si="7"/>
        <v>2376.807277342923</v>
      </c>
      <c r="P22" s="103">
        <f t="shared" si="7"/>
        <v>2801.192722657077</v>
      </c>
      <c r="Q22" s="103">
        <f t="shared" si="7"/>
        <v>5178</v>
      </c>
      <c r="R22" s="103">
        <f t="shared" si="7"/>
        <v>3278.1525994778003</v>
      </c>
      <c r="S22" s="103">
        <f t="shared" si="7"/>
        <v>3750.4020802622017</v>
      </c>
      <c r="T22" s="103">
        <f t="shared" si="7"/>
        <v>7028.5546797400057</v>
      </c>
      <c r="U22" s="103">
        <f t="shared" si="7"/>
        <v>4015.7908946561256</v>
      </c>
      <c r="V22" s="103">
        <f t="shared" si="7"/>
        <v>4595.0144804698721</v>
      </c>
      <c r="W22" s="103">
        <f t="shared" si="7"/>
        <v>8610.8053751260013</v>
      </c>
      <c r="X22" s="103">
        <f t="shared" si="7"/>
        <v>4726.0182186170632</v>
      </c>
      <c r="Y22" s="103">
        <f t="shared" si="7"/>
        <v>5409.7458037075985</v>
      </c>
      <c r="Z22" s="103">
        <f t="shared" si="7"/>
        <v>10135.764022324654</v>
      </c>
      <c r="AA22" s="103">
        <f t="shared" si="7"/>
        <v>5408.3714414845508</v>
      </c>
      <c r="AB22" s="103">
        <f t="shared" si="7"/>
        <v>6193.4873425018941</v>
      </c>
      <c r="AC22" s="103">
        <f t="shared" si="7"/>
        <v>11601.858783986445</v>
      </c>
      <c r="AD22" s="103">
        <f t="shared" si="7"/>
        <v>6125.8650419461037</v>
      </c>
      <c r="AE22" s="103">
        <f t="shared" si="7"/>
        <v>7016.8502610202913</v>
      </c>
      <c r="AF22" s="103">
        <f t="shared" si="7"/>
        <v>13142.715302966388</v>
      </c>
    </row>
    <row r="23" spans="2:32" x14ac:dyDescent="0.3">
      <c r="B23" s="52" t="s">
        <v>430</v>
      </c>
      <c r="C23" s="105">
        <f t="shared" ref="C23:AF23" si="8">C22/C7</f>
        <v>6.3756532833836504E-2</v>
      </c>
      <c r="D23" s="105">
        <f t="shared" si="8"/>
        <v>6.6109499798197358E-2</v>
      </c>
      <c r="E23" s="105">
        <f t="shared" si="8"/>
        <v>6.498003944014237E-2</v>
      </c>
      <c r="F23" s="105">
        <f t="shared" si="8"/>
        <v>7.649122340122444E-2</v>
      </c>
      <c r="G23" s="105">
        <f t="shared" si="8"/>
        <v>7.8409610010723732E-2</v>
      </c>
      <c r="H23" s="105">
        <f t="shared" si="8"/>
        <v>7.7488816437940713E-2</v>
      </c>
      <c r="I23" s="105">
        <f t="shared" si="8"/>
        <v>8.7770161015133991E-2</v>
      </c>
      <c r="J23" s="105">
        <f t="shared" si="8"/>
        <v>8.9233174331192613E-2</v>
      </c>
      <c r="K23" s="105">
        <f t="shared" si="8"/>
        <v>8.8525931520644516E-2</v>
      </c>
      <c r="L23" s="105">
        <f t="shared" si="8"/>
        <v>0.10186746667708924</v>
      </c>
      <c r="M23" s="105">
        <f t="shared" si="8"/>
        <v>0.10305807507953658</v>
      </c>
      <c r="N23" s="105">
        <f t="shared" si="8"/>
        <v>0.10247993158809413</v>
      </c>
      <c r="O23" s="105">
        <f t="shared" si="8"/>
        <v>0.1081104060651773</v>
      </c>
      <c r="P23" s="105">
        <f t="shared" si="8"/>
        <v>0.11078476261250057</v>
      </c>
      <c r="Q23" s="105">
        <f t="shared" si="8"/>
        <v>0.10954093505394542</v>
      </c>
      <c r="R23" s="105">
        <f t="shared" si="8"/>
        <v>0.11874514660391207</v>
      </c>
      <c r="S23" s="105">
        <f t="shared" si="8"/>
        <v>0.12047211113931829</v>
      </c>
      <c r="T23" s="105">
        <f t="shared" si="8"/>
        <v>0.11966043780767742</v>
      </c>
      <c r="U23" s="105">
        <f t="shared" si="8"/>
        <v>0.12213983574948156</v>
      </c>
      <c r="V23" s="105">
        <f t="shared" si="8"/>
        <v>0.12393532604199312</v>
      </c>
      <c r="W23" s="105">
        <f t="shared" si="8"/>
        <v>0.12309144560451273</v>
      </c>
      <c r="X23" s="105">
        <f t="shared" si="8"/>
        <v>0.12441845230486435</v>
      </c>
      <c r="Y23" s="105">
        <f t="shared" si="8"/>
        <v>0.12629560864770983</v>
      </c>
      <c r="Z23" s="105">
        <f t="shared" si="8"/>
        <v>0.12541334516657238</v>
      </c>
      <c r="AA23" s="105">
        <f t="shared" si="8"/>
        <v>0.12575410409132892</v>
      </c>
      <c r="AB23" s="105">
        <f t="shared" si="8"/>
        <v>0.12770646966589547</v>
      </c>
      <c r="AC23" s="105">
        <f t="shared" si="8"/>
        <v>0.12678885784584917</v>
      </c>
      <c r="AD23" s="105">
        <f t="shared" si="8"/>
        <v>0.12726773646241851</v>
      </c>
      <c r="AE23" s="105">
        <f t="shared" si="8"/>
        <v>0.12927516252327667</v>
      </c>
      <c r="AF23" s="105">
        <f t="shared" si="8"/>
        <v>0.12833167227467326</v>
      </c>
    </row>
    <row r="25" spans="2:32" x14ac:dyDescent="0.3">
      <c r="B25" s="32" t="s">
        <v>431</v>
      </c>
      <c r="C25" s="104">
        <f>E25/2</f>
        <v>-5.5</v>
      </c>
      <c r="D25" s="104">
        <f>E25-C25</f>
        <v>-5.5</v>
      </c>
      <c r="E25" s="104">
        <v>-11</v>
      </c>
      <c r="F25" s="104">
        <f>H25/2</f>
        <v>50.5</v>
      </c>
      <c r="G25" s="104">
        <f>H25-F25</f>
        <v>50.5</v>
      </c>
      <c r="H25" s="104">
        <v>101</v>
      </c>
      <c r="I25" s="104">
        <f>K25/2</f>
        <v>74.5</v>
      </c>
      <c r="J25" s="104">
        <f>K25-I25</f>
        <v>74.5</v>
      </c>
      <c r="K25" s="104">
        <v>149</v>
      </c>
      <c r="L25" s="104">
        <f>N25/2</f>
        <v>-12</v>
      </c>
      <c r="M25" s="104">
        <f>N25-L25</f>
        <v>-12</v>
      </c>
      <c r="N25" s="104">
        <v>-24</v>
      </c>
      <c r="O25" s="104">
        <f>Q25/2</f>
        <v>-35.5</v>
      </c>
      <c r="P25" s="104">
        <f>Q25-O25</f>
        <v>-35.5</v>
      </c>
      <c r="Q25" s="104">
        <v>-71</v>
      </c>
      <c r="R25" s="104">
        <f>T25/2</f>
        <v>0</v>
      </c>
      <c r="S25" s="104">
        <f>T25-R25</f>
        <v>0</v>
      </c>
      <c r="T25" s="131">
        <f>'Guidance &amp; Assumptions'!$C$38</f>
        <v>0</v>
      </c>
      <c r="U25" s="104">
        <f>W25/2</f>
        <v>0</v>
      </c>
      <c r="V25" s="104">
        <f>W25-U25</f>
        <v>0</v>
      </c>
      <c r="W25" s="131">
        <f>'Guidance &amp; Assumptions'!$D$38</f>
        <v>0</v>
      </c>
      <c r="X25" s="104">
        <f>Z25/2</f>
        <v>0</v>
      </c>
      <c r="Y25" s="104">
        <f>Z25-X25</f>
        <v>0</v>
      </c>
      <c r="Z25" s="131">
        <f>'Guidance &amp; Assumptions'!$E$38</f>
        <v>0</v>
      </c>
      <c r="AA25" s="104">
        <f>AC25/2</f>
        <v>0</v>
      </c>
      <c r="AB25" s="104">
        <f>AC25-AA25</f>
        <v>0</v>
      </c>
      <c r="AC25" s="131">
        <f>'Guidance &amp; Assumptions'!$F$38</f>
        <v>0</v>
      </c>
      <c r="AD25" s="104">
        <f>AF25/2</f>
        <v>0</v>
      </c>
      <c r="AE25" s="104">
        <f>AF25-AD25</f>
        <v>0</v>
      </c>
      <c r="AF25" s="131">
        <f>'Guidance &amp; Assumptions'!$G$38</f>
        <v>0</v>
      </c>
    </row>
    <row r="26" spans="2:32" x14ac:dyDescent="0.3">
      <c r="B26" s="32" t="s">
        <v>432</v>
      </c>
      <c r="C26" s="104">
        <f>E26/2</f>
        <v>63</v>
      </c>
      <c r="D26" s="104">
        <f>E26-C26</f>
        <v>63</v>
      </c>
      <c r="E26" s="104">
        <v>126</v>
      </c>
      <c r="F26" s="104">
        <f>H26/2</f>
        <v>70.5</v>
      </c>
      <c r="G26" s="104">
        <f>H26-F26</f>
        <v>70.5</v>
      </c>
      <c r="H26" s="104">
        <v>141</v>
      </c>
      <c r="I26" s="104">
        <f>K26/2</f>
        <v>91</v>
      </c>
      <c r="J26" s="104">
        <f>K26-I26</f>
        <v>91</v>
      </c>
      <c r="K26" s="104">
        <v>182</v>
      </c>
      <c r="L26" s="104">
        <f>N26/2</f>
        <v>69.5</v>
      </c>
      <c r="M26" s="104">
        <f>N26-L26</f>
        <v>69.5</v>
      </c>
      <c r="N26" s="104">
        <v>139</v>
      </c>
      <c r="O26" s="104">
        <f>Q26/2</f>
        <v>102</v>
      </c>
      <c r="P26" s="104">
        <f>Q26-O26</f>
        <v>102</v>
      </c>
      <c r="Q26" s="104">
        <v>204</v>
      </c>
      <c r="R26" s="104">
        <f>T26/2</f>
        <v>135.88120000000001</v>
      </c>
      <c r="S26" s="104">
        <f>T26-R26</f>
        <v>135.88120000000001</v>
      </c>
      <c r="T26" s="131">
        <f>'Balance Sheet'!H56</f>
        <v>271.76240000000001</v>
      </c>
      <c r="U26" s="104">
        <f>W26/2</f>
        <v>135.88120000000001</v>
      </c>
      <c r="V26" s="104">
        <f>W26-U26</f>
        <v>135.88120000000001</v>
      </c>
      <c r="W26" s="131">
        <f>'Balance Sheet'!I56</f>
        <v>271.76240000000001</v>
      </c>
      <c r="X26" s="104">
        <f>Z26/2</f>
        <v>135.88120000000001</v>
      </c>
      <c r="Y26" s="104">
        <f>Z26-X26</f>
        <v>135.88120000000001</v>
      </c>
      <c r="Z26" s="131">
        <f>'Balance Sheet'!J56</f>
        <v>271.76240000000001</v>
      </c>
      <c r="AA26" s="104">
        <f>AC26/2</f>
        <v>135.88120000000001</v>
      </c>
      <c r="AB26" s="104">
        <f>AC26-AA26</f>
        <v>135.88120000000001</v>
      </c>
      <c r="AC26" s="131">
        <f>'Balance Sheet'!K56</f>
        <v>271.76240000000001</v>
      </c>
      <c r="AD26" s="104">
        <f>AF26/2</f>
        <v>135.88120000000001</v>
      </c>
      <c r="AE26" s="104">
        <f>AF26-AD26</f>
        <v>135.88120000000001</v>
      </c>
      <c r="AF26" s="131">
        <f>'Balance Sheet'!L56</f>
        <v>271.76240000000001</v>
      </c>
    </row>
    <row r="28" spans="2:32" x14ac:dyDescent="0.3">
      <c r="B28" s="29" t="s">
        <v>433</v>
      </c>
      <c r="C28" s="103">
        <f t="shared" ref="C28:AF28" si="9">C22+C25-C26</f>
        <v>567.79019768168837</v>
      </c>
      <c r="D28" s="103">
        <f t="shared" si="9"/>
        <v>646.20980231831163</v>
      </c>
      <c r="E28" s="103">
        <f t="shared" si="9"/>
        <v>1214</v>
      </c>
      <c r="F28" s="103">
        <f t="shared" si="9"/>
        <v>948.45537948290257</v>
      </c>
      <c r="G28" s="103">
        <f t="shared" si="9"/>
        <v>1055.5446205170974</v>
      </c>
      <c r="H28" s="103">
        <f t="shared" si="9"/>
        <v>2004</v>
      </c>
      <c r="I28" s="103">
        <f t="shared" si="9"/>
        <v>1331.7374433534733</v>
      </c>
      <c r="J28" s="103">
        <f t="shared" si="9"/>
        <v>1448.2625566465267</v>
      </c>
      <c r="K28" s="103">
        <f t="shared" si="9"/>
        <v>2780</v>
      </c>
      <c r="L28" s="103">
        <f t="shared" si="9"/>
        <v>1711.6730159168019</v>
      </c>
      <c r="M28" s="103">
        <f t="shared" si="9"/>
        <v>1840.3269840831981</v>
      </c>
      <c r="N28" s="103">
        <f t="shared" si="9"/>
        <v>3552</v>
      </c>
      <c r="O28" s="103">
        <f t="shared" si="9"/>
        <v>2239.307277342923</v>
      </c>
      <c r="P28" s="103">
        <f t="shared" si="9"/>
        <v>2663.692722657077</v>
      </c>
      <c r="Q28" s="103">
        <f t="shared" si="9"/>
        <v>4903</v>
      </c>
      <c r="R28" s="103">
        <f t="shared" si="9"/>
        <v>3142.2713994778005</v>
      </c>
      <c r="S28" s="103">
        <f t="shared" si="9"/>
        <v>3614.5208802622019</v>
      </c>
      <c r="T28" s="103">
        <f t="shared" si="9"/>
        <v>6756.7922797400061</v>
      </c>
      <c r="U28" s="103">
        <f t="shared" si="9"/>
        <v>3879.9096946561258</v>
      </c>
      <c r="V28" s="103">
        <f t="shared" si="9"/>
        <v>4459.1332804698723</v>
      </c>
      <c r="W28" s="103">
        <f t="shared" si="9"/>
        <v>8339.0429751260017</v>
      </c>
      <c r="X28" s="103">
        <f t="shared" si="9"/>
        <v>4590.1370186170634</v>
      </c>
      <c r="Y28" s="103">
        <f t="shared" si="9"/>
        <v>5273.8646037075987</v>
      </c>
      <c r="Z28" s="103">
        <f t="shared" si="9"/>
        <v>9864.0016223246548</v>
      </c>
      <c r="AA28" s="103">
        <f t="shared" si="9"/>
        <v>5272.490241484551</v>
      </c>
      <c r="AB28" s="103">
        <f t="shared" si="9"/>
        <v>6057.6061425018943</v>
      </c>
      <c r="AC28" s="103">
        <f t="shared" si="9"/>
        <v>11330.096383986445</v>
      </c>
      <c r="AD28" s="103">
        <f t="shared" si="9"/>
        <v>5989.9838419461039</v>
      </c>
      <c r="AE28" s="103">
        <f t="shared" si="9"/>
        <v>6880.9690610202915</v>
      </c>
      <c r="AF28" s="103">
        <f t="shared" si="9"/>
        <v>12870.952902966388</v>
      </c>
    </row>
    <row r="29" spans="2:32" x14ac:dyDescent="0.3">
      <c r="B29" s="52" t="s">
        <v>434</v>
      </c>
      <c r="C29" s="105">
        <f t="shared" ref="C29:AF29" si="10">C28/C7</f>
        <v>5.6892805378926693E-2</v>
      </c>
      <c r="D29" s="105">
        <f t="shared" si="10"/>
        <v>5.9773360680631916E-2</v>
      </c>
      <c r="E29" s="105">
        <f t="shared" si="10"/>
        <v>5.8390649800394399E-2</v>
      </c>
      <c r="F29" s="105">
        <f t="shared" si="10"/>
        <v>7.4911569345462642E-2</v>
      </c>
      <c r="G29" s="105">
        <f t="shared" si="10"/>
        <v>7.6951565248749534E-2</v>
      </c>
      <c r="H29" s="105">
        <f t="shared" si="10"/>
        <v>7.5972401243460455E-2</v>
      </c>
      <c r="I29" s="105">
        <f t="shared" si="10"/>
        <v>8.6696012196697689E-2</v>
      </c>
      <c r="J29" s="105">
        <f t="shared" si="10"/>
        <v>8.8227996140513354E-2</v>
      </c>
      <c r="K29" s="105">
        <f t="shared" si="10"/>
        <v>8.7487411883182278E-2</v>
      </c>
      <c r="L29" s="105">
        <f t="shared" si="10"/>
        <v>9.7237574045151501E-2</v>
      </c>
      <c r="M29" s="105">
        <f t="shared" si="10"/>
        <v>9.8687633209094711E-2</v>
      </c>
      <c r="N29" s="105">
        <f t="shared" si="10"/>
        <v>9.7983503903340596E-2</v>
      </c>
      <c r="O29" s="105">
        <f t="shared" si="10"/>
        <v>0.10185614179408338</v>
      </c>
      <c r="P29" s="105">
        <f t="shared" si="10"/>
        <v>0.1053467558891468</v>
      </c>
      <c r="Q29" s="105">
        <f t="shared" si="10"/>
        <v>0.10372329172836894</v>
      </c>
      <c r="R29" s="105">
        <f t="shared" si="10"/>
        <v>0.11382309599001271</v>
      </c>
      <c r="S29" s="105">
        <f t="shared" si="10"/>
        <v>0.11610727380246413</v>
      </c>
      <c r="T29" s="105">
        <f t="shared" si="10"/>
        <v>0.11503371023061203</v>
      </c>
      <c r="U29" s="105">
        <f t="shared" si="10"/>
        <v>0.11800702408552573</v>
      </c>
      <c r="V29" s="105">
        <f t="shared" si="10"/>
        <v>0.12027037984942852</v>
      </c>
      <c r="W29" s="105">
        <f t="shared" si="10"/>
        <v>0.11920660264039425</v>
      </c>
      <c r="X29" s="105">
        <f t="shared" si="10"/>
        <v>0.12084120655182644</v>
      </c>
      <c r="Y29" s="105">
        <f t="shared" si="10"/>
        <v>0.12312333411199695</v>
      </c>
      <c r="Z29" s="105">
        <f t="shared" si="10"/>
        <v>0.12205073415871673</v>
      </c>
      <c r="AA29" s="105">
        <f t="shared" si="10"/>
        <v>0.12259462831313343</v>
      </c>
      <c r="AB29" s="105">
        <f t="shared" si="10"/>
        <v>0.12490467039089191</v>
      </c>
      <c r="AC29" s="105">
        <f t="shared" si="10"/>
        <v>0.12381895061434542</v>
      </c>
      <c r="AD29" s="105">
        <f t="shared" si="10"/>
        <v>0.12444474042293945</v>
      </c>
      <c r="AE29" s="105">
        <f t="shared" si="10"/>
        <v>0.12677175094109711</v>
      </c>
      <c r="AF29" s="105">
        <f t="shared" si="10"/>
        <v>0.12567805599756293</v>
      </c>
    </row>
    <row r="30" spans="2:32" x14ac:dyDescent="0.3">
      <c r="B30" s="52" t="s">
        <v>435</v>
      </c>
      <c r="E30" s="135">
        <v>1213</v>
      </c>
      <c r="H30" s="135">
        <v>2003</v>
      </c>
      <c r="K30" s="135">
        <v>2781</v>
      </c>
      <c r="N30" s="135">
        <v>3551</v>
      </c>
      <c r="Q30" s="135">
        <v>4904</v>
      </c>
    </row>
    <row r="31" spans="2:32" x14ac:dyDescent="0.3">
      <c r="B31" s="108" t="s">
        <v>436</v>
      </c>
      <c r="E31" s="109">
        <f>E28-E30</f>
        <v>1</v>
      </c>
      <c r="H31" s="109">
        <f>H28-H30</f>
        <v>1</v>
      </c>
      <c r="K31" s="109">
        <f>K28-K30</f>
        <v>-1</v>
      </c>
      <c r="N31" s="109">
        <f>N28-N30</f>
        <v>1</v>
      </c>
      <c r="Q31" s="109">
        <f>Q28-Q30</f>
        <v>-1</v>
      </c>
    </row>
    <row r="33" spans="2:32" x14ac:dyDescent="0.3">
      <c r="B33" s="32" t="s">
        <v>437</v>
      </c>
      <c r="C33" s="104">
        <f>E33/2</f>
        <v>159.5</v>
      </c>
      <c r="D33" s="104">
        <f>E33-C33</f>
        <v>159.5</v>
      </c>
      <c r="E33" s="104">
        <v>319</v>
      </c>
      <c r="F33" s="104">
        <f>H33/2</f>
        <v>256</v>
      </c>
      <c r="G33" s="104">
        <f>H33-F33</f>
        <v>256</v>
      </c>
      <c r="H33" s="104">
        <v>512</v>
      </c>
      <c r="I33" s="104">
        <f>K33/2</f>
        <v>349</v>
      </c>
      <c r="J33" s="104">
        <f>K33-I33</f>
        <v>349</v>
      </c>
      <c r="K33" s="104">
        <v>698</v>
      </c>
      <c r="L33" s="104">
        <f>N33/2</f>
        <v>458.5</v>
      </c>
      <c r="M33" s="104">
        <f>N33-L33</f>
        <v>458.5</v>
      </c>
      <c r="N33" s="104">
        <v>917</v>
      </c>
      <c r="O33" s="104">
        <f>Q33/2</f>
        <v>644.5</v>
      </c>
      <c r="P33" s="104">
        <f>Q33-O33</f>
        <v>644.5</v>
      </c>
      <c r="Q33" s="104">
        <v>1289</v>
      </c>
      <c r="R33" s="104">
        <f>R28*'Guidance &amp; Assumptions'!$C$35</f>
        <v>790.9097112485623</v>
      </c>
      <c r="S33" s="104">
        <f>S28*'Guidance &amp; Assumptions'!$C$35</f>
        <v>909.77490556199609</v>
      </c>
      <c r="T33" s="104">
        <f>T28*'Guidance &amp; Assumptions'!$C$35</f>
        <v>1700.6846168105594</v>
      </c>
      <c r="U33" s="104">
        <f>U28*'Guidance &amp; Assumptions'!$D$35</f>
        <v>976.57327014494683</v>
      </c>
      <c r="V33" s="104">
        <f>V28*'Guidance &amp; Assumptions'!$D$35</f>
        <v>1122.3638466942668</v>
      </c>
      <c r="W33" s="104">
        <f>W28*'Guidance &amp; Assumptions'!$D$35</f>
        <v>2098.9371168392145</v>
      </c>
      <c r="X33" s="104">
        <f>X28*'Guidance &amp; Assumptions'!$E$35</f>
        <v>1155.3374875859147</v>
      </c>
      <c r="Y33" s="104">
        <f>Y28*'Guidance &amp; Assumptions'!$E$35</f>
        <v>1327.4317207532024</v>
      </c>
      <c r="Z33" s="104">
        <f>Z28*'Guidance &amp; Assumptions'!$E$35</f>
        <v>2482.7692083391153</v>
      </c>
      <c r="AA33" s="104">
        <f>AA28*'Guidance &amp; Assumptions'!$F$35</f>
        <v>1327.0857937816613</v>
      </c>
      <c r="AB33" s="104">
        <f>AB28*'Guidance &amp; Assumptions'!$F$35</f>
        <v>1524.6994660677267</v>
      </c>
      <c r="AC33" s="104">
        <f>AC28*'Guidance &amp; Assumptions'!$F$35</f>
        <v>2851.7852598493882</v>
      </c>
      <c r="AD33" s="104">
        <f>AD28*'Guidance &amp; Assumptions'!$G$35</f>
        <v>1507.6789330178342</v>
      </c>
      <c r="AE33" s="104">
        <f>AE28*'Guidance &amp; Assumptions'!$G$35</f>
        <v>1731.9399126588073</v>
      </c>
      <c r="AF33" s="104">
        <f>AF28*'Guidance &amp; Assumptions'!$G$35</f>
        <v>3239.6188456766395</v>
      </c>
    </row>
    <row r="34" spans="2:32" x14ac:dyDescent="0.3">
      <c r="B34" s="52" t="s">
        <v>175</v>
      </c>
      <c r="C34" s="105">
        <f t="shared" ref="C34:AF34" si="11">C33/C28</f>
        <v>0.28091362029715433</v>
      </c>
      <c r="D34" s="105">
        <f t="shared" si="11"/>
        <v>0.24682386343844578</v>
      </c>
      <c r="E34" s="105">
        <f t="shared" si="11"/>
        <v>0.2627677100494234</v>
      </c>
      <c r="F34" s="105">
        <f t="shared" si="11"/>
        <v>0.26991253941705839</v>
      </c>
      <c r="G34" s="105">
        <f t="shared" si="11"/>
        <v>0.24252882826932409</v>
      </c>
      <c r="H34" s="105">
        <f t="shared" si="11"/>
        <v>0.2554890219560878</v>
      </c>
      <c r="I34" s="105">
        <f t="shared" si="11"/>
        <v>0.26206366858708763</v>
      </c>
      <c r="J34" s="105">
        <f t="shared" si="11"/>
        <v>0.24097840436344267</v>
      </c>
      <c r="K34" s="105">
        <f t="shared" si="11"/>
        <v>0.25107913669064746</v>
      </c>
      <c r="L34" s="105">
        <f t="shared" si="11"/>
        <v>0.26786658183918349</v>
      </c>
      <c r="M34" s="105">
        <f t="shared" si="11"/>
        <v>0.2491405081626907</v>
      </c>
      <c r="N34" s="105">
        <f t="shared" si="11"/>
        <v>0.2581644144144144</v>
      </c>
      <c r="O34" s="105">
        <f t="shared" si="11"/>
        <v>0.28781222055632277</v>
      </c>
      <c r="P34" s="105">
        <f t="shared" si="11"/>
        <v>0.24195733784079296</v>
      </c>
      <c r="Q34" s="105">
        <f t="shared" si="11"/>
        <v>0.2629002651437895</v>
      </c>
      <c r="R34" s="105">
        <f t="shared" si="11"/>
        <v>0.25169999999999998</v>
      </c>
      <c r="S34" s="105">
        <f t="shared" si="11"/>
        <v>0.25169999999999998</v>
      </c>
      <c r="T34" s="105">
        <f t="shared" si="11"/>
        <v>0.25169999999999998</v>
      </c>
      <c r="U34" s="105">
        <f t="shared" si="11"/>
        <v>0.25169999999999998</v>
      </c>
      <c r="V34" s="105">
        <f t="shared" si="11"/>
        <v>0.25169999999999998</v>
      </c>
      <c r="W34" s="105">
        <f t="shared" si="11"/>
        <v>0.25169999999999998</v>
      </c>
      <c r="X34" s="105">
        <f t="shared" si="11"/>
        <v>0.25169999999999998</v>
      </c>
      <c r="Y34" s="105">
        <f t="shared" si="11"/>
        <v>0.25169999999999998</v>
      </c>
      <c r="Z34" s="105">
        <f t="shared" si="11"/>
        <v>0.25169999999999998</v>
      </c>
      <c r="AA34" s="105">
        <f t="shared" si="11"/>
        <v>0.25169999999999998</v>
      </c>
      <c r="AB34" s="105">
        <f t="shared" si="11"/>
        <v>0.25169999999999998</v>
      </c>
      <c r="AC34" s="105">
        <f t="shared" si="11"/>
        <v>0.25169999999999998</v>
      </c>
      <c r="AD34" s="105">
        <f t="shared" si="11"/>
        <v>0.25169999999999998</v>
      </c>
      <c r="AE34" s="105">
        <f t="shared" si="11"/>
        <v>0.25169999999999998</v>
      </c>
      <c r="AF34" s="105">
        <f t="shared" si="11"/>
        <v>0.25169999999999998</v>
      </c>
    </row>
    <row r="36" spans="2:32" x14ac:dyDescent="0.3">
      <c r="B36" s="29" t="s">
        <v>438</v>
      </c>
      <c r="C36" s="106">
        <f t="shared" ref="C36:AF36" si="12">C28-C33</f>
        <v>408.29019768168837</v>
      </c>
      <c r="D36" s="106">
        <f t="shared" si="12"/>
        <v>486.70980231831163</v>
      </c>
      <c r="E36" s="106">
        <f t="shared" si="12"/>
        <v>895</v>
      </c>
      <c r="F36" s="106">
        <f t="shared" si="12"/>
        <v>692.45537948290257</v>
      </c>
      <c r="G36" s="106">
        <f t="shared" si="12"/>
        <v>799.54462051709743</v>
      </c>
      <c r="H36" s="106">
        <f t="shared" si="12"/>
        <v>1492</v>
      </c>
      <c r="I36" s="106">
        <f t="shared" si="12"/>
        <v>982.73744335347328</v>
      </c>
      <c r="J36" s="106">
        <f t="shared" si="12"/>
        <v>1099.2625566465267</v>
      </c>
      <c r="K36" s="106">
        <f t="shared" si="12"/>
        <v>2082</v>
      </c>
      <c r="L36" s="106">
        <f t="shared" si="12"/>
        <v>1253.1730159168019</v>
      </c>
      <c r="M36" s="106">
        <f t="shared" si="12"/>
        <v>1381.8269840831981</v>
      </c>
      <c r="N36" s="106">
        <f t="shared" si="12"/>
        <v>2635</v>
      </c>
      <c r="O36" s="106">
        <f t="shared" si="12"/>
        <v>1594.807277342923</v>
      </c>
      <c r="P36" s="106">
        <f t="shared" si="12"/>
        <v>2019.192722657077</v>
      </c>
      <c r="Q36" s="106">
        <f t="shared" si="12"/>
        <v>3614</v>
      </c>
      <c r="R36" s="106">
        <f t="shared" si="12"/>
        <v>2351.3616882292381</v>
      </c>
      <c r="S36" s="106">
        <f t="shared" si="12"/>
        <v>2704.7459747002058</v>
      </c>
      <c r="T36" s="106">
        <f t="shared" si="12"/>
        <v>5056.1076629294466</v>
      </c>
      <c r="U36" s="106">
        <f t="shared" si="12"/>
        <v>2903.3364245111788</v>
      </c>
      <c r="V36" s="106">
        <f t="shared" si="12"/>
        <v>3336.7694337756056</v>
      </c>
      <c r="W36" s="106">
        <f t="shared" si="12"/>
        <v>6240.1058582867872</v>
      </c>
      <c r="X36" s="106">
        <f t="shared" si="12"/>
        <v>3434.7995310311489</v>
      </c>
      <c r="Y36" s="106">
        <f t="shared" si="12"/>
        <v>3946.4328829543965</v>
      </c>
      <c r="Z36" s="106">
        <f t="shared" si="12"/>
        <v>7381.2324139855391</v>
      </c>
      <c r="AA36" s="106">
        <f t="shared" si="12"/>
        <v>3945.4044477028897</v>
      </c>
      <c r="AB36" s="106">
        <f t="shared" si="12"/>
        <v>4532.9066764341678</v>
      </c>
      <c r="AC36" s="106">
        <f t="shared" si="12"/>
        <v>8478.311124137057</v>
      </c>
      <c r="AD36" s="106">
        <f t="shared" si="12"/>
        <v>4482.3049089282695</v>
      </c>
      <c r="AE36" s="106">
        <f t="shared" si="12"/>
        <v>5149.0291483614837</v>
      </c>
      <c r="AF36" s="106">
        <f t="shared" si="12"/>
        <v>9631.3340572897487</v>
      </c>
    </row>
    <row r="37" spans="2:32" x14ac:dyDescent="0.3">
      <c r="B37" s="133" t="s">
        <v>439</v>
      </c>
      <c r="C37" s="134">
        <f t="shared" ref="C37:AF37" si="13">C36/C7</f>
        <v>4.0910841451070976E-2</v>
      </c>
      <c r="D37" s="134">
        <f t="shared" si="13"/>
        <v>4.5019868866738658E-2</v>
      </c>
      <c r="E37" s="134">
        <f t="shared" si="13"/>
        <v>4.3047472464046943E-2</v>
      </c>
      <c r="F37" s="134">
        <f t="shared" si="13"/>
        <v>5.4691997431711756E-2</v>
      </c>
      <c r="G37" s="134">
        <f t="shared" si="13"/>
        <v>5.8288592295479877E-2</v>
      </c>
      <c r="H37" s="134">
        <f t="shared" si="13"/>
        <v>5.6562286754113275E-2</v>
      </c>
      <c r="I37" s="134">
        <f t="shared" si="13"/>
        <v>6.3976137188560198E-2</v>
      </c>
      <c r="J37" s="134">
        <f t="shared" si="13"/>
        <v>6.6966954410388468E-2</v>
      </c>
      <c r="K37" s="134">
        <f t="shared" si="13"/>
        <v>6.5521148036253779E-2</v>
      </c>
      <c r="L37" s="134">
        <f t="shared" si="13"/>
        <v>7.1190877459342258E-2</v>
      </c>
      <c r="M37" s="134">
        <f t="shared" si="13"/>
        <v>7.4100546122007616E-2</v>
      </c>
      <c r="N37" s="134">
        <f t="shared" si="13"/>
        <v>7.2687649995862177E-2</v>
      </c>
      <c r="O37" s="134">
        <f t="shared" si="13"/>
        <v>7.2540699447028567E-2</v>
      </c>
      <c r="P37" s="134">
        <f t="shared" si="13"/>
        <v>7.985733528404497E-2</v>
      </c>
      <c r="Q37" s="134">
        <f t="shared" si="13"/>
        <v>7.6454410831394121E-2</v>
      </c>
      <c r="R37" s="134">
        <f t="shared" si="13"/>
        <v>8.5173822729326512E-2</v>
      </c>
      <c r="S37" s="134">
        <f t="shared" si="13"/>
        <v>8.6883072986383925E-2</v>
      </c>
      <c r="T37" s="134">
        <f t="shared" si="13"/>
        <v>8.6079725365566975E-2</v>
      </c>
      <c r="U37" s="134">
        <f t="shared" si="13"/>
        <v>8.8304656123198905E-2</v>
      </c>
      <c r="V37" s="134">
        <f t="shared" si="13"/>
        <v>8.9998325241327365E-2</v>
      </c>
      <c r="W37" s="134">
        <f t="shared" si="13"/>
        <v>8.9202300755807026E-2</v>
      </c>
      <c r="X37" s="134">
        <f t="shared" si="13"/>
        <v>9.0425474862731739E-2</v>
      </c>
      <c r="Y37" s="134">
        <f t="shared" si="13"/>
        <v>9.2133190916007329E-2</v>
      </c>
      <c r="Z37" s="134">
        <f t="shared" si="13"/>
        <v>9.1330564370967732E-2</v>
      </c>
      <c r="AA37" s="134">
        <f t="shared" si="13"/>
        <v>9.1737560366717749E-2</v>
      </c>
      <c r="AB37" s="134">
        <f t="shared" si="13"/>
        <v>9.3466164853504424E-2</v>
      </c>
      <c r="AC37" s="134">
        <f t="shared" si="13"/>
        <v>9.2653720744714688E-2</v>
      </c>
      <c r="AD37" s="134">
        <f t="shared" si="13"/>
        <v>9.3121999258485591E-2</v>
      </c>
      <c r="AE37" s="134">
        <f t="shared" si="13"/>
        <v>9.4863301229222957E-2</v>
      </c>
      <c r="AF37" s="134">
        <f t="shared" si="13"/>
        <v>9.4044889302976345E-2</v>
      </c>
    </row>
    <row r="38" spans="2:32" x14ac:dyDescent="0.3">
      <c r="B38" s="52" t="s">
        <v>440</v>
      </c>
      <c r="E38" s="135">
        <v>894</v>
      </c>
      <c r="H38" s="135">
        <v>1491</v>
      </c>
      <c r="K38" s="135">
        <v>2083</v>
      </c>
      <c r="N38" s="135">
        <v>2634</v>
      </c>
      <c r="Q38" s="135">
        <v>3615</v>
      </c>
    </row>
    <row r="39" spans="2:32" x14ac:dyDescent="0.3">
      <c r="B39" s="108" t="s">
        <v>436</v>
      </c>
      <c r="E39" s="109">
        <f>E36-E38</f>
        <v>1</v>
      </c>
      <c r="H39" s="109">
        <f>H36-H38</f>
        <v>1</v>
      </c>
      <c r="K39" s="109">
        <f>K36-K38</f>
        <v>-1</v>
      </c>
      <c r="N39" s="109">
        <f>N36-N38</f>
        <v>1</v>
      </c>
      <c r="Q39" s="109">
        <f>Q36-Q38</f>
        <v>-1</v>
      </c>
    </row>
    <row r="41" spans="2:32" x14ac:dyDescent="0.3">
      <c r="B41" s="32" t="s">
        <v>441</v>
      </c>
      <c r="C41" s="136">
        <v>47.508699999999997</v>
      </c>
      <c r="D41" s="136">
        <v>47.508699999999997</v>
      </c>
      <c r="E41" s="136">
        <v>47.508699999999997</v>
      </c>
      <c r="F41" s="136">
        <v>47.508699999999997</v>
      </c>
      <c r="G41" s="136">
        <v>47.508699999999997</v>
      </c>
      <c r="H41" s="136">
        <v>47.508699999999997</v>
      </c>
      <c r="I41" s="136">
        <v>47.508699999999997</v>
      </c>
      <c r="J41" s="136">
        <v>47.508699999999997</v>
      </c>
      <c r="K41" s="136">
        <v>47.508699999999997</v>
      </c>
      <c r="L41" s="136">
        <v>47.508699999999997</v>
      </c>
      <c r="M41" s="136">
        <v>47.508699999999997</v>
      </c>
      <c r="N41" s="136">
        <v>47.508699999999997</v>
      </c>
      <c r="O41" s="136">
        <v>47.508699999999997</v>
      </c>
      <c r="P41" s="136">
        <v>47.508699999999997</v>
      </c>
      <c r="Q41" s="136">
        <v>47.508699999999997</v>
      </c>
      <c r="R41" s="136">
        <v>47.508699999999997</v>
      </c>
      <c r="S41" s="136">
        <v>47.508699999999997</v>
      </c>
      <c r="T41" s="136">
        <v>47.508699999999997</v>
      </c>
      <c r="U41" s="136">
        <v>47.508699999999997</v>
      </c>
      <c r="V41" s="136">
        <v>47.508699999999997</v>
      </c>
      <c r="W41" s="136">
        <v>47.508699999999997</v>
      </c>
      <c r="X41" s="136">
        <v>47.508699999999997</v>
      </c>
      <c r="Y41" s="136">
        <v>47.508699999999997</v>
      </c>
      <c r="Z41" s="136">
        <v>47.508699999999997</v>
      </c>
      <c r="AA41" s="136">
        <v>47.508699999999997</v>
      </c>
      <c r="AB41" s="136">
        <v>47.508699999999997</v>
      </c>
      <c r="AC41" s="136">
        <v>47.508699999999997</v>
      </c>
      <c r="AD41" s="136">
        <v>47.508699999999997</v>
      </c>
      <c r="AE41" s="136">
        <v>47.508699999999997</v>
      </c>
      <c r="AF41" s="136">
        <v>47.508699999999997</v>
      </c>
    </row>
    <row r="42" spans="2:32" x14ac:dyDescent="0.3">
      <c r="B42" s="29" t="s">
        <v>442</v>
      </c>
      <c r="C42" s="126">
        <f t="shared" ref="C42:AF42" si="14">C36/C41</f>
        <v>8.5940090484835068</v>
      </c>
      <c r="D42" s="126">
        <f t="shared" si="14"/>
        <v>10.244645766318836</v>
      </c>
      <c r="E42" s="126">
        <f t="shared" si="14"/>
        <v>18.838654814802343</v>
      </c>
      <c r="F42" s="126">
        <f t="shared" si="14"/>
        <v>14.575338400817168</v>
      </c>
      <c r="G42" s="126">
        <f t="shared" si="14"/>
        <v>16.829435882629866</v>
      </c>
      <c r="H42" s="126">
        <f t="shared" si="14"/>
        <v>31.404774283447033</v>
      </c>
      <c r="I42" s="126">
        <f t="shared" si="14"/>
        <v>20.685420635661959</v>
      </c>
      <c r="J42" s="126">
        <f t="shared" si="14"/>
        <v>23.138131682124047</v>
      </c>
      <c r="K42" s="126">
        <f t="shared" si="14"/>
        <v>43.82355231778601</v>
      </c>
      <c r="L42" s="126">
        <f t="shared" si="14"/>
        <v>26.377758514057465</v>
      </c>
      <c r="M42" s="126">
        <f t="shared" si="14"/>
        <v>29.085767113880156</v>
      </c>
      <c r="N42" s="126">
        <f t="shared" si="14"/>
        <v>55.463525627937621</v>
      </c>
      <c r="O42" s="126">
        <f t="shared" si="14"/>
        <v>33.568741669271589</v>
      </c>
      <c r="P42" s="126">
        <f t="shared" si="14"/>
        <v>42.501535985136975</v>
      </c>
      <c r="Q42" s="126">
        <f t="shared" si="14"/>
        <v>76.070277654408571</v>
      </c>
      <c r="R42" s="126">
        <f t="shared" si="14"/>
        <v>49.493286245029608</v>
      </c>
      <c r="S42" s="126">
        <f t="shared" si="14"/>
        <v>56.931593049277417</v>
      </c>
      <c r="T42" s="126">
        <f t="shared" si="14"/>
        <v>106.42487929430709</v>
      </c>
      <c r="U42" s="126">
        <f t="shared" si="14"/>
        <v>61.111679008501156</v>
      </c>
      <c r="V42" s="126">
        <f t="shared" si="14"/>
        <v>70.234913474281669</v>
      </c>
      <c r="W42" s="126">
        <f t="shared" si="14"/>
        <v>131.34659248278288</v>
      </c>
      <c r="X42" s="126">
        <f t="shared" si="14"/>
        <v>72.298327064961768</v>
      </c>
      <c r="Y42" s="126">
        <f t="shared" si="14"/>
        <v>83.067583052249304</v>
      </c>
      <c r="Z42" s="126">
        <f t="shared" si="14"/>
        <v>155.36591011721094</v>
      </c>
      <c r="AA42" s="126">
        <f t="shared" si="14"/>
        <v>83.045935748671084</v>
      </c>
      <c r="AB42" s="126">
        <f t="shared" si="14"/>
        <v>95.412138754252766</v>
      </c>
      <c r="AC42" s="126">
        <f t="shared" si="14"/>
        <v>178.45807450292384</v>
      </c>
      <c r="AD42" s="126">
        <f t="shared" si="14"/>
        <v>94.347033468149405</v>
      </c>
      <c r="AE42" s="126">
        <f t="shared" si="14"/>
        <v>108.38076285736052</v>
      </c>
      <c r="AF42" s="126">
        <f t="shared" si="14"/>
        <v>202.72779632550984</v>
      </c>
    </row>
    <row r="43" spans="2:32" x14ac:dyDescent="0.3">
      <c r="B43" s="32" t="s">
        <v>443</v>
      </c>
      <c r="E43" s="115">
        <f>E44*E42</f>
        <v>3.7677309629604689</v>
      </c>
      <c r="H43" s="115">
        <f>H44*H42</f>
        <v>5.0247638853515255</v>
      </c>
      <c r="K43" s="115">
        <f>K44*K42</f>
        <v>7.8882394172014818</v>
      </c>
      <c r="N43" s="115">
        <f>N44*N42</f>
        <v>9.9834346130287717</v>
      </c>
      <c r="Q43" s="115">
        <f>Q44*Q42</f>
        <v>12.171244424705371</v>
      </c>
      <c r="T43" s="115">
        <f>T44*T42</f>
        <v>19.156478272975274</v>
      </c>
      <c r="W43" s="115">
        <f>W44*W42</f>
        <v>24.955852571728748</v>
      </c>
      <c r="Z43" s="115">
        <f>Z44*Z42</f>
        <v>31.07318202344219</v>
      </c>
      <c r="AC43" s="115">
        <f>AC44*AC42</f>
        <v>37.476195645614006</v>
      </c>
      <c r="AF43" s="115">
        <f>AF44*AF42</f>
        <v>44.600115191612169</v>
      </c>
    </row>
    <row r="44" spans="2:32" x14ac:dyDescent="0.3">
      <c r="B44" s="32" t="s">
        <v>201</v>
      </c>
      <c r="E44" s="110">
        <v>0.2</v>
      </c>
      <c r="H44" s="110">
        <v>0.16</v>
      </c>
      <c r="K44" s="110">
        <v>0.18</v>
      </c>
      <c r="N44" s="110">
        <v>0.18</v>
      </c>
      <c r="Q44" s="110">
        <v>0.16</v>
      </c>
      <c r="T44" s="137">
        <f>'Guidance &amp; Assumptions'!C39</f>
        <v>0.18</v>
      </c>
      <c r="W44" s="137">
        <f>'Guidance &amp; Assumptions'!D39</f>
        <v>0.19</v>
      </c>
      <c r="Z44" s="137">
        <f>'Guidance &amp; Assumptions'!E39</f>
        <v>0.2</v>
      </c>
      <c r="AC44" s="137">
        <f>'Guidance &amp; Assumptions'!F39</f>
        <v>0.21</v>
      </c>
      <c r="AF44" s="137">
        <f>'Guidance &amp; Assumptions'!G39</f>
        <v>0.22</v>
      </c>
    </row>
    <row r="45" spans="2:32" x14ac:dyDescent="0.3">
      <c r="B45" s="32" t="s">
        <v>444</v>
      </c>
      <c r="E45" s="104">
        <f>E43*E41</f>
        <v>179.00000000000003</v>
      </c>
      <c r="H45" s="104">
        <f>H43*H41</f>
        <v>238.72</v>
      </c>
      <c r="K45" s="104">
        <f>K43*K41</f>
        <v>374.76</v>
      </c>
      <c r="N45" s="104">
        <f>N43*N41</f>
        <v>474.29999999999995</v>
      </c>
      <c r="Q45" s="104">
        <f>Q43*Q41</f>
        <v>578.24</v>
      </c>
      <c r="T45" s="104">
        <f>T43*T41</f>
        <v>910.09937932730031</v>
      </c>
      <c r="W45" s="104">
        <f>W43*W41</f>
        <v>1185.6201130744896</v>
      </c>
      <c r="Z45" s="104">
        <f>Z43*Z41</f>
        <v>1476.2464827971078</v>
      </c>
      <c r="AC45" s="104">
        <f>AC43*AC41</f>
        <v>1780.4453360687819</v>
      </c>
      <c r="AF45" s="104">
        <f>AF43*AF41</f>
        <v>2118.893492603745</v>
      </c>
    </row>
    <row r="47" spans="2:32" x14ac:dyDescent="0.3">
      <c r="B47" s="32" t="s">
        <v>445</v>
      </c>
      <c r="E47" s="95">
        <v>662</v>
      </c>
      <c r="H47" s="95">
        <v>1061</v>
      </c>
      <c r="K47" s="95">
        <v>2051</v>
      </c>
      <c r="N47" s="95">
        <v>2375</v>
      </c>
      <c r="Q47" s="95">
        <v>3870</v>
      </c>
    </row>
    <row r="48" spans="2:32" x14ac:dyDescent="0.3">
      <c r="B48" s="32" t="s">
        <v>446</v>
      </c>
      <c r="E48" s="104">
        <f>E47*E41</f>
        <v>31450.759399999999</v>
      </c>
      <c r="H48" s="104">
        <f>H47*H41</f>
        <v>50406.7307</v>
      </c>
      <c r="K48" s="104">
        <f>K47*K41</f>
        <v>97440.343699999998</v>
      </c>
      <c r="N48" s="104">
        <f>N47*N41</f>
        <v>112833.16249999999</v>
      </c>
      <c r="Q48" s="104">
        <f>Q47*Q41</f>
        <v>183858.66899999999</v>
      </c>
    </row>
    <row r="50" spans="2:32" ht="16.5" customHeight="1" x14ac:dyDescent="0.3">
      <c r="B50" s="10" t="s">
        <v>447</v>
      </c>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row>
    <row r="51" spans="2:32" x14ac:dyDescent="0.3">
      <c r="B51" s="13" t="s">
        <v>448</v>
      </c>
      <c r="E51" s="110">
        <f>1-E11</f>
        <v>0.25501418883170601</v>
      </c>
      <c r="H51" s="110">
        <f>1-H11</f>
        <v>0.25998938509363867</v>
      </c>
      <c r="K51" s="110">
        <f>1-K11</f>
        <v>0.27099068479355493</v>
      </c>
      <c r="N51" s="110">
        <f>1-N11</f>
        <v>0.28101293757413592</v>
      </c>
      <c r="Q51" s="110">
        <f>1-Q11</f>
        <v>0.28400676962132432</v>
      </c>
      <c r="T51" s="110">
        <f>1-T11</f>
        <v>0.28800000000000003</v>
      </c>
      <c r="W51" s="110">
        <f>1-W11</f>
        <v>0.29200000000000004</v>
      </c>
      <c r="Z51" s="110">
        <f>1-Z11</f>
        <v>0.29500000000000004</v>
      </c>
      <c r="AC51" s="110">
        <f>1-AC11</f>
        <v>0.29700000000000004</v>
      </c>
      <c r="AF51" s="110">
        <f>1-AF11</f>
        <v>0.29899999999999993</v>
      </c>
    </row>
    <row r="52" spans="2:32" x14ac:dyDescent="0.3">
      <c r="B52" s="13" t="s">
        <v>224</v>
      </c>
      <c r="E52" s="110">
        <f>E19</f>
        <v>9.4367755278726373E-2</v>
      </c>
      <c r="H52" s="110">
        <f>H19</f>
        <v>0.10141026613086664</v>
      </c>
      <c r="K52" s="110">
        <f>K19</f>
        <v>0.11055513595166164</v>
      </c>
      <c r="N52" s="110">
        <f>N19</f>
        <v>0.12311384513530661</v>
      </c>
      <c r="Q52" s="110">
        <f>Q19</f>
        <v>0.12860165009519781</v>
      </c>
      <c r="T52" s="110">
        <f>T19</f>
        <v>0.13400000000000012</v>
      </c>
      <c r="W52" s="110">
        <f>W19</f>
        <v>0.13800000000000004</v>
      </c>
      <c r="Z52" s="110">
        <f>Z19</f>
        <v>0.14099999999999993</v>
      </c>
      <c r="AC52" s="110">
        <f>AC19</f>
        <v>0.14299999999999999</v>
      </c>
      <c r="AF52" s="110">
        <f>AF19</f>
        <v>0.14499999999999991</v>
      </c>
    </row>
    <row r="53" spans="2:32" x14ac:dyDescent="0.3">
      <c r="B53" s="13" t="s">
        <v>430</v>
      </c>
      <c r="E53" s="110">
        <f>E23</f>
        <v>6.498003944014237E-2</v>
      </c>
      <c r="H53" s="110">
        <f>H23</f>
        <v>7.7488816437940713E-2</v>
      </c>
      <c r="K53" s="110">
        <f>K23</f>
        <v>8.8525931520644516E-2</v>
      </c>
      <c r="N53" s="110">
        <f>N23</f>
        <v>0.10247993158809413</v>
      </c>
      <c r="Q53" s="110">
        <f>Q23</f>
        <v>0.10954093505394542</v>
      </c>
      <c r="T53" s="110">
        <f>T23</f>
        <v>0.11966043780767742</v>
      </c>
      <c r="W53" s="110">
        <f>W23</f>
        <v>0.12309144560451273</v>
      </c>
      <c r="Z53" s="110">
        <f>Z23</f>
        <v>0.12541334516657238</v>
      </c>
      <c r="AC53" s="110">
        <f>AC23</f>
        <v>0.12678885784584917</v>
      </c>
      <c r="AF53" s="110">
        <f>AF23</f>
        <v>0.12833167227467326</v>
      </c>
    </row>
    <row r="54" spans="2:32" x14ac:dyDescent="0.3">
      <c r="B54" s="13" t="s">
        <v>439</v>
      </c>
      <c r="E54" s="110">
        <f>E37</f>
        <v>4.3047472464046943E-2</v>
      </c>
      <c r="H54" s="110">
        <f>H37</f>
        <v>5.6562286754113275E-2</v>
      </c>
      <c r="K54" s="110">
        <f>K37</f>
        <v>6.5521148036253779E-2</v>
      </c>
      <c r="N54" s="110">
        <f>N37</f>
        <v>7.2687649995862177E-2</v>
      </c>
      <c r="Q54" s="110">
        <f>Q37</f>
        <v>7.6454410831394121E-2</v>
      </c>
      <c r="T54" s="110">
        <f>T37</f>
        <v>8.6079725365566975E-2</v>
      </c>
      <c r="W54" s="110">
        <f>W37</f>
        <v>8.9202300755807026E-2</v>
      </c>
      <c r="Z54" s="110">
        <f>Z37</f>
        <v>9.1330564370967732E-2</v>
      </c>
      <c r="AC54" s="110">
        <f>AC37</f>
        <v>9.2653720744714688E-2</v>
      </c>
      <c r="AF54" s="110">
        <f>AF37</f>
        <v>9.4044889302976345E-2</v>
      </c>
    </row>
    <row r="55" spans="2:32" x14ac:dyDescent="0.3">
      <c r="B55" s="13" t="s">
        <v>449</v>
      </c>
      <c r="E55" s="110">
        <f>E36/'Balance Sheet'!C11</f>
        <v>0.18556914783329878</v>
      </c>
      <c r="H55" s="110">
        <f>H36/'Balance Sheet'!D11</f>
        <v>0.24669312169312169</v>
      </c>
      <c r="K55" s="110">
        <f>K36/'Balance Sheet'!E11</f>
        <v>0.26927056389032594</v>
      </c>
      <c r="N55" s="110">
        <f>N36/'Balance Sheet'!F11</f>
        <v>0.2662153970499091</v>
      </c>
      <c r="Q55" s="110">
        <f>Q36/'Balance Sheet'!G11</f>
        <v>0.32167334223408989</v>
      </c>
      <c r="T55" s="110">
        <f>T36/'Balance Sheet'!H11</f>
        <v>0.32872407125089553</v>
      </c>
      <c r="W55" s="110">
        <f>W36/'Balance Sheet'!I11</f>
        <v>0.30535625170050285</v>
      </c>
      <c r="Z55" s="110">
        <f>Z36/'Balance Sheet'!J11</f>
        <v>0.28022391487147119</v>
      </c>
      <c r="AC55" s="110">
        <f>AC36/'Balance Sheet'!K11</f>
        <v>0.2566203280511416</v>
      </c>
      <c r="AF55" s="110">
        <f>AF36/'Balance Sheet'!L11</f>
        <v>0.23751288034234153</v>
      </c>
    </row>
    <row r="56" spans="2:32" x14ac:dyDescent="0.3">
      <c r="B56" s="13" t="s">
        <v>450</v>
      </c>
      <c r="E56" s="110">
        <f>E22/('Balance Sheet'!C11+'Balance Sheet'!C13)</f>
        <v>0.19908635425876806</v>
      </c>
      <c r="H56" s="110">
        <f>H22/('Balance Sheet'!D11+'Balance Sheet'!D13)</f>
        <v>0.2346458500746183</v>
      </c>
      <c r="K56" s="110">
        <f>K22/('Balance Sheet'!E11+'Balance Sheet'!E13)</f>
        <v>0.29011963696369636</v>
      </c>
      <c r="N56" s="110">
        <f>N22/('Balance Sheet'!F11+'Balance Sheet'!F13)</f>
        <v>0.31126937578550484</v>
      </c>
      <c r="Q56" s="110">
        <f>Q22/('Balance Sheet'!G11+'Balance Sheet'!G13)</f>
        <v>0.34593800106894707</v>
      </c>
      <c r="T56" s="110">
        <f>T22/('Balance Sheet'!H11+'Balance Sheet'!H13)</f>
        <v>0.36771746540309824</v>
      </c>
      <c r="W56" s="110">
        <f>W22/('Balance Sheet'!I11+'Balance Sheet'!I13)</f>
        <v>0.35628224765928423</v>
      </c>
      <c r="Z56" s="110">
        <f>Z22/('Balance Sheet'!J11+'Balance Sheet'!J13)</f>
        <v>0.33703329431130075</v>
      </c>
      <c r="AC56" s="110">
        <f>AC22/('Balance Sheet'!K11+'Balance Sheet'!K13)</f>
        <v>0.31551357580093531</v>
      </c>
      <c r="AF56" s="110">
        <f>AF22/('Balance Sheet'!L11+'Balance Sheet'!L13)</f>
        <v>0.29678391116209213</v>
      </c>
    </row>
    <row r="57" spans="2:32" x14ac:dyDescent="0.3">
      <c r="B57" s="13" t="s">
        <v>451</v>
      </c>
      <c r="E57" s="110">
        <f>E36/'Balance Sheet'!C32</f>
        <v>7.5197445807427321E-2</v>
      </c>
      <c r="H57" s="110">
        <f>H36/'Balance Sheet'!D32</f>
        <v>0.10662474094189953</v>
      </c>
      <c r="K57" s="110">
        <f>K36/'Balance Sheet'!E32</f>
        <v>0.12962271199103473</v>
      </c>
      <c r="N57" s="110">
        <f>N36/'Balance Sheet'!F32</f>
        <v>0.13207358027166557</v>
      </c>
      <c r="Q57" s="110">
        <f>Q36/'Balance Sheet'!G32</f>
        <v>0.13945053248958172</v>
      </c>
      <c r="T57" s="110">
        <f>T36/'Balance Sheet'!H32</f>
        <v>0.15480987421435638</v>
      </c>
      <c r="W57" s="110">
        <f>W36/'Balance Sheet'!I32</f>
        <v>0.15510117436347323</v>
      </c>
      <c r="Z57" s="110">
        <f>Z36/'Balance Sheet'!J32</f>
        <v>0.15196315212203906</v>
      </c>
      <c r="AC57" s="110">
        <f>AC36/'Balance Sheet'!K32</f>
        <v>0.14701082810675772</v>
      </c>
      <c r="AF57" s="110">
        <f>AF36/'Balance Sheet'!L32</f>
        <v>0.14242396012831385</v>
      </c>
    </row>
    <row r="58" spans="2:32" x14ac:dyDescent="0.3">
      <c r="B58" s="13" t="s">
        <v>452</v>
      </c>
      <c r="E58" s="115">
        <f>E7/'Balance Sheet'!C32</f>
        <v>1.7468492690304152</v>
      </c>
      <c r="H58" s="115">
        <f>H7/'Balance Sheet'!D32</f>
        <v>1.8850853998427786</v>
      </c>
      <c r="K58" s="115">
        <f>K7/'Balance Sheet'!E32</f>
        <v>1.9783339559208069</v>
      </c>
      <c r="N58" s="115">
        <f>N7/'Balance Sheet'!F32</f>
        <v>1.8170016540524285</v>
      </c>
      <c r="Q58" s="115">
        <f>Q7/'Balance Sheet'!G32</f>
        <v>1.8239697484179658</v>
      </c>
      <c r="T58" s="115">
        <f>T7/'Balance Sheet'!H32</f>
        <v>1.7984475851532209</v>
      </c>
      <c r="W58" s="115">
        <f>W7/'Balance Sheet'!I32</f>
        <v>1.7387575550104433</v>
      </c>
      <c r="Z58" s="115">
        <f>Z7/'Balance Sheet'!J32</f>
        <v>1.6638805767671931</v>
      </c>
      <c r="AC58" s="115">
        <f>AC7/'Balance Sheet'!K32</f>
        <v>1.5866694497009044</v>
      </c>
      <c r="AF58" s="115">
        <f>AF7/'Balance Sheet'!L32</f>
        <v>1.5144253045955407</v>
      </c>
    </row>
    <row r="59" spans="2:32" x14ac:dyDescent="0.3">
      <c r="B59" s="13" t="s">
        <v>453</v>
      </c>
      <c r="E59" s="115">
        <f>E18/E26</f>
        <v>15.571428571428571</v>
      </c>
      <c r="H59" s="115">
        <f>H18/H26</f>
        <v>18.971631205673759</v>
      </c>
      <c r="K59" s="115">
        <f>K18/K26</f>
        <v>19.302197802197803</v>
      </c>
      <c r="N59" s="115">
        <f>N18/N26</f>
        <v>32.10791366906475</v>
      </c>
      <c r="Q59" s="115">
        <f>Q18/Q26</f>
        <v>29.799019607843139</v>
      </c>
      <c r="T59" s="115">
        <f>T18/T26</f>
        <v>28.962154734209022</v>
      </c>
      <c r="W59" s="115">
        <f>W18/W26</f>
        <v>35.52267138584687</v>
      </c>
      <c r="Z59" s="115">
        <f>Z18/Z26</f>
        <v>41.931701190116641</v>
      </c>
      <c r="AC59" s="115">
        <f>AC18/AC26</f>
        <v>48.149652111387432</v>
      </c>
      <c r="AF59" s="115">
        <f>AF18/AF26</f>
        <v>54.642414297329488</v>
      </c>
    </row>
    <row r="60" spans="2:32" x14ac:dyDescent="0.3">
      <c r="B60" s="13" t="s">
        <v>242</v>
      </c>
      <c r="E60" s="115">
        <f>('Balance Sheet'!C13-'Balance Sheet'!C27)/E18</f>
        <v>0.54179408766564729</v>
      </c>
      <c r="H60" s="115">
        <f>('Balance Sheet'!D13-'Balance Sheet'!D27)/H18</f>
        <v>0.69644859813084115</v>
      </c>
      <c r="K60" s="115">
        <f>('Balance Sheet'!E13-'Balance Sheet'!E27)/K18</f>
        <v>0.26017648733276399</v>
      </c>
      <c r="N60" s="115">
        <f>('Balance Sheet'!F13-'Balance Sheet'!F27)/N18</f>
        <v>0.25476137127492721</v>
      </c>
      <c r="Q60" s="115">
        <f>('Balance Sheet'!G13-'Balance Sheet'!G27)/Q18</f>
        <v>0.36733015298568844</v>
      </c>
      <c r="T60" s="115">
        <f>('Balance Sheet'!H13-'Balance Sheet'!H27)/T18</f>
        <v>-0.18474921702473812</v>
      </c>
      <c r="W60" s="115">
        <f>('Balance Sheet'!I13-'Balance Sheet'!I27)/W18</f>
        <v>-0.60854022724071222</v>
      </c>
      <c r="Z60" s="115">
        <f>('Balance Sheet'!J13-'Balance Sheet'!J27)/Z18</f>
        <v>-0.96980149174890129</v>
      </c>
      <c r="AC60" s="115">
        <f>('Balance Sheet'!K13-'Balance Sheet'!K27)/AC18</f>
        <v>-1.2998174592850869</v>
      </c>
      <c r="AF60" s="115">
        <f>('Balance Sheet'!L13-'Balance Sheet'!L27)/AF18</f>
        <v>-1.5978472293245456</v>
      </c>
    </row>
    <row r="62" spans="2:32" x14ac:dyDescent="0.3">
      <c r="B62" s="13" t="s">
        <v>454</v>
      </c>
      <c r="E62" s="138">
        <f>E47/E42</f>
        <v>35.140513296089381</v>
      </c>
      <c r="H62" s="138">
        <f>H47/H42</f>
        <v>33.78467205093834</v>
      </c>
      <c r="K62" s="138">
        <f>K47/K42</f>
        <v>46.801317819404417</v>
      </c>
      <c r="N62" s="138">
        <f>N47/N42</f>
        <v>42.820934535104364</v>
      </c>
      <c r="Q62" s="138">
        <f>Q47/Q42</f>
        <v>50.874009131156605</v>
      </c>
    </row>
    <row r="63" spans="2:32" x14ac:dyDescent="0.3">
      <c r="B63" s="13" t="s">
        <v>455</v>
      </c>
      <c r="E63" s="138">
        <f>(E48+'Balance Sheet'!C13-'Balance Sheet'!C27)/E18</f>
        <v>16.571742813455653</v>
      </c>
      <c r="H63" s="138">
        <f>(H48+'Balance Sheet'!D13-'Balance Sheet'!D27)/H18</f>
        <v>19.540086242990654</v>
      </c>
      <c r="K63" s="138">
        <f>(K48+'Balance Sheet'!E13-'Balance Sheet'!E27)/K18</f>
        <v>27.997251266723598</v>
      </c>
      <c r="N63" s="138">
        <f>(N48+'Balance Sheet'!F13-'Balance Sheet'!F27)/N18</f>
        <v>25.536670961236833</v>
      </c>
      <c r="Q63" s="138">
        <f>(Q48+'Balance Sheet'!G13-'Balance Sheet'!G27)/Q18</f>
        <v>30.612217305477873</v>
      </c>
    </row>
    <row r="64" spans="2:32" x14ac:dyDescent="0.3">
      <c r="B64" s="13" t="s">
        <v>456</v>
      </c>
      <c r="E64" s="138">
        <f>E48/'Balance Sheet'!C11</f>
        <v>6.5209951067800125</v>
      </c>
      <c r="H64" s="138">
        <f>H48/'Balance Sheet'!D11</f>
        <v>8.3344462136243394</v>
      </c>
      <c r="K64" s="138">
        <f>K48/'Balance Sheet'!E11</f>
        <v>12.602217240041385</v>
      </c>
      <c r="N64" s="138">
        <f>N48/'Balance Sheet'!F11</f>
        <v>11.399592089310971</v>
      </c>
      <c r="Q64" s="138">
        <f>Q48/'Balance Sheet'!G11</f>
        <v>16.364812550066755</v>
      </c>
    </row>
    <row r="66" spans="2:46" ht="12.75" customHeight="1" x14ac:dyDescent="0.3">
      <c r="B66" s="74"/>
    </row>
    <row r="67" spans="2:46" ht="12.75" customHeight="1" x14ac:dyDescent="0.3">
      <c r="B67" s="74"/>
    </row>
    <row r="69" spans="2:46" x14ac:dyDescent="0.3">
      <c r="AR69" s="114" t="s">
        <v>191</v>
      </c>
      <c r="AS69" s="114" t="s">
        <v>192</v>
      </c>
      <c r="AT69" s="114" t="s">
        <v>193</v>
      </c>
    </row>
    <row r="70" spans="2:46" x14ac:dyDescent="0.3">
      <c r="AR70" s="104">
        <f>Z7</f>
        <v>80818.863485879148</v>
      </c>
      <c r="AS70" s="104">
        <f>AC7</f>
        <v>91505.349768921093</v>
      </c>
      <c r="AT70" s="104">
        <f>AF7</f>
        <v>102412.09414645922</v>
      </c>
    </row>
    <row r="71" spans="2:46" x14ac:dyDescent="0.3">
      <c r="AR71" s="104">
        <f>Z18</f>
        <v>11395.459751508955</v>
      </c>
      <c r="AS71" s="104">
        <f>AC18</f>
        <v>13085.265016955716</v>
      </c>
      <c r="AT71" s="104">
        <f>AF18</f>
        <v>14849.753651236577</v>
      </c>
    </row>
    <row r="72" spans="2:46" x14ac:dyDescent="0.3">
      <c r="AR72" s="110">
        <f>Z19</f>
        <v>0.14099999999999993</v>
      </c>
      <c r="AS72" s="110">
        <f>AC19</f>
        <v>0.14299999999999999</v>
      </c>
      <c r="AT72" s="110">
        <f>AF19</f>
        <v>0.14499999999999991</v>
      </c>
    </row>
    <row r="73" spans="2:46" x14ac:dyDescent="0.3">
      <c r="AR73" s="104">
        <f>Z36</f>
        <v>7381.2324139855391</v>
      </c>
      <c r="AS73" s="104">
        <f>AC36</f>
        <v>8478.311124137057</v>
      </c>
      <c r="AT73" s="104">
        <f>AF36</f>
        <v>9631.3340572897487</v>
      </c>
    </row>
    <row r="74" spans="2:46" x14ac:dyDescent="0.3">
      <c r="AR74" s="115">
        <f>Z42</f>
        <v>155.36591011721094</v>
      </c>
      <c r="AS74" s="115">
        <f>AC42</f>
        <v>178.45807450292384</v>
      </c>
      <c r="AT74" s="115">
        <f>AF42</f>
        <v>202.72779632550984</v>
      </c>
    </row>
    <row r="75" spans="2:46" x14ac:dyDescent="0.3">
      <c r="AR75" s="110">
        <f>Z56</f>
        <v>0.33703329431130075</v>
      </c>
      <c r="AS75" s="110">
        <f>AC56</f>
        <v>0.31551357580093531</v>
      </c>
      <c r="AT75" s="110">
        <f>AF56</f>
        <v>0.29678391116209213</v>
      </c>
    </row>
    <row r="76" spans="2:46" x14ac:dyDescent="0.3">
      <c r="AR76" s="110">
        <f>Z55</f>
        <v>0.28022391487147119</v>
      </c>
      <c r="AS76" s="110">
        <f>AC55</f>
        <v>0.2566203280511416</v>
      </c>
      <c r="AT76" s="110">
        <f>AF55</f>
        <v>0.23751288034234153</v>
      </c>
    </row>
    <row r="111" spans="36:43" x14ac:dyDescent="0.3">
      <c r="AJ111" s="51" t="s">
        <v>457</v>
      </c>
    </row>
    <row r="112" spans="36:43" x14ac:dyDescent="0.3">
      <c r="AJ112" s="52" t="s">
        <v>211</v>
      </c>
      <c r="AK112" s="114" t="s">
        <v>212</v>
      </c>
      <c r="AL112" s="114" t="s">
        <v>213</v>
      </c>
      <c r="AM112" s="114" t="s">
        <v>214</v>
      </c>
      <c r="AN112" s="114" t="s">
        <v>215</v>
      </c>
      <c r="AO112" s="114" t="s">
        <v>216</v>
      </c>
      <c r="AP112" s="114" t="s">
        <v>189</v>
      </c>
      <c r="AQ112" s="114" t="s">
        <v>190</v>
      </c>
    </row>
    <row r="113" spans="36:43" x14ac:dyDescent="0.3">
      <c r="AJ113" s="24" t="s">
        <v>458</v>
      </c>
      <c r="AK113" s="104">
        <f>E7</f>
        <v>20791</v>
      </c>
      <c r="AL113" s="104">
        <f>H7</f>
        <v>26378</v>
      </c>
      <c r="AM113" s="104">
        <f>K7</f>
        <v>31776</v>
      </c>
      <c r="AN113" s="104">
        <f>N7</f>
        <v>36251</v>
      </c>
      <c r="AO113" s="104">
        <f>Q7</f>
        <v>47270</v>
      </c>
      <c r="AP113" s="104">
        <f>T7</f>
        <v>58737.497609999999</v>
      </c>
      <c r="AQ113" s="104">
        <f>W7</f>
        <v>69954.539349486004</v>
      </c>
    </row>
    <row r="114" spans="36:43" x14ac:dyDescent="0.3">
      <c r="AJ114" s="24" t="s">
        <v>459</v>
      </c>
      <c r="AK114" s="104">
        <f>E18</f>
        <v>1962</v>
      </c>
      <c r="AL114" s="104">
        <f>H18</f>
        <v>2675</v>
      </c>
      <c r="AM114" s="104">
        <f>K18</f>
        <v>3513</v>
      </c>
      <c r="AN114" s="104">
        <f>N18</f>
        <v>4463</v>
      </c>
      <c r="AO114" s="104">
        <f>Q18</f>
        <v>6079</v>
      </c>
      <c r="AP114" s="104">
        <f>T18</f>
        <v>7870.8246797400061</v>
      </c>
      <c r="AQ114" s="104">
        <f>W18</f>
        <v>9653.7264302290714</v>
      </c>
    </row>
    <row r="115" spans="36:43" x14ac:dyDescent="0.3">
      <c r="AJ115" s="24" t="s">
        <v>224</v>
      </c>
      <c r="AK115" s="110">
        <f>E19</f>
        <v>9.4367755278726373E-2</v>
      </c>
      <c r="AL115" s="110">
        <f>H19</f>
        <v>0.10141026613086664</v>
      </c>
      <c r="AM115" s="110">
        <f>K19</f>
        <v>0.11055513595166164</v>
      </c>
      <c r="AN115" s="110">
        <f>N19</f>
        <v>0.12311384513530661</v>
      </c>
      <c r="AO115" s="110">
        <f>Q19</f>
        <v>0.12860165009519781</v>
      </c>
      <c r="AP115" s="110">
        <f>T19</f>
        <v>0.13400000000000012</v>
      </c>
      <c r="AQ115" s="110">
        <f>W19</f>
        <v>0.13800000000000004</v>
      </c>
    </row>
    <row r="116" spans="36:43" x14ac:dyDescent="0.3">
      <c r="AJ116" s="24" t="s">
        <v>460</v>
      </c>
      <c r="AK116" s="104">
        <f>E36</f>
        <v>895</v>
      </c>
      <c r="AL116" s="104">
        <f>H36</f>
        <v>1492</v>
      </c>
      <c r="AM116" s="104">
        <f>K36</f>
        <v>2082</v>
      </c>
      <c r="AN116" s="104">
        <f>N36</f>
        <v>2635</v>
      </c>
      <c r="AO116" s="104">
        <f>Q36</f>
        <v>3614</v>
      </c>
      <c r="AP116" s="104">
        <f>T36</f>
        <v>5056.1076629294466</v>
      </c>
      <c r="AQ116" s="104">
        <f>W36</f>
        <v>6240.1058582867872</v>
      </c>
    </row>
    <row r="117" spans="36:43" x14ac:dyDescent="0.3">
      <c r="AJ117" s="24" t="s">
        <v>226</v>
      </c>
      <c r="AK117" s="115">
        <f>E42</f>
        <v>18.838654814802343</v>
      </c>
      <c r="AL117" s="115">
        <f>H42</f>
        <v>31.404774283447033</v>
      </c>
      <c r="AM117" s="115">
        <f>K42</f>
        <v>43.82355231778601</v>
      </c>
      <c r="AN117" s="115">
        <f>N42</f>
        <v>55.463525627937621</v>
      </c>
      <c r="AO117" s="115">
        <f>Q42</f>
        <v>76.070277654408571</v>
      </c>
      <c r="AP117" s="115">
        <f>T42</f>
        <v>106.42487929430709</v>
      </c>
      <c r="AQ117" s="115">
        <f>W42</f>
        <v>131.34659248278288</v>
      </c>
    </row>
    <row r="118" spans="36:43" x14ac:dyDescent="0.3">
      <c r="AJ118" s="24" t="s">
        <v>227</v>
      </c>
      <c r="AK118" s="110">
        <f>E56</f>
        <v>0.19908635425876806</v>
      </c>
      <c r="AL118" s="110">
        <f>H56</f>
        <v>0.2346458500746183</v>
      </c>
      <c r="AM118" s="110">
        <f>K56</f>
        <v>0.29011963696369636</v>
      </c>
      <c r="AN118" s="110">
        <f>N56</f>
        <v>0.31126937578550484</v>
      </c>
      <c r="AO118" s="110">
        <f>Q56</f>
        <v>0.34593800106894707</v>
      </c>
      <c r="AP118" s="110">
        <f>T56</f>
        <v>0.36771746540309824</v>
      </c>
      <c r="AQ118" s="110">
        <f>W56</f>
        <v>0.35628224765928423</v>
      </c>
    </row>
    <row r="119" spans="36:43" x14ac:dyDescent="0.3">
      <c r="AJ119" s="24" t="s">
        <v>228</v>
      </c>
      <c r="AK119" s="110">
        <f>E55</f>
        <v>0.18556914783329878</v>
      </c>
      <c r="AL119" s="110">
        <f>H55</f>
        <v>0.24669312169312169</v>
      </c>
      <c r="AM119" s="110">
        <f>K55</f>
        <v>0.26927056389032594</v>
      </c>
      <c r="AN119" s="110">
        <f>N55</f>
        <v>0.2662153970499091</v>
      </c>
      <c r="AO119" s="110">
        <f>Q55</f>
        <v>0.32167334223408989</v>
      </c>
      <c r="AP119" s="110">
        <f>T55</f>
        <v>0.32872407125089553</v>
      </c>
      <c r="AQ119" s="110">
        <f>W55</f>
        <v>0.30535625170050285</v>
      </c>
    </row>
  </sheetData>
  <mergeCells count="3">
    <mergeCell ref="B1:AF1"/>
    <mergeCell ref="B5:AF5"/>
    <mergeCell ref="B50:AF50"/>
  </mergeCells>
  <printOptions horizontalCentered="1"/>
  <pageMargins left="0.75" right="0.75" top="1" bottom="1" header="0.511811023622047" footer="0.511811023622047"/>
  <pageSetup orientation="landscape" horizontalDpi="300" verticalDpi="300"/>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13A44"/>
  </sheetPr>
  <dimension ref="B1:L42"/>
  <sheetViews>
    <sheetView showGridLines="0" zoomScale="90" zoomScaleNormal="90" workbookViewId="0">
      <pane xSplit="2" ySplit="3" topLeftCell="C4" activePane="bottomRight" state="frozen"/>
      <selection pane="topRight" activeCell="C1" sqref="C1"/>
      <selection pane="bottomLeft" activeCell="A4" sqref="A4"/>
      <selection pane="bottomRight"/>
    </sheetView>
  </sheetViews>
  <sheetFormatPr defaultColWidth="8.6640625" defaultRowHeight="14.4" x14ac:dyDescent="0.3"/>
  <cols>
    <col min="1" max="1" width="2" customWidth="1"/>
    <col min="2" max="2" width="56" customWidth="1"/>
    <col min="3" max="12" width="12" customWidth="1"/>
  </cols>
  <sheetData>
    <row r="1" spans="2:12" ht="24" customHeight="1" x14ac:dyDescent="0.3">
      <c r="B1" s="5" t="s">
        <v>0</v>
      </c>
      <c r="C1" s="5"/>
      <c r="D1" s="5"/>
      <c r="E1" s="5"/>
      <c r="F1" s="5"/>
      <c r="G1" s="5"/>
      <c r="H1" s="5"/>
      <c r="I1" s="5"/>
      <c r="J1" s="5"/>
      <c r="K1" s="5"/>
      <c r="L1" s="5"/>
    </row>
    <row r="2" spans="2:12" ht="15" customHeight="1" x14ac:dyDescent="0.3">
      <c r="B2" s="26" t="s">
        <v>72</v>
      </c>
      <c r="C2" s="116" t="s">
        <v>334</v>
      </c>
      <c r="D2" s="116" t="s">
        <v>334</v>
      </c>
      <c r="E2" s="116" t="s">
        <v>334</v>
      </c>
      <c r="F2" s="116" t="s">
        <v>334</v>
      </c>
      <c r="G2" s="116" t="s">
        <v>334</v>
      </c>
      <c r="H2" s="116" t="s">
        <v>335</v>
      </c>
      <c r="I2" s="116" t="s">
        <v>335</v>
      </c>
      <c r="J2" s="116" t="s">
        <v>335</v>
      </c>
      <c r="K2" s="116" t="s">
        <v>335</v>
      </c>
      <c r="L2" s="116" t="s">
        <v>335</v>
      </c>
    </row>
    <row r="3" spans="2:12" ht="13.5" customHeight="1" x14ac:dyDescent="0.3">
      <c r="B3" s="27" t="s">
        <v>504</v>
      </c>
      <c r="C3" s="45" t="s">
        <v>212</v>
      </c>
      <c r="D3" s="45" t="s">
        <v>213</v>
      </c>
      <c r="E3" s="45" t="s">
        <v>214</v>
      </c>
      <c r="F3" s="45" t="s">
        <v>215</v>
      </c>
      <c r="G3" s="45" t="s">
        <v>216</v>
      </c>
      <c r="H3" s="92" t="s">
        <v>189</v>
      </c>
      <c r="I3" s="92" t="s">
        <v>190</v>
      </c>
      <c r="J3" s="92" t="s">
        <v>191</v>
      </c>
      <c r="K3" s="92" t="s">
        <v>192</v>
      </c>
      <c r="L3" s="92" t="s">
        <v>193</v>
      </c>
    </row>
    <row r="5" spans="2:12" ht="16.5" customHeight="1" x14ac:dyDescent="0.3">
      <c r="B5" s="10" t="s">
        <v>505</v>
      </c>
      <c r="C5" s="10"/>
      <c r="D5" s="10"/>
      <c r="E5" s="10"/>
      <c r="F5" s="10"/>
      <c r="G5" s="10"/>
      <c r="H5" s="10"/>
      <c r="I5" s="10"/>
      <c r="J5" s="10"/>
      <c r="K5" s="10"/>
      <c r="L5" s="10"/>
    </row>
    <row r="7" spans="2:12" x14ac:dyDescent="0.3">
      <c r="B7" s="32" t="s">
        <v>433</v>
      </c>
      <c r="C7" s="131">
        <f>'Income Statement'!E28</f>
        <v>1214</v>
      </c>
      <c r="D7" s="131">
        <f>'Income Statement'!H28</f>
        <v>2004</v>
      </c>
      <c r="E7" s="131">
        <f>'Income Statement'!K28</f>
        <v>2780</v>
      </c>
      <c r="F7" s="131">
        <f>'Income Statement'!N28</f>
        <v>3552</v>
      </c>
      <c r="G7" s="131">
        <f>'Income Statement'!Q28</f>
        <v>4903</v>
      </c>
      <c r="H7" s="131">
        <f>'Income Statement'!T28</f>
        <v>6756.7922797400061</v>
      </c>
      <c r="I7" s="131">
        <f>'Income Statement'!W28</f>
        <v>8339.0429751260017</v>
      </c>
      <c r="J7" s="131">
        <f>'Income Statement'!Z28</f>
        <v>9864.0016223246548</v>
      </c>
      <c r="K7" s="131">
        <f>'Income Statement'!AC28</f>
        <v>11330.096383986445</v>
      </c>
      <c r="L7" s="131">
        <f>'Income Statement'!AF28</f>
        <v>12870.952902966388</v>
      </c>
    </row>
    <row r="8" spans="2:12" x14ac:dyDescent="0.3">
      <c r="B8" s="32" t="s">
        <v>506</v>
      </c>
      <c r="C8" s="131">
        <f>'Income Statement'!E21</f>
        <v>611</v>
      </c>
      <c r="D8" s="131">
        <f>'Income Statement'!H21</f>
        <v>631</v>
      </c>
      <c r="E8" s="131">
        <f>'Income Statement'!K21</f>
        <v>700</v>
      </c>
      <c r="F8" s="131">
        <f>'Income Statement'!N21</f>
        <v>748</v>
      </c>
      <c r="G8" s="131">
        <f>'Income Statement'!Q21</f>
        <v>901</v>
      </c>
      <c r="H8" s="131">
        <f>'Income Statement'!T21</f>
        <v>842.27</v>
      </c>
      <c r="I8" s="131">
        <f>'Income Statement'!W21</f>
        <v>1042.9210551030699</v>
      </c>
      <c r="J8" s="131">
        <f>'Income Statement'!Z21</f>
        <v>1259.6957291843016</v>
      </c>
      <c r="K8" s="131">
        <f>'Income Statement'!AC21</f>
        <v>1483.4062329692713</v>
      </c>
      <c r="L8" s="131">
        <f>'Income Statement'!AF21</f>
        <v>1707.0383482701895</v>
      </c>
    </row>
    <row r="9" spans="2:12" x14ac:dyDescent="0.3">
      <c r="B9" s="32" t="s">
        <v>507</v>
      </c>
      <c r="C9" s="131">
        <f>'Income Statement'!E26</f>
        <v>126</v>
      </c>
      <c r="D9" s="131">
        <f>'Income Statement'!H26</f>
        <v>141</v>
      </c>
      <c r="E9" s="131">
        <f>'Income Statement'!K26</f>
        <v>182</v>
      </c>
      <c r="F9" s="131">
        <f>'Income Statement'!N26</f>
        <v>139</v>
      </c>
      <c r="G9" s="131">
        <f>'Income Statement'!Q26</f>
        <v>204</v>
      </c>
      <c r="H9" s="131">
        <f>'Income Statement'!T26</f>
        <v>271.76240000000001</v>
      </c>
      <c r="I9" s="131">
        <f>'Income Statement'!W26</f>
        <v>271.76240000000001</v>
      </c>
      <c r="J9" s="131">
        <f>'Income Statement'!Z26</f>
        <v>271.76240000000001</v>
      </c>
      <c r="K9" s="131">
        <f>'Income Statement'!AC26</f>
        <v>271.76240000000001</v>
      </c>
      <c r="L9" s="131">
        <f>'Income Statement'!AF26</f>
        <v>271.76240000000001</v>
      </c>
    </row>
    <row r="10" spans="2:12" x14ac:dyDescent="0.3">
      <c r="B10" s="32" t="s">
        <v>508</v>
      </c>
      <c r="C10" s="131">
        <f>-'Income Statement'!E25</f>
        <v>11</v>
      </c>
      <c r="D10" s="131">
        <f>-'Income Statement'!H25</f>
        <v>-101</v>
      </c>
      <c r="E10" s="131">
        <f>-'Income Statement'!K25</f>
        <v>-149</v>
      </c>
      <c r="F10" s="131">
        <f>-'Income Statement'!N25</f>
        <v>24</v>
      </c>
      <c r="G10" s="131">
        <f>-'Income Statement'!Q25</f>
        <v>71</v>
      </c>
      <c r="H10" s="131">
        <f>-'Income Statement'!T25</f>
        <v>0</v>
      </c>
      <c r="I10" s="131">
        <f>-'Income Statement'!W25</f>
        <v>0</v>
      </c>
      <c r="J10" s="131">
        <f>-'Income Statement'!Z25</f>
        <v>0</v>
      </c>
      <c r="K10" s="131">
        <f>-'Income Statement'!AC25</f>
        <v>0</v>
      </c>
      <c r="L10" s="131">
        <f>-'Income Statement'!AF25</f>
        <v>0</v>
      </c>
    </row>
    <row r="11" spans="2:12" x14ac:dyDescent="0.3">
      <c r="B11" s="29" t="s">
        <v>509</v>
      </c>
      <c r="C11" s="103">
        <f t="shared" ref="C11:L11" si="0">SUM(C7:C10)</f>
        <v>1962</v>
      </c>
      <c r="D11" s="103">
        <f t="shared" si="0"/>
        <v>2675</v>
      </c>
      <c r="E11" s="103">
        <f t="shared" si="0"/>
        <v>3513</v>
      </c>
      <c r="F11" s="103">
        <f t="shared" si="0"/>
        <v>4463</v>
      </c>
      <c r="G11" s="103">
        <f t="shared" si="0"/>
        <v>6079</v>
      </c>
      <c r="H11" s="103">
        <f t="shared" si="0"/>
        <v>7870.8246797400061</v>
      </c>
      <c r="I11" s="103">
        <f t="shared" si="0"/>
        <v>9653.7264302290714</v>
      </c>
      <c r="J11" s="103">
        <f t="shared" si="0"/>
        <v>11395.459751508955</v>
      </c>
      <c r="K11" s="103">
        <f t="shared" si="0"/>
        <v>13085.265016955716</v>
      </c>
      <c r="L11" s="103">
        <f t="shared" si="0"/>
        <v>14849.753651236577</v>
      </c>
    </row>
    <row r="12" spans="2:12" x14ac:dyDescent="0.3">
      <c r="B12" s="32" t="s">
        <v>510</v>
      </c>
      <c r="C12" s="104">
        <v>0</v>
      </c>
      <c r="D12" s="131">
        <f>'Balance Sheet'!D41</f>
        <v>-105.66575342465694</v>
      </c>
      <c r="E12" s="131">
        <f>'Balance Sheet'!E41</f>
        <v>669.44383561643826</v>
      </c>
      <c r="F12" s="131">
        <f>'Balance Sheet'!F41</f>
        <v>768.96986301369816</v>
      </c>
      <c r="G12" s="131">
        <f>'Balance Sheet'!G41</f>
        <v>1489.3041095890412</v>
      </c>
      <c r="H12" s="131">
        <f>'Balance Sheet'!H41</f>
        <v>1092.5348329242725</v>
      </c>
      <c r="I12" s="131">
        <f>'Balance Sheet'!I41</f>
        <v>1049.6371729580778</v>
      </c>
      <c r="J12" s="131">
        <f>'Balance Sheet'!J41</f>
        <v>1013.6526339168395</v>
      </c>
      <c r="K12" s="131">
        <f>'Balance Sheet'!K41</f>
        <v>1001.7437122241645</v>
      </c>
      <c r="L12" s="131">
        <f>'Balance Sheet'!L41</f>
        <v>1014.4195586983169</v>
      </c>
    </row>
    <row r="13" spans="2:12" x14ac:dyDescent="0.3">
      <c r="B13" s="29" t="s">
        <v>511</v>
      </c>
      <c r="C13" s="111">
        <f t="shared" ref="C13:L13" si="1">C11+C12</f>
        <v>1962</v>
      </c>
      <c r="D13" s="111">
        <f t="shared" si="1"/>
        <v>2569.3342465753431</v>
      </c>
      <c r="E13" s="111">
        <f t="shared" si="1"/>
        <v>4182.4438356164383</v>
      </c>
      <c r="F13" s="111">
        <f t="shared" si="1"/>
        <v>5231.9698630136982</v>
      </c>
      <c r="G13" s="111">
        <f t="shared" si="1"/>
        <v>7568.3041095890412</v>
      </c>
      <c r="H13" s="111">
        <f t="shared" si="1"/>
        <v>8963.3595126642795</v>
      </c>
      <c r="I13" s="111">
        <f t="shared" si="1"/>
        <v>10703.36360318715</v>
      </c>
      <c r="J13" s="111">
        <f t="shared" si="1"/>
        <v>12409.112385425795</v>
      </c>
      <c r="K13" s="111">
        <f t="shared" si="1"/>
        <v>14087.008729179881</v>
      </c>
      <c r="L13" s="111">
        <f t="shared" si="1"/>
        <v>15864.173209934894</v>
      </c>
    </row>
    <row r="14" spans="2:12" x14ac:dyDescent="0.3">
      <c r="B14" s="32" t="s">
        <v>512</v>
      </c>
      <c r="C14" s="131">
        <f>-'Income Statement'!E33</f>
        <v>-319</v>
      </c>
      <c r="D14" s="131">
        <f>-'Income Statement'!H33</f>
        <v>-512</v>
      </c>
      <c r="E14" s="131">
        <f>-'Income Statement'!K33</f>
        <v>-698</v>
      </c>
      <c r="F14" s="131">
        <f>-'Income Statement'!N33</f>
        <v>-917</v>
      </c>
      <c r="G14" s="131">
        <f>-'Income Statement'!Q33</f>
        <v>-1289</v>
      </c>
      <c r="H14" s="131">
        <f>-'Income Statement'!T33</f>
        <v>-1700.6846168105594</v>
      </c>
      <c r="I14" s="131">
        <f>-'Income Statement'!W33</f>
        <v>-2098.9371168392145</v>
      </c>
      <c r="J14" s="131">
        <f>-'Income Statement'!Z33</f>
        <v>-2482.7692083391153</v>
      </c>
      <c r="K14" s="131">
        <f>-'Income Statement'!AC33</f>
        <v>-2851.7852598493882</v>
      </c>
      <c r="L14" s="131">
        <f>-'Income Statement'!AF33</f>
        <v>-3239.6188456766395</v>
      </c>
    </row>
    <row r="15" spans="2:12" x14ac:dyDescent="0.3">
      <c r="B15" s="29" t="s">
        <v>513</v>
      </c>
      <c r="C15" s="103">
        <f t="shared" ref="C15:L15" si="2">C13+C14</f>
        <v>1643</v>
      </c>
      <c r="D15" s="103">
        <f t="shared" si="2"/>
        <v>2057.3342465753431</v>
      </c>
      <c r="E15" s="103">
        <f t="shared" si="2"/>
        <v>3484.4438356164383</v>
      </c>
      <c r="F15" s="103">
        <f t="shared" si="2"/>
        <v>4314.9698630136982</v>
      </c>
      <c r="G15" s="103">
        <f t="shared" si="2"/>
        <v>6279.3041095890412</v>
      </c>
      <c r="H15" s="103">
        <f t="shared" si="2"/>
        <v>7262.67489585372</v>
      </c>
      <c r="I15" s="103">
        <f t="shared" si="2"/>
        <v>8604.4264863479366</v>
      </c>
      <c r="J15" s="103">
        <f t="shared" si="2"/>
        <v>9926.3431770866791</v>
      </c>
      <c r="K15" s="103">
        <f t="shared" si="2"/>
        <v>11235.223469330493</v>
      </c>
      <c r="L15" s="103">
        <f t="shared" si="2"/>
        <v>12624.554364258254</v>
      </c>
    </row>
    <row r="16" spans="2:12" x14ac:dyDescent="0.3">
      <c r="B16" s="52" t="s">
        <v>514</v>
      </c>
      <c r="C16" s="135">
        <v>1498</v>
      </c>
      <c r="D16" s="135">
        <v>1993</v>
      </c>
      <c r="E16" s="135">
        <v>3617</v>
      </c>
      <c r="F16" s="135">
        <v>4292</v>
      </c>
      <c r="G16" s="135">
        <v>5730</v>
      </c>
    </row>
    <row r="17" spans="2:12" x14ac:dyDescent="0.3">
      <c r="B17" s="108" t="s">
        <v>515</v>
      </c>
      <c r="C17" s="109">
        <f>C16-C15</f>
        <v>-145</v>
      </c>
      <c r="D17" s="109">
        <f>D16-D15</f>
        <v>-64.334246575343059</v>
      </c>
      <c r="E17" s="109">
        <f>E16-E15</f>
        <v>132.55616438356174</v>
      </c>
      <c r="F17" s="109">
        <f>F16-F15</f>
        <v>-22.969863013698159</v>
      </c>
      <c r="G17" s="109">
        <f>G16-G15</f>
        <v>-549.30410958904122</v>
      </c>
    </row>
    <row r="19" spans="2:12" ht="16.5" customHeight="1" x14ac:dyDescent="0.3">
      <c r="B19" s="10" t="s">
        <v>516</v>
      </c>
      <c r="C19" s="10"/>
      <c r="D19" s="10"/>
      <c r="E19" s="10"/>
      <c r="F19" s="10"/>
      <c r="G19" s="10"/>
      <c r="H19" s="10"/>
      <c r="I19" s="10"/>
      <c r="J19" s="10"/>
      <c r="K19" s="10"/>
      <c r="L19" s="10"/>
    </row>
    <row r="20" spans="2:12" x14ac:dyDescent="0.3">
      <c r="B20" s="32" t="s">
        <v>229</v>
      </c>
      <c r="C20" s="131">
        <f>-'Balance Sheet'!C45</f>
        <v>-728</v>
      </c>
      <c r="D20" s="131">
        <f>-'Balance Sheet'!D45</f>
        <v>-997</v>
      </c>
      <c r="E20" s="131">
        <f>-'Balance Sheet'!E45</f>
        <v>-1055</v>
      </c>
      <c r="F20" s="131">
        <f>-'Balance Sheet'!F45</f>
        <v>-1780</v>
      </c>
      <c r="G20" s="131">
        <f>-'Balance Sheet'!G45</f>
        <v>-1925</v>
      </c>
      <c r="H20" s="131">
        <f>-'Balance Sheet'!H45</f>
        <v>-2466.9748996200001</v>
      </c>
      <c r="I20" s="131">
        <f>-'Balance Sheet'!I45</f>
        <v>-2798.1815739794401</v>
      </c>
      <c r="J20" s="131">
        <f>-'Balance Sheet'!J45</f>
        <v>-3071.1168124634078</v>
      </c>
      <c r="K20" s="131">
        <f>-'Balance Sheet'!K45</f>
        <v>-3294.1925916811592</v>
      </c>
      <c r="L20" s="131">
        <f>-'Balance Sheet'!L45</f>
        <v>-3584.4232951260728</v>
      </c>
    </row>
    <row r="21" spans="2:12" x14ac:dyDescent="0.3">
      <c r="B21" s="32" t="s">
        <v>517</v>
      </c>
      <c r="C21" s="104">
        <v>0</v>
      </c>
      <c r="D21" s="104">
        <f>-('Balance Sheet'!D22-'Balance Sheet'!C22)</f>
        <v>-968</v>
      </c>
      <c r="E21" s="104">
        <f>-('Balance Sheet'!E22-'Balance Sheet'!D22)</f>
        <v>-1307</v>
      </c>
      <c r="F21" s="104">
        <f>-('Balance Sheet'!F22-'Balance Sheet'!E22)</f>
        <v>-2172</v>
      </c>
      <c r="G21" s="104">
        <f>-('Balance Sheet'!G22-'Balance Sheet'!F22)</f>
        <v>-2484</v>
      </c>
      <c r="H21" s="104">
        <f>-('Balance Sheet'!H22-'Balance Sheet'!G22)</f>
        <v>0</v>
      </c>
      <c r="I21" s="104">
        <f>-('Balance Sheet'!I22-'Balance Sheet'!H22)</f>
        <v>0</v>
      </c>
      <c r="J21" s="104">
        <f>-('Balance Sheet'!J22-'Balance Sheet'!I22)</f>
        <v>0</v>
      </c>
      <c r="K21" s="104">
        <f>-('Balance Sheet'!K22-'Balance Sheet'!J22)</f>
        <v>0</v>
      </c>
      <c r="L21" s="104">
        <f>-('Balance Sheet'!L22-'Balance Sheet'!K22)</f>
        <v>0</v>
      </c>
    </row>
    <row r="22" spans="2:12" x14ac:dyDescent="0.3">
      <c r="B22" s="29" t="s">
        <v>518</v>
      </c>
      <c r="C22" s="103">
        <f t="shared" ref="C22:L22" si="3">SUM(C20:C21)</f>
        <v>-728</v>
      </c>
      <c r="D22" s="103">
        <f t="shared" si="3"/>
        <v>-1965</v>
      </c>
      <c r="E22" s="103">
        <f t="shared" si="3"/>
        <v>-2362</v>
      </c>
      <c r="F22" s="103">
        <f t="shared" si="3"/>
        <v>-3952</v>
      </c>
      <c r="G22" s="103">
        <f t="shared" si="3"/>
        <v>-4409</v>
      </c>
      <c r="H22" s="103">
        <f t="shared" si="3"/>
        <v>-2466.9748996200001</v>
      </c>
      <c r="I22" s="103">
        <f t="shared" si="3"/>
        <v>-2798.1815739794401</v>
      </c>
      <c r="J22" s="103">
        <f t="shared" si="3"/>
        <v>-3071.1168124634078</v>
      </c>
      <c r="K22" s="103">
        <f t="shared" si="3"/>
        <v>-3294.1925916811592</v>
      </c>
      <c r="L22" s="103">
        <f t="shared" si="3"/>
        <v>-3584.4232951260728</v>
      </c>
    </row>
    <row r="23" spans="2:12" x14ac:dyDescent="0.3">
      <c r="B23" s="52" t="s">
        <v>519</v>
      </c>
      <c r="C23" s="135">
        <v>-2141</v>
      </c>
      <c r="D23" s="135">
        <v>-2312</v>
      </c>
      <c r="E23" s="135">
        <v>-1896</v>
      </c>
      <c r="F23" s="135">
        <v>-3870</v>
      </c>
      <c r="G23" s="135">
        <v>-4310</v>
      </c>
    </row>
    <row r="25" spans="2:12" ht="16.5" customHeight="1" x14ac:dyDescent="0.3">
      <c r="B25" s="10" t="s">
        <v>520</v>
      </c>
      <c r="C25" s="10"/>
      <c r="D25" s="10"/>
      <c r="E25" s="10"/>
      <c r="F25" s="10"/>
      <c r="G25" s="10"/>
      <c r="H25" s="10"/>
      <c r="I25" s="10"/>
      <c r="J25" s="10"/>
      <c r="K25" s="10"/>
      <c r="L25" s="10"/>
    </row>
    <row r="26" spans="2:12" x14ac:dyDescent="0.3">
      <c r="B26" s="32" t="s">
        <v>500</v>
      </c>
      <c r="C26" s="104">
        <v>0</v>
      </c>
      <c r="D26" s="131">
        <f>'Balance Sheet'!D52</f>
        <v>700</v>
      </c>
      <c r="E26" s="131">
        <f>'Balance Sheet'!E52</f>
        <v>-699</v>
      </c>
      <c r="F26" s="131">
        <f>'Balance Sheet'!F52</f>
        <v>73</v>
      </c>
      <c r="G26" s="131">
        <f>'Balance Sheet'!G52</f>
        <v>1696</v>
      </c>
      <c r="H26" s="131">
        <f>'Balance Sheet'!H52</f>
        <v>0</v>
      </c>
      <c r="I26" s="131">
        <f>'Balance Sheet'!I52</f>
        <v>0</v>
      </c>
      <c r="J26" s="131">
        <f>'Balance Sheet'!J52</f>
        <v>0</v>
      </c>
      <c r="K26" s="131">
        <f>'Balance Sheet'!K52</f>
        <v>0</v>
      </c>
      <c r="L26" s="131">
        <f>'Balance Sheet'!L52</f>
        <v>0</v>
      </c>
    </row>
    <row r="27" spans="2:12" x14ac:dyDescent="0.3">
      <c r="B27" s="32" t="s">
        <v>521</v>
      </c>
      <c r="C27" s="131">
        <f>-'Income Statement'!E45</f>
        <v>-179.00000000000003</v>
      </c>
      <c r="D27" s="131">
        <f>-'Income Statement'!H45</f>
        <v>-238.72</v>
      </c>
      <c r="E27" s="131">
        <f>-'Income Statement'!K45</f>
        <v>-374.76</v>
      </c>
      <c r="F27" s="131">
        <f>-'Income Statement'!N45</f>
        <v>-474.29999999999995</v>
      </c>
      <c r="G27" s="131">
        <f>-'Income Statement'!Q45</f>
        <v>-578.24</v>
      </c>
      <c r="H27" s="131">
        <f>-'Income Statement'!T45</f>
        <v>-910.09937932730031</v>
      </c>
      <c r="I27" s="131">
        <f>-'Income Statement'!W45</f>
        <v>-1185.6201130744896</v>
      </c>
      <c r="J27" s="131">
        <f>-'Income Statement'!Z45</f>
        <v>-1476.2464827971078</v>
      </c>
      <c r="K27" s="131">
        <f>-'Income Statement'!AC45</f>
        <v>-1780.4453360687819</v>
      </c>
      <c r="L27" s="131">
        <f>-'Income Statement'!AF45</f>
        <v>-2118.893492603745</v>
      </c>
    </row>
    <row r="28" spans="2:12" x14ac:dyDescent="0.3">
      <c r="B28" s="32" t="s">
        <v>522</v>
      </c>
      <c r="C28" s="131">
        <f>-'Income Statement'!E26</f>
        <v>-126</v>
      </c>
      <c r="D28" s="131">
        <f>-'Income Statement'!H26</f>
        <v>-141</v>
      </c>
      <c r="E28" s="131">
        <f>-'Income Statement'!K26</f>
        <v>-182</v>
      </c>
      <c r="F28" s="131">
        <f>-'Income Statement'!N26</f>
        <v>-139</v>
      </c>
      <c r="G28" s="131">
        <f>-'Income Statement'!Q26</f>
        <v>-204</v>
      </c>
      <c r="H28" s="131">
        <f>-'Income Statement'!T26</f>
        <v>-271.76240000000001</v>
      </c>
      <c r="I28" s="131">
        <f>-'Income Statement'!W26</f>
        <v>-271.76240000000001</v>
      </c>
      <c r="J28" s="131">
        <f>-'Income Statement'!Z26</f>
        <v>-271.76240000000001</v>
      </c>
      <c r="K28" s="131">
        <f>-'Income Statement'!AC26</f>
        <v>-271.76240000000001</v>
      </c>
      <c r="L28" s="131">
        <f>-'Income Statement'!AF26</f>
        <v>-271.76240000000001</v>
      </c>
    </row>
    <row r="29" spans="2:12" x14ac:dyDescent="0.3">
      <c r="B29" s="29" t="s">
        <v>523</v>
      </c>
      <c r="C29" s="103">
        <f t="shared" ref="C29:L29" si="4">SUM(C26:C28)</f>
        <v>-305</v>
      </c>
      <c r="D29" s="103">
        <f t="shared" si="4"/>
        <v>320.27999999999997</v>
      </c>
      <c r="E29" s="103">
        <f t="shared" si="4"/>
        <v>-1255.76</v>
      </c>
      <c r="F29" s="103">
        <f t="shared" si="4"/>
        <v>-540.29999999999995</v>
      </c>
      <c r="G29" s="103">
        <f t="shared" si="4"/>
        <v>913.76</v>
      </c>
      <c r="H29" s="103">
        <f t="shared" si="4"/>
        <v>-1181.8617793273004</v>
      </c>
      <c r="I29" s="103">
        <f t="shared" si="4"/>
        <v>-1457.3825130744897</v>
      </c>
      <c r="J29" s="103">
        <f t="shared" si="4"/>
        <v>-1748.0088827971078</v>
      </c>
      <c r="K29" s="103">
        <f t="shared" si="4"/>
        <v>-2052.2077360687817</v>
      </c>
      <c r="L29" s="103">
        <f t="shared" si="4"/>
        <v>-2390.6558926037451</v>
      </c>
    </row>
    <row r="30" spans="2:12" x14ac:dyDescent="0.3">
      <c r="B30" s="52" t="s">
        <v>524</v>
      </c>
      <c r="C30" s="135">
        <v>113</v>
      </c>
      <c r="D30" s="135">
        <v>225</v>
      </c>
      <c r="E30" s="135">
        <v>-1470</v>
      </c>
      <c r="F30" s="135">
        <v>-588</v>
      </c>
      <c r="G30" s="135">
        <v>-1344</v>
      </c>
    </row>
    <row r="32" spans="2:12" x14ac:dyDescent="0.3">
      <c r="B32" s="29" t="s">
        <v>525</v>
      </c>
      <c r="C32" s="103">
        <f t="shared" ref="C32:L32" si="5">C15+C22+C29</f>
        <v>610</v>
      </c>
      <c r="D32" s="103">
        <f t="shared" si="5"/>
        <v>412.61424657534303</v>
      </c>
      <c r="E32" s="103">
        <f t="shared" si="5"/>
        <v>-133.31616438356173</v>
      </c>
      <c r="F32" s="103">
        <f t="shared" si="5"/>
        <v>-177.3301369863018</v>
      </c>
      <c r="G32" s="103">
        <f t="shared" si="5"/>
        <v>2784.0641095890414</v>
      </c>
      <c r="H32" s="103">
        <f t="shared" si="5"/>
        <v>3613.8382169064189</v>
      </c>
      <c r="I32" s="103">
        <f t="shared" si="5"/>
        <v>4348.8623992940065</v>
      </c>
      <c r="J32" s="103">
        <f t="shared" si="5"/>
        <v>5107.2174818261637</v>
      </c>
      <c r="K32" s="103">
        <f t="shared" si="5"/>
        <v>5888.8231415805512</v>
      </c>
      <c r="L32" s="103">
        <f t="shared" si="5"/>
        <v>6649.4751765284364</v>
      </c>
    </row>
    <row r="33" spans="2:12" x14ac:dyDescent="0.3">
      <c r="B33" s="32" t="s">
        <v>526</v>
      </c>
      <c r="D33" s="131">
        <f>'Balance Sheet'!C27</f>
        <v>900</v>
      </c>
      <c r="E33" s="131">
        <f>'Balance Sheet'!D27</f>
        <v>800</v>
      </c>
      <c r="F33" s="131">
        <f>'Balance Sheet'!E27</f>
        <v>1050</v>
      </c>
      <c r="G33" s="131">
        <f>'Balance Sheet'!F27</f>
        <v>900</v>
      </c>
      <c r="H33" s="131">
        <f>'Balance Sheet'!G27</f>
        <v>1500</v>
      </c>
      <c r="I33" s="131">
        <f>'Balance Sheet'!H27</f>
        <v>5187.1286969209514</v>
      </c>
      <c r="J33" s="131">
        <f>'Balance Sheet'!I27</f>
        <v>9607.6808755712682</v>
      </c>
      <c r="K33" s="131">
        <f>'Balance Sheet'!J27</f>
        <v>14784.333866177949</v>
      </c>
      <c r="L33" s="131">
        <f>'Balance Sheet'!K27</f>
        <v>20741.455928411408</v>
      </c>
    </row>
    <row r="34" spans="2:12" x14ac:dyDescent="0.3">
      <c r="B34" s="29" t="s">
        <v>527</v>
      </c>
      <c r="C34" s="106">
        <f>'Balance Sheet'!C27</f>
        <v>900</v>
      </c>
      <c r="D34" s="106">
        <f>'Balance Sheet'!D27</f>
        <v>800</v>
      </c>
      <c r="E34" s="106">
        <f>'Balance Sheet'!E27</f>
        <v>1050</v>
      </c>
      <c r="F34" s="106">
        <f>'Balance Sheet'!F27</f>
        <v>900</v>
      </c>
      <c r="G34" s="106">
        <f>'Balance Sheet'!G27</f>
        <v>1500</v>
      </c>
      <c r="H34" s="106">
        <f>'Balance Sheet'!H27</f>
        <v>5187.1286969209514</v>
      </c>
      <c r="I34" s="106">
        <f>'Balance Sheet'!I27</f>
        <v>9607.6808755712682</v>
      </c>
      <c r="J34" s="106">
        <f>'Balance Sheet'!J27</f>
        <v>14784.333866177949</v>
      </c>
      <c r="K34" s="106">
        <f>'Balance Sheet'!K27</f>
        <v>20741.455928411408</v>
      </c>
      <c r="L34" s="106">
        <f>'Balance Sheet'!L27</f>
        <v>27460.63772778042</v>
      </c>
    </row>
    <row r="36" spans="2:12" ht="16.5" customHeight="1" x14ac:dyDescent="0.3">
      <c r="B36" s="10" t="s">
        <v>528</v>
      </c>
      <c r="C36" s="10"/>
      <c r="D36" s="10"/>
      <c r="E36" s="10"/>
      <c r="F36" s="10"/>
      <c r="G36" s="10"/>
      <c r="H36" s="10"/>
      <c r="I36" s="10"/>
      <c r="J36" s="10"/>
      <c r="K36" s="10"/>
      <c r="L36" s="10"/>
    </row>
    <row r="37" spans="2:12" x14ac:dyDescent="0.3">
      <c r="B37" s="29" t="s">
        <v>529</v>
      </c>
      <c r="C37" s="103">
        <f>'Income Statement'!E22*(1-'Income Statement'!E34)+'Income Statement'!E21-'Balance Sheet'!C45+'Balance Sheet'!C41</f>
        <v>879.0008237232289</v>
      </c>
      <c r="D37" s="103">
        <f>'Income Statement'!H22*(1-'Income Statement'!H34)+'Income Statement'!H21-'Balance Sheet'!D45+'Balance Sheet'!D41</f>
        <v>1050.1146856970995</v>
      </c>
      <c r="E37" s="103">
        <f>'Income Statement'!K22*(1-'Income Statement'!K34)+'Income Statement'!K21-'Balance Sheet'!E45+'Balance Sheet'!E41</f>
        <v>2421.1582241056467</v>
      </c>
      <c r="F37" s="103">
        <f>'Income Statement'!N22*(1-'Income Statement'!N34)+'Income Statement'!N21-'Balance Sheet'!F45+'Balance Sheet'!F41</f>
        <v>2492.8890634641489</v>
      </c>
      <c r="G37" s="103">
        <f>'Income Statement'!Q22*(1-'Income Statement'!Q34)+'Income Statement'!Q21-'Balance Sheet'!G45+'Balance Sheet'!G41</f>
        <v>4282.0065366744993</v>
      </c>
      <c r="H37" s="103">
        <f>'Income Statement'!T22*(1-'Income Statement'!T34)+'Income Statement'!T21-'Balance Sheet'!H45+'Balance Sheet'!H41</f>
        <v>4727.2974001537186</v>
      </c>
      <c r="I37" s="103">
        <f>'Income Statement'!W22*(1-'Income Statement'!W34)+'Income Statement'!W21-'Balance Sheet'!I45+'Balance Sheet'!I41</f>
        <v>5737.8423162884947</v>
      </c>
      <c r="J37" s="103">
        <f>'Income Statement'!Z22*(1-'Income Statement'!Z34)+'Income Statement'!Z21-'Balance Sheet'!J45+'Balance Sheet'!J41</f>
        <v>6786.8237685432723</v>
      </c>
      <c r="K37" s="103">
        <f>'Income Statement'!AC22*(1-'Income Statement'!AC34)+'Income Statement'!AC21-'Balance Sheet'!K45+'Balance Sheet'!K41</f>
        <v>7872.6282815693321</v>
      </c>
      <c r="L37" s="103">
        <f>'Income Statement'!AF22*(1-'Income Statement'!AF34)+'Income Statement'!AF21-'Balance Sheet'!L45+'Balance Sheet'!L41</f>
        <v>8971.7284730521806</v>
      </c>
    </row>
    <row r="38" spans="2:12" x14ac:dyDescent="0.3">
      <c r="B38" s="29" t="s">
        <v>530</v>
      </c>
      <c r="C38" s="103">
        <f>C37-'Income Statement'!E26*(1-'Income Statement'!E34)+'Balance Sheet'!C52</f>
        <v>786.10955518945627</v>
      </c>
      <c r="D38" s="103">
        <f>D37-'Income Statement'!H26*(1-'Income Statement'!H34)+'Balance Sheet'!D52</f>
        <v>1645.138637792908</v>
      </c>
      <c r="E38" s="103">
        <f>E37-'Income Statement'!K26*(1-'Income Statement'!K34)+'Balance Sheet'!E52</f>
        <v>1585.8546269833446</v>
      </c>
      <c r="F38" s="103">
        <f>F37-'Income Statement'!N26*(1-'Income Statement'!N34)+'Balance Sheet'!F52</f>
        <v>2462.7739170677523</v>
      </c>
      <c r="G38" s="103">
        <f>G37-'Income Statement'!Q26*(1-'Income Statement'!Q34)+'Balance Sheet'!G52</f>
        <v>5827.6381907638324</v>
      </c>
      <c r="H38" s="103">
        <f>H37-'Income Statement'!T26*(1-'Income Statement'!T34)+'Balance Sheet'!H52</f>
        <v>4523.937596233719</v>
      </c>
      <c r="I38" s="103">
        <f>I37-'Income Statement'!W26*(1-'Income Statement'!W34)+'Balance Sheet'!I52</f>
        <v>5534.482512368495</v>
      </c>
      <c r="J38" s="103">
        <f>J37-'Income Statement'!Z26*(1-'Income Statement'!Z34)+'Balance Sheet'!J52</f>
        <v>6583.4639646232727</v>
      </c>
      <c r="K38" s="103">
        <f>K37-'Income Statement'!AC26*(1-'Income Statement'!AC34)+'Balance Sheet'!K52</f>
        <v>7669.2684776493325</v>
      </c>
      <c r="L38" s="103">
        <f>L37-'Income Statement'!AF26*(1-'Income Statement'!AF34)+'Balance Sheet'!L52</f>
        <v>8768.36866913218</v>
      </c>
    </row>
    <row r="39" spans="2:12" x14ac:dyDescent="0.3">
      <c r="B39" s="52" t="s">
        <v>531</v>
      </c>
      <c r="C39" s="105">
        <f>C37/'Income Statement'!E18</f>
        <v>0.44801265225444897</v>
      </c>
      <c r="D39" s="105">
        <f>D37/'Income Statement'!H18</f>
        <v>0.39256623764377552</v>
      </c>
      <c r="E39" s="105">
        <f>E37/'Income Statement'!K18</f>
        <v>0.68919960834205718</v>
      </c>
      <c r="F39" s="105">
        <f>F37/'Income Statement'!N18</f>
        <v>0.55856801780509724</v>
      </c>
      <c r="G39" s="105">
        <f>G37/'Income Statement'!Q18</f>
        <v>0.70439324505255785</v>
      </c>
      <c r="H39" s="105">
        <f>H37/'Income Statement'!T18</f>
        <v>0.6006101765069265</v>
      </c>
      <c r="I39" s="105">
        <f>I37/'Income Statement'!W18</f>
        <v>0.59436553933425917</v>
      </c>
      <c r="J39" s="105">
        <f>J37/'Income Statement'!Z18</f>
        <v>0.59557261545718498</v>
      </c>
      <c r="K39" s="105">
        <f>K37/'Income Statement'!AC18</f>
        <v>0.60164072117516021</v>
      </c>
      <c r="L39" s="105">
        <f>L37/'Income Statement'!AF18</f>
        <v>0.60416682214152972</v>
      </c>
    </row>
    <row r="40" spans="2:12" x14ac:dyDescent="0.3">
      <c r="B40" s="52" t="s">
        <v>532</v>
      </c>
      <c r="C40" s="105">
        <f>C15/'Income Statement'!E18</f>
        <v>0.83741080530071355</v>
      </c>
      <c r="D40" s="105">
        <f>D15/'Income Statement'!H18</f>
        <v>0.76909691460760488</v>
      </c>
      <c r="E40" s="105">
        <f>E15/'Income Statement'!K18</f>
        <v>0.99187128824834569</v>
      </c>
      <c r="F40" s="105">
        <f>F15/'Income Statement'!N18</f>
        <v>0.96683169684375936</v>
      </c>
      <c r="G40" s="105">
        <f>G15/'Income Statement'!Q18</f>
        <v>1.0329501743031817</v>
      </c>
      <c r="H40" s="105">
        <f>H15/'Income Statement'!T18</f>
        <v>0.92273366405280233</v>
      </c>
      <c r="I40" s="105">
        <f>I15/'Income Statement'!W18</f>
        <v>0.89130622755214783</v>
      </c>
      <c r="J40" s="105">
        <f>J15/'Income Statement'!Z18</f>
        <v>0.87107877993007343</v>
      </c>
      <c r="K40" s="105">
        <f>K15/'Income Statement'!AC18</f>
        <v>0.85861642502249946</v>
      </c>
      <c r="L40" s="105">
        <f>L15/'Income Statement'!AF18</f>
        <v>0.85015244432738291</v>
      </c>
    </row>
    <row r="42" spans="2:12" ht="12.75" customHeight="1" x14ac:dyDescent="0.3">
      <c r="B42" s="74"/>
    </row>
  </sheetData>
  <mergeCells count="5">
    <mergeCell ref="B1:L1"/>
    <mergeCell ref="B5:L5"/>
    <mergeCell ref="B19:L19"/>
    <mergeCell ref="B25:L25"/>
    <mergeCell ref="B36:L36"/>
  </mergeCells>
  <printOptions horizontalCentered="1"/>
  <pageMargins left="0.75" right="0.75" top="1" bottom="1" header="0.511811023622047" footer="0.511811023622047"/>
  <pageSetup orientation="landscape"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13A44"/>
  </sheetPr>
  <dimension ref="B1:AF307"/>
  <sheetViews>
    <sheetView showGridLines="0" zoomScale="57" zoomScaleNormal="90" workbookViewId="0">
      <selection activeCell="Q4" sqref="Q4"/>
    </sheetView>
  </sheetViews>
  <sheetFormatPr defaultColWidth="8.6640625" defaultRowHeight="14.4" x14ac:dyDescent="0.3"/>
  <cols>
    <col min="1" max="1" width="2" customWidth="1"/>
    <col min="2" max="2" width="24" customWidth="1"/>
    <col min="3" max="41" width="9.21875" customWidth="1"/>
  </cols>
  <sheetData>
    <row r="1" spans="2:32" ht="24" customHeight="1" x14ac:dyDescent="0.3">
      <c r="B1" s="5" t="s">
        <v>0</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row>
    <row r="2" spans="2:32" ht="15" customHeight="1" x14ac:dyDescent="0.3">
      <c r="B2" s="26" t="s">
        <v>72</v>
      </c>
    </row>
    <row r="3" spans="2:32" ht="13.5" customHeight="1" x14ac:dyDescent="0.3">
      <c r="B3" s="27" t="s">
        <v>204</v>
      </c>
    </row>
    <row r="5" spans="2:32" x14ac:dyDescent="0.3">
      <c r="B5" s="77" t="s">
        <v>205</v>
      </c>
    </row>
    <row r="47" spans="2:2" x14ac:dyDescent="0.3">
      <c r="B47" s="77" t="s">
        <v>206</v>
      </c>
    </row>
    <row r="89" spans="2:2" x14ac:dyDescent="0.3">
      <c r="B89" s="77" t="s">
        <v>207</v>
      </c>
    </row>
    <row r="131" spans="2:2" x14ac:dyDescent="0.3">
      <c r="B131" s="77" t="s">
        <v>208</v>
      </c>
    </row>
    <row r="173" spans="2:2" x14ac:dyDescent="0.3">
      <c r="B173" s="77" t="s">
        <v>209</v>
      </c>
    </row>
    <row r="199" spans="2:12" x14ac:dyDescent="0.3">
      <c r="B199" s="51" t="s">
        <v>210</v>
      </c>
    </row>
    <row r="201" spans="2:12" x14ac:dyDescent="0.3">
      <c r="B201" s="78" t="s">
        <v>211</v>
      </c>
      <c r="C201" s="79" t="s">
        <v>212</v>
      </c>
      <c r="D201" s="79" t="s">
        <v>213</v>
      </c>
      <c r="E201" s="79" t="s">
        <v>214</v>
      </c>
      <c r="F201" s="79" t="s">
        <v>215</v>
      </c>
      <c r="G201" s="79" t="s">
        <v>216</v>
      </c>
      <c r="H201" s="79" t="s">
        <v>189</v>
      </c>
      <c r="I201" s="79" t="s">
        <v>190</v>
      </c>
      <c r="J201" s="79" t="s">
        <v>191</v>
      </c>
      <c r="K201" s="79" t="s">
        <v>192</v>
      </c>
      <c r="L201" s="79" t="s">
        <v>193</v>
      </c>
    </row>
    <row r="202" spans="2:12" x14ac:dyDescent="0.3">
      <c r="B202" s="80" t="s">
        <v>217</v>
      </c>
      <c r="C202" s="81">
        <f>'Revenue Segments'!AH81</f>
        <v>0</v>
      </c>
      <c r="D202" s="81">
        <f>'Revenue Segments'!AI81</f>
        <v>0</v>
      </c>
      <c r="E202" s="81">
        <f>'Revenue Segments'!AJ81</f>
        <v>0</v>
      </c>
      <c r="F202" s="81">
        <f>'Revenue Segments'!AK81</f>
        <v>0</v>
      </c>
      <c r="G202" s="81">
        <f>'Revenue Segments'!AL81</f>
        <v>0</v>
      </c>
      <c r="H202" s="81">
        <f>'Revenue Segments'!AM81</f>
        <v>0</v>
      </c>
      <c r="I202" s="81">
        <f>'Revenue Segments'!AN81</f>
        <v>0</v>
      </c>
      <c r="J202" s="81">
        <f>'Revenue Segments'!AO81</f>
        <v>0</v>
      </c>
      <c r="K202" s="81">
        <f>'Revenue Segments'!AP81</f>
        <v>0</v>
      </c>
      <c r="L202" s="81">
        <f>'Revenue Segments'!AQ81</f>
        <v>0</v>
      </c>
    </row>
    <row r="203" spans="2:12" x14ac:dyDescent="0.3">
      <c r="B203" s="80" t="s">
        <v>218</v>
      </c>
      <c r="C203" s="81">
        <f>'Revenue Segments'!AH82</f>
        <v>0</v>
      </c>
      <c r="D203" s="81">
        <f>'Revenue Segments'!AI82</f>
        <v>0</v>
      </c>
      <c r="E203" s="81">
        <f>'Revenue Segments'!AJ82</f>
        <v>0</v>
      </c>
      <c r="F203" s="81">
        <f>'Revenue Segments'!AK82</f>
        <v>0</v>
      </c>
      <c r="G203" s="81">
        <f>'Revenue Segments'!AL82</f>
        <v>0</v>
      </c>
      <c r="H203" s="81">
        <f>'Revenue Segments'!AM82</f>
        <v>0</v>
      </c>
      <c r="I203" s="81">
        <f>'Revenue Segments'!AN82</f>
        <v>0</v>
      </c>
      <c r="J203" s="81">
        <f>'Revenue Segments'!AO82</f>
        <v>0</v>
      </c>
      <c r="K203" s="81">
        <f>'Revenue Segments'!AP82</f>
        <v>0</v>
      </c>
      <c r="L203" s="81">
        <f>'Revenue Segments'!AQ82</f>
        <v>0</v>
      </c>
    </row>
    <row r="204" spans="2:12" x14ac:dyDescent="0.3">
      <c r="B204" s="80" t="s">
        <v>219</v>
      </c>
      <c r="C204" s="81">
        <f>'Revenue Segments'!AH83</f>
        <v>0</v>
      </c>
      <c r="D204" s="81">
        <f>'Revenue Segments'!AI83</f>
        <v>0</v>
      </c>
      <c r="E204" s="81">
        <f>'Revenue Segments'!AJ83</f>
        <v>0</v>
      </c>
      <c r="F204" s="81">
        <f>'Revenue Segments'!AK83</f>
        <v>0</v>
      </c>
      <c r="G204" s="81">
        <f>'Revenue Segments'!AL83</f>
        <v>0</v>
      </c>
      <c r="H204" s="81">
        <f>'Revenue Segments'!AM83</f>
        <v>0</v>
      </c>
      <c r="I204" s="81">
        <f>'Revenue Segments'!AN83</f>
        <v>0</v>
      </c>
      <c r="J204" s="81">
        <f>'Revenue Segments'!AO83</f>
        <v>0</v>
      </c>
      <c r="K204" s="81">
        <f>'Revenue Segments'!AP83</f>
        <v>0</v>
      </c>
      <c r="L204" s="81">
        <f>'Revenue Segments'!AQ83</f>
        <v>0</v>
      </c>
    </row>
    <row r="205" spans="2:12" x14ac:dyDescent="0.3">
      <c r="B205" s="80" t="s">
        <v>220</v>
      </c>
      <c r="C205" s="81">
        <f>'Revenue Segments'!AH84</f>
        <v>0</v>
      </c>
      <c r="D205" s="81">
        <f>'Revenue Segments'!AI84</f>
        <v>0</v>
      </c>
      <c r="E205" s="81">
        <f>'Revenue Segments'!AJ84</f>
        <v>0</v>
      </c>
      <c r="F205" s="81">
        <f>'Revenue Segments'!AK84</f>
        <v>0</v>
      </c>
      <c r="G205" s="81">
        <f>'Revenue Segments'!AL84</f>
        <v>0</v>
      </c>
      <c r="H205" s="81">
        <f>'Revenue Segments'!AM84</f>
        <v>0</v>
      </c>
      <c r="I205" s="81">
        <f>'Revenue Segments'!AN84</f>
        <v>0</v>
      </c>
      <c r="J205" s="81">
        <f>'Revenue Segments'!AO84</f>
        <v>0</v>
      </c>
      <c r="K205" s="81">
        <f>'Revenue Segments'!AP84</f>
        <v>0</v>
      </c>
      <c r="L205" s="81">
        <f>'Revenue Segments'!AQ84</f>
        <v>0</v>
      </c>
    </row>
    <row r="206" spans="2:12" x14ac:dyDescent="0.3">
      <c r="B206" s="80" t="s">
        <v>221</v>
      </c>
      <c r="C206" s="81">
        <f>'Revenue Segments'!AH85</f>
        <v>0</v>
      </c>
      <c r="D206" s="81">
        <f>'Revenue Segments'!AI85</f>
        <v>0</v>
      </c>
      <c r="E206" s="81">
        <f>'Revenue Segments'!AJ85</f>
        <v>0</v>
      </c>
      <c r="F206" s="81">
        <f>'Revenue Segments'!AK85</f>
        <v>0</v>
      </c>
      <c r="G206" s="81">
        <f>'Revenue Segments'!AL85</f>
        <v>0</v>
      </c>
      <c r="H206" s="81">
        <f>'Revenue Segments'!AM85</f>
        <v>0</v>
      </c>
      <c r="I206" s="81">
        <f>'Revenue Segments'!AN85</f>
        <v>0</v>
      </c>
      <c r="J206" s="81">
        <f>'Revenue Segments'!AO85</f>
        <v>0</v>
      </c>
      <c r="K206" s="81">
        <f>'Revenue Segments'!AP85</f>
        <v>0</v>
      </c>
      <c r="L206" s="81">
        <f>'Revenue Segments'!AQ85</f>
        <v>0</v>
      </c>
    </row>
    <row r="207" spans="2:12" x14ac:dyDescent="0.3">
      <c r="B207" s="80" t="s">
        <v>222</v>
      </c>
      <c r="C207" s="81">
        <f>'Income Statement'!AK70</f>
        <v>0</v>
      </c>
      <c r="D207" s="81">
        <f>'Income Statement'!AL70</f>
        <v>0</v>
      </c>
      <c r="E207" s="81">
        <f>'Income Statement'!AM70</f>
        <v>0</v>
      </c>
      <c r="F207" s="81">
        <f>'Income Statement'!AN70</f>
        <v>0</v>
      </c>
      <c r="G207" s="81">
        <f>'Income Statement'!AO70</f>
        <v>0</v>
      </c>
      <c r="H207" s="81">
        <f>'Income Statement'!AP70</f>
        <v>0</v>
      </c>
      <c r="I207" s="81">
        <f>'Income Statement'!AQ70</f>
        <v>0</v>
      </c>
      <c r="J207" s="81">
        <f>'Income Statement'!AR70</f>
        <v>80818.863485879148</v>
      </c>
      <c r="K207" s="81">
        <f>'Income Statement'!AS70</f>
        <v>91505.349768921093</v>
      </c>
      <c r="L207" s="81">
        <f>'Income Statement'!AT70</f>
        <v>102412.09414645922</v>
      </c>
    </row>
    <row r="208" spans="2:12" x14ac:dyDescent="0.3">
      <c r="B208" s="80" t="s">
        <v>223</v>
      </c>
      <c r="C208" s="81">
        <f>'Income Statement'!AK71</f>
        <v>0</v>
      </c>
      <c r="D208" s="81">
        <f>'Income Statement'!AL71</f>
        <v>0</v>
      </c>
      <c r="E208" s="81">
        <f>'Income Statement'!AM71</f>
        <v>0</v>
      </c>
      <c r="F208" s="81">
        <f>'Income Statement'!AN71</f>
        <v>0</v>
      </c>
      <c r="G208" s="81">
        <f>'Income Statement'!AO71</f>
        <v>0</v>
      </c>
      <c r="H208" s="81">
        <f>'Income Statement'!AP71</f>
        <v>0</v>
      </c>
      <c r="I208" s="81">
        <f>'Income Statement'!AQ71</f>
        <v>0</v>
      </c>
      <c r="J208" s="81">
        <f>'Income Statement'!AR71</f>
        <v>11395.459751508955</v>
      </c>
      <c r="K208" s="81">
        <f>'Income Statement'!AS71</f>
        <v>13085.265016955716</v>
      </c>
      <c r="L208" s="81">
        <f>'Income Statement'!AT71</f>
        <v>14849.753651236577</v>
      </c>
    </row>
    <row r="209" spans="2:12" x14ac:dyDescent="0.3">
      <c r="B209" s="80" t="s">
        <v>224</v>
      </c>
      <c r="C209" s="82">
        <f>'Income Statement'!AK72</f>
        <v>0</v>
      </c>
      <c r="D209" s="82">
        <f>'Income Statement'!AL72</f>
        <v>0</v>
      </c>
      <c r="E209" s="82">
        <f>'Income Statement'!AM72</f>
        <v>0</v>
      </c>
      <c r="F209" s="82">
        <f>'Income Statement'!AN72</f>
        <v>0</v>
      </c>
      <c r="G209" s="82">
        <f>'Income Statement'!AO72</f>
        <v>0</v>
      </c>
      <c r="H209" s="82">
        <f>'Income Statement'!AP72</f>
        <v>0</v>
      </c>
      <c r="I209" s="82">
        <f>'Income Statement'!AQ72</f>
        <v>0</v>
      </c>
      <c r="J209" s="82">
        <f>'Income Statement'!AR72</f>
        <v>0.14099999999999993</v>
      </c>
      <c r="K209" s="82">
        <f>'Income Statement'!AS72</f>
        <v>0.14299999999999999</v>
      </c>
      <c r="L209" s="82">
        <f>'Income Statement'!AT72</f>
        <v>0.14499999999999991</v>
      </c>
    </row>
    <row r="210" spans="2:12" x14ac:dyDescent="0.3">
      <c r="B210" s="80" t="s">
        <v>225</v>
      </c>
      <c r="C210" s="81">
        <f>'Income Statement'!AK73</f>
        <v>0</v>
      </c>
      <c r="D210" s="81">
        <f>'Income Statement'!AL73</f>
        <v>0</v>
      </c>
      <c r="E210" s="81">
        <f>'Income Statement'!AM73</f>
        <v>0</v>
      </c>
      <c r="F210" s="81">
        <f>'Income Statement'!AN73</f>
        <v>0</v>
      </c>
      <c r="G210" s="81">
        <f>'Income Statement'!AO73</f>
        <v>0</v>
      </c>
      <c r="H210" s="81">
        <f>'Income Statement'!AP73</f>
        <v>0</v>
      </c>
      <c r="I210" s="81">
        <f>'Income Statement'!AQ73</f>
        <v>0</v>
      </c>
      <c r="J210" s="81">
        <f>'Income Statement'!AR73</f>
        <v>7381.2324139855391</v>
      </c>
      <c r="K210" s="81">
        <f>'Income Statement'!AS73</f>
        <v>8478.311124137057</v>
      </c>
      <c r="L210" s="81">
        <f>'Income Statement'!AT73</f>
        <v>9631.3340572897487</v>
      </c>
    </row>
    <row r="211" spans="2:12" x14ac:dyDescent="0.3">
      <c r="B211" s="80" t="s">
        <v>226</v>
      </c>
      <c r="C211" s="83">
        <f>'Income Statement'!AK74</f>
        <v>0</v>
      </c>
      <c r="D211" s="83">
        <f>'Income Statement'!AL74</f>
        <v>0</v>
      </c>
      <c r="E211" s="83">
        <f>'Income Statement'!AM74</f>
        <v>0</v>
      </c>
      <c r="F211" s="83">
        <f>'Income Statement'!AN74</f>
        <v>0</v>
      </c>
      <c r="G211" s="83">
        <f>'Income Statement'!AO74</f>
        <v>0</v>
      </c>
      <c r="H211" s="83">
        <f>'Income Statement'!AP74</f>
        <v>0</v>
      </c>
      <c r="I211" s="83">
        <f>'Income Statement'!AQ74</f>
        <v>0</v>
      </c>
      <c r="J211" s="83">
        <f>'Income Statement'!AR74</f>
        <v>155.36591011721094</v>
      </c>
      <c r="K211" s="83">
        <f>'Income Statement'!AS74</f>
        <v>178.45807450292384</v>
      </c>
      <c r="L211" s="83">
        <f>'Income Statement'!AT74</f>
        <v>202.72779632550984</v>
      </c>
    </row>
    <row r="212" spans="2:12" x14ac:dyDescent="0.3">
      <c r="B212" s="80" t="s">
        <v>227</v>
      </c>
      <c r="C212" s="82">
        <f>'Income Statement'!AK75</f>
        <v>0</v>
      </c>
      <c r="D212" s="82">
        <f>'Income Statement'!AL75</f>
        <v>0</v>
      </c>
      <c r="E212" s="82">
        <f>'Income Statement'!AM75</f>
        <v>0</v>
      </c>
      <c r="F212" s="82">
        <f>'Income Statement'!AN75</f>
        <v>0</v>
      </c>
      <c r="G212" s="82">
        <f>'Income Statement'!AO75</f>
        <v>0</v>
      </c>
      <c r="H212" s="82">
        <f>'Income Statement'!AP75</f>
        <v>0</v>
      </c>
      <c r="I212" s="82">
        <f>'Income Statement'!AQ75</f>
        <v>0</v>
      </c>
      <c r="J212" s="82">
        <f>'Income Statement'!AR75</f>
        <v>0.33703329431130075</v>
      </c>
      <c r="K212" s="82">
        <f>'Income Statement'!AS75</f>
        <v>0.31551357580093531</v>
      </c>
      <c r="L212" s="82">
        <f>'Income Statement'!AT75</f>
        <v>0.29678391116209213</v>
      </c>
    </row>
    <row r="213" spans="2:12" x14ac:dyDescent="0.3">
      <c r="B213" s="80" t="s">
        <v>228</v>
      </c>
      <c r="C213" s="82">
        <f>'Income Statement'!AK76</f>
        <v>0</v>
      </c>
      <c r="D213" s="82">
        <f>'Income Statement'!AL76</f>
        <v>0</v>
      </c>
      <c r="E213" s="82">
        <f>'Income Statement'!AM76</f>
        <v>0</v>
      </c>
      <c r="F213" s="82">
        <f>'Income Statement'!AN76</f>
        <v>0</v>
      </c>
      <c r="G213" s="82">
        <f>'Income Statement'!AO76</f>
        <v>0</v>
      </c>
      <c r="H213" s="82">
        <f>'Income Statement'!AP76</f>
        <v>0</v>
      </c>
      <c r="I213" s="82">
        <f>'Income Statement'!AQ76</f>
        <v>0</v>
      </c>
      <c r="J213" s="82">
        <f>'Income Statement'!AR76</f>
        <v>0.28022391487147119</v>
      </c>
      <c r="K213" s="82">
        <f>'Income Statement'!AS76</f>
        <v>0.2566203280511416</v>
      </c>
      <c r="L213" s="82">
        <f>'Income Statement'!AT76</f>
        <v>0.23751288034234153</v>
      </c>
    </row>
    <row r="214" spans="2:12" x14ac:dyDescent="0.3">
      <c r="B214" s="80" t="s">
        <v>229</v>
      </c>
      <c r="C214" s="81">
        <f>'Balance Sheet'!C45</f>
        <v>728</v>
      </c>
      <c r="D214" s="81">
        <f>'Balance Sheet'!D45</f>
        <v>997</v>
      </c>
      <c r="E214" s="81">
        <f>'Balance Sheet'!E45</f>
        <v>1055</v>
      </c>
      <c r="F214" s="81">
        <f>'Balance Sheet'!F45</f>
        <v>1780</v>
      </c>
      <c r="G214" s="81">
        <f>'Balance Sheet'!G45</f>
        <v>1925</v>
      </c>
      <c r="H214" s="81">
        <f>'Balance Sheet'!H45</f>
        <v>2466.9748996200001</v>
      </c>
      <c r="I214" s="81">
        <f>'Balance Sheet'!I45</f>
        <v>2798.1815739794401</v>
      </c>
      <c r="J214" s="81">
        <f>'Balance Sheet'!J45</f>
        <v>3071.1168124634078</v>
      </c>
      <c r="K214" s="81">
        <f>'Balance Sheet'!K45</f>
        <v>3294.1925916811592</v>
      </c>
      <c r="L214" s="81">
        <f>'Balance Sheet'!L45</f>
        <v>3584.4232951260728</v>
      </c>
    </row>
    <row r="215" spans="2:12" x14ac:dyDescent="0.3">
      <c r="B215" s="80" t="s">
        <v>230</v>
      </c>
      <c r="C215" s="82">
        <f>'Balance Sheet'!C48</f>
        <v>3.5015150786397962E-2</v>
      </c>
      <c r="D215" s="82">
        <f>'Balance Sheet'!D48</f>
        <v>3.7796648722420195E-2</v>
      </c>
      <c r="E215" s="82">
        <f>'Balance Sheet'!E48</f>
        <v>3.3201158106747231E-2</v>
      </c>
      <c r="F215" s="82">
        <f>'Balance Sheet'!F48</f>
        <v>4.9102093735345229E-2</v>
      </c>
      <c r="G215" s="82">
        <f>'Balance Sheet'!G48</f>
        <v>4.0723503279035331E-2</v>
      </c>
      <c r="H215" s="82">
        <f>'Balance Sheet'!H48</f>
        <v>4.2000000000000003E-2</v>
      </c>
      <c r="I215" s="82">
        <f>'Balance Sheet'!I48</f>
        <v>0.04</v>
      </c>
      <c r="J215" s="82">
        <f>'Balance Sheet'!J48</f>
        <v>3.7999999999999999E-2</v>
      </c>
      <c r="K215" s="82">
        <f>'Balance Sheet'!K48</f>
        <v>3.5999999999999997E-2</v>
      </c>
      <c r="L215" s="82">
        <f>'Balance Sheet'!L48</f>
        <v>3.5000000000000003E-2</v>
      </c>
    </row>
    <row r="216" spans="2:12" x14ac:dyDescent="0.3">
      <c r="B216" s="80" t="s">
        <v>231</v>
      </c>
      <c r="C216" s="81">
        <f>'Balance Sheet'!C46</f>
        <v>611</v>
      </c>
      <c r="D216" s="81">
        <f>'Balance Sheet'!D46</f>
        <v>631</v>
      </c>
      <c r="E216" s="81">
        <f>'Balance Sheet'!E46</f>
        <v>700</v>
      </c>
      <c r="F216" s="81">
        <f>'Balance Sheet'!F46</f>
        <v>748</v>
      </c>
      <c r="G216" s="81">
        <f>'Balance Sheet'!G46</f>
        <v>901</v>
      </c>
      <c r="H216" s="81">
        <f>'Balance Sheet'!H46</f>
        <v>842.27</v>
      </c>
      <c r="I216" s="81">
        <f>'Balance Sheet'!I46</f>
        <v>1042.9210551030699</v>
      </c>
      <c r="J216" s="81">
        <f>'Balance Sheet'!J46</f>
        <v>1259.6957291843016</v>
      </c>
      <c r="K216" s="81">
        <f>'Balance Sheet'!K46</f>
        <v>1483.4062329692713</v>
      </c>
      <c r="L216" s="81">
        <f>'Balance Sheet'!L46</f>
        <v>1707.0383482701895</v>
      </c>
    </row>
    <row r="217" spans="2:12" x14ac:dyDescent="0.3">
      <c r="B217" s="80" t="s">
        <v>232</v>
      </c>
      <c r="C217" s="83">
        <f>'Revenue Segments'!E67/100000</f>
        <v>42</v>
      </c>
      <c r="D217" s="83">
        <f>'Revenue Segments'!H67/100000</f>
        <v>48</v>
      </c>
      <c r="E217" s="83">
        <f>'Revenue Segments'!K67/100000</f>
        <v>54</v>
      </c>
      <c r="F217" s="83">
        <f>'Revenue Segments'!N67/100000</f>
        <v>60</v>
      </c>
      <c r="G217" s="83">
        <f>'Revenue Segments'!Q67/100000</f>
        <v>66</v>
      </c>
      <c r="H217" s="83">
        <f>'Revenue Segments'!T67/100000</f>
        <v>74</v>
      </c>
      <c r="I217" s="83">
        <f>'Revenue Segments'!W67/100000</f>
        <v>84</v>
      </c>
      <c r="J217" s="83">
        <f>'Revenue Segments'!Z67/100000</f>
        <v>94</v>
      </c>
      <c r="K217" s="83">
        <f>'Revenue Segments'!AC67/100000</f>
        <v>103</v>
      </c>
      <c r="L217" s="83">
        <f>'Revenue Segments'!AF67/100000</f>
        <v>112</v>
      </c>
    </row>
    <row r="218" spans="2:12" x14ac:dyDescent="0.3">
      <c r="B218" s="80" t="s">
        <v>233</v>
      </c>
      <c r="C218" s="83">
        <f>'Revenue Segments'!AH86</f>
        <v>0</v>
      </c>
      <c r="D218" s="83">
        <f>'Revenue Segments'!AI86</f>
        <v>0</v>
      </c>
      <c r="E218" s="83">
        <f>'Revenue Segments'!AJ86</f>
        <v>0</v>
      </c>
      <c r="F218" s="83">
        <f>'Revenue Segments'!AK86</f>
        <v>0</v>
      </c>
      <c r="G218" s="83">
        <f>'Revenue Segments'!AL86</f>
        <v>0</v>
      </c>
      <c r="H218" s="83">
        <f>'Revenue Segments'!AM86</f>
        <v>0</v>
      </c>
      <c r="I218" s="83">
        <f>'Revenue Segments'!AN86</f>
        <v>0</v>
      </c>
      <c r="J218" s="83">
        <f>'Revenue Segments'!AO86</f>
        <v>0</v>
      </c>
      <c r="K218" s="83">
        <f>'Revenue Segments'!AP86</f>
        <v>0</v>
      </c>
      <c r="L218" s="83">
        <f>'Revenue Segments'!AQ86</f>
        <v>0</v>
      </c>
    </row>
    <row r="219" spans="2:12" x14ac:dyDescent="0.3">
      <c r="B219" s="80" t="s">
        <v>234</v>
      </c>
      <c r="C219" s="82">
        <f>'Revenue Segments'!E68</f>
        <v>0.7288095238095238</v>
      </c>
      <c r="D219" s="82">
        <f>'Revenue Segments'!H68</f>
        <v>0.76500000000000001</v>
      </c>
      <c r="E219" s="82">
        <f>'Revenue Segments'!K68</f>
        <v>0.74611111111111106</v>
      </c>
      <c r="F219" s="82">
        <f>'Revenue Segments'!N68</f>
        <v>0.76816666666666666</v>
      </c>
      <c r="G219" s="82">
        <f>'Revenue Segments'!Q68</f>
        <v>0.85909090909090913</v>
      </c>
      <c r="H219" s="82">
        <f>'Revenue Segments'!T68</f>
        <v>0.90135135135135136</v>
      </c>
      <c r="I219" s="82">
        <f>'Revenue Segments'!W68</f>
        <v>0.90583642857142854</v>
      </c>
      <c r="J219" s="82">
        <f>'Revenue Segments'!Z68</f>
        <v>0.90200883404255328</v>
      </c>
      <c r="K219" s="82">
        <f>'Revenue Segments'!AC68</f>
        <v>0.90036806504854394</v>
      </c>
      <c r="L219" s="82">
        <f>'Revenue Segments'!AF68</f>
        <v>0.89603305022142876</v>
      </c>
    </row>
    <row r="220" spans="2:12" x14ac:dyDescent="0.3">
      <c r="B220" s="80" t="s">
        <v>235</v>
      </c>
      <c r="C220" s="84">
        <f>'Balance Sheet'!C36</f>
        <v>26</v>
      </c>
      <c r="D220" s="84">
        <f>'Balance Sheet'!D36</f>
        <v>23</v>
      </c>
      <c r="E220" s="84">
        <f>'Balance Sheet'!E36</f>
        <v>21</v>
      </c>
      <c r="F220" s="84">
        <f>'Balance Sheet'!F36</f>
        <v>24</v>
      </c>
      <c r="G220" s="84">
        <f>'Balance Sheet'!G36</f>
        <v>17</v>
      </c>
      <c r="H220" s="84">
        <f>'Balance Sheet'!H36</f>
        <v>17</v>
      </c>
      <c r="I220" s="84">
        <f>'Balance Sheet'!I36</f>
        <v>17</v>
      </c>
      <c r="J220" s="84">
        <f>'Balance Sheet'!J36</f>
        <v>17</v>
      </c>
      <c r="K220" s="84">
        <f>'Balance Sheet'!K36</f>
        <v>17</v>
      </c>
      <c r="L220" s="84">
        <f>'Balance Sheet'!L36</f>
        <v>17</v>
      </c>
    </row>
    <row r="221" spans="2:12" x14ac:dyDescent="0.3">
      <c r="B221" s="80" t="s">
        <v>236</v>
      </c>
      <c r="C221" s="84">
        <f>'Balance Sheet'!C37</f>
        <v>17</v>
      </c>
      <c r="D221" s="84">
        <f>'Balance Sheet'!D37</f>
        <v>14</v>
      </c>
      <c r="E221" s="84">
        <f>'Balance Sheet'!E37</f>
        <v>15</v>
      </c>
      <c r="F221" s="84">
        <f>'Balance Sheet'!F37</f>
        <v>13</v>
      </c>
      <c r="G221" s="84">
        <f>'Balance Sheet'!G37</f>
        <v>16</v>
      </c>
      <c r="H221" s="84">
        <f>'Balance Sheet'!H37</f>
        <v>16</v>
      </c>
      <c r="I221" s="84">
        <f>'Balance Sheet'!I37</f>
        <v>16</v>
      </c>
      <c r="J221" s="84">
        <f>'Balance Sheet'!J37</f>
        <v>16</v>
      </c>
      <c r="K221" s="84">
        <f>'Balance Sheet'!K37</f>
        <v>16</v>
      </c>
      <c r="L221" s="84">
        <f>'Balance Sheet'!L37</f>
        <v>16</v>
      </c>
    </row>
    <row r="222" spans="2:12" x14ac:dyDescent="0.3">
      <c r="B222" s="80" t="s">
        <v>237</v>
      </c>
      <c r="C222" s="84">
        <f>-'Balance Sheet'!C38</f>
        <v>-93</v>
      </c>
      <c r="D222" s="84">
        <f>-'Balance Sheet'!D38</f>
        <v>-75</v>
      </c>
      <c r="E222" s="84">
        <f>-'Balance Sheet'!E38</f>
        <v>-80</v>
      </c>
      <c r="F222" s="84">
        <f>-'Balance Sheet'!F38</f>
        <v>-87</v>
      </c>
      <c r="G222" s="84">
        <f>-'Balance Sheet'!G38</f>
        <v>-90</v>
      </c>
      <c r="H222" s="84">
        <f>-'Balance Sheet'!H38</f>
        <v>-90</v>
      </c>
      <c r="I222" s="84">
        <f>-'Balance Sheet'!I38</f>
        <v>-90</v>
      </c>
      <c r="J222" s="84">
        <f>-'Balance Sheet'!J38</f>
        <v>-90</v>
      </c>
      <c r="K222" s="84">
        <f>-'Balance Sheet'!K38</f>
        <v>-90</v>
      </c>
      <c r="L222" s="84">
        <f>-'Balance Sheet'!L38</f>
        <v>-90</v>
      </c>
    </row>
    <row r="223" spans="2:12" x14ac:dyDescent="0.3">
      <c r="B223" s="80" t="s">
        <v>238</v>
      </c>
      <c r="C223" s="84">
        <f>'Balance Sheet'!C39</f>
        <v>-50</v>
      </c>
      <c r="D223" s="84">
        <f>'Balance Sheet'!D39</f>
        <v>-38</v>
      </c>
      <c r="E223" s="84">
        <f>'Balance Sheet'!E39</f>
        <v>-44</v>
      </c>
      <c r="F223" s="84">
        <f>'Balance Sheet'!F39</f>
        <v>-50</v>
      </c>
      <c r="G223" s="84">
        <f>'Balance Sheet'!G39</f>
        <v>-57</v>
      </c>
      <c r="H223" s="84">
        <f>'Balance Sheet'!H39</f>
        <v>-57</v>
      </c>
      <c r="I223" s="84">
        <f>'Balance Sheet'!I39</f>
        <v>-57</v>
      </c>
      <c r="J223" s="84">
        <f>'Balance Sheet'!J39</f>
        <v>-57</v>
      </c>
      <c r="K223" s="84">
        <f>'Balance Sheet'!K39</f>
        <v>-57</v>
      </c>
      <c r="L223" s="84">
        <f>'Balance Sheet'!L39</f>
        <v>-57</v>
      </c>
    </row>
    <row r="224" spans="2:12" x14ac:dyDescent="0.3">
      <c r="B224" s="80" t="s">
        <v>239</v>
      </c>
      <c r="C224" s="81">
        <f>'Cash Flows'!C15</f>
        <v>1643</v>
      </c>
      <c r="D224" s="81">
        <f>'Cash Flows'!D15</f>
        <v>2057.3342465753431</v>
      </c>
      <c r="E224" s="81">
        <f>'Cash Flows'!E15</f>
        <v>3484.4438356164383</v>
      </c>
      <c r="F224" s="81">
        <f>'Cash Flows'!F15</f>
        <v>4314.9698630136982</v>
      </c>
      <c r="G224" s="81">
        <f>'Cash Flows'!G15</f>
        <v>6279.3041095890412</v>
      </c>
      <c r="H224" s="81">
        <f>'Cash Flows'!H15</f>
        <v>7262.67489585372</v>
      </c>
      <c r="I224" s="81">
        <f>'Cash Flows'!I15</f>
        <v>8604.4264863479366</v>
      </c>
      <c r="J224" s="81">
        <f>'Cash Flows'!J15</f>
        <v>9926.3431770866791</v>
      </c>
      <c r="K224" s="81">
        <f>'Cash Flows'!K15</f>
        <v>11235.223469330493</v>
      </c>
      <c r="L224" s="81">
        <f>'Cash Flows'!L15</f>
        <v>12624.554364258254</v>
      </c>
    </row>
    <row r="225" spans="2:12" x14ac:dyDescent="0.3">
      <c r="B225" s="80" t="s">
        <v>240</v>
      </c>
      <c r="C225" s="81">
        <f>'Cash Flows'!C37</f>
        <v>879.0008237232289</v>
      </c>
      <c r="D225" s="81">
        <f>'Cash Flows'!D37</f>
        <v>1050.1146856970995</v>
      </c>
      <c r="E225" s="81">
        <f>'Cash Flows'!E37</f>
        <v>2421.1582241056467</v>
      </c>
      <c r="F225" s="81">
        <f>'Cash Flows'!F37</f>
        <v>2492.8890634641489</v>
      </c>
      <c r="G225" s="81">
        <f>'Cash Flows'!G37</f>
        <v>4282.0065366744993</v>
      </c>
      <c r="H225" s="81">
        <f>'Cash Flows'!H37</f>
        <v>4727.2974001537186</v>
      </c>
      <c r="I225" s="81">
        <f>'Cash Flows'!I37</f>
        <v>5737.8423162884947</v>
      </c>
      <c r="J225" s="81">
        <f>'Cash Flows'!J37</f>
        <v>6786.8237685432723</v>
      </c>
      <c r="K225" s="81">
        <f>'Cash Flows'!K37</f>
        <v>7872.6282815693321</v>
      </c>
      <c r="L225" s="81">
        <f>'Cash Flows'!L37</f>
        <v>8971.7284730521806</v>
      </c>
    </row>
    <row r="226" spans="2:12" x14ac:dyDescent="0.3">
      <c r="B226" s="80" t="s">
        <v>241</v>
      </c>
      <c r="C226" s="81">
        <f>'Balance Sheet'!C13-'Balance Sheet'!C27-'Balance Sheet'!C24</f>
        <v>447</v>
      </c>
      <c r="D226" s="81">
        <f>'Balance Sheet'!D13-'Balance Sheet'!D27-'Balance Sheet'!D24</f>
        <v>1179</v>
      </c>
      <c r="E226" s="81">
        <f>'Balance Sheet'!E13-'Balance Sheet'!E27-'Balance Sheet'!E24</f>
        <v>173</v>
      </c>
      <c r="F226" s="81">
        <f>'Balance Sheet'!F13-'Balance Sheet'!F27-'Balance Sheet'!F24</f>
        <v>274</v>
      </c>
      <c r="G226" s="81">
        <f>'Balance Sheet'!G13-'Balance Sheet'!G27-'Balance Sheet'!G24</f>
        <v>1236</v>
      </c>
      <c r="H226" s="81">
        <f>'Balance Sheet'!H13-'Balance Sheet'!H27-'Balance Sheet'!H24</f>
        <v>-2451.1286969209514</v>
      </c>
      <c r="I226" s="81">
        <f>'Balance Sheet'!I13-'Balance Sheet'!I27-'Balance Sheet'!I24</f>
        <v>-6871.6808755712682</v>
      </c>
      <c r="J226" s="81">
        <f>'Balance Sheet'!J13-'Balance Sheet'!J27-'Balance Sheet'!J24</f>
        <v>-12048.333866177949</v>
      </c>
      <c r="K226" s="81">
        <f>'Balance Sheet'!K13-'Balance Sheet'!K27-'Balance Sheet'!K24</f>
        <v>-18005.455928411408</v>
      </c>
      <c r="L226" s="81">
        <f>'Balance Sheet'!L13-'Balance Sheet'!L27-'Balance Sheet'!L24</f>
        <v>-24724.63772778042</v>
      </c>
    </row>
    <row r="227" spans="2:12" x14ac:dyDescent="0.3">
      <c r="B227" s="80" t="s">
        <v>242</v>
      </c>
      <c r="C227" s="85" t="e">
        <f t="shared" ref="C227:L227" si="0">C226/C208</f>
        <v>#DIV/0!</v>
      </c>
      <c r="D227" s="85" t="e">
        <f t="shared" si="0"/>
        <v>#DIV/0!</v>
      </c>
      <c r="E227" s="85" t="e">
        <f t="shared" si="0"/>
        <v>#DIV/0!</v>
      </c>
      <c r="F227" s="85" t="e">
        <f t="shared" si="0"/>
        <v>#DIV/0!</v>
      </c>
      <c r="G227" s="85" t="e">
        <f t="shared" si="0"/>
        <v>#DIV/0!</v>
      </c>
      <c r="H227" s="85" t="e">
        <f t="shared" si="0"/>
        <v>#DIV/0!</v>
      </c>
      <c r="I227" s="85" t="e">
        <f t="shared" si="0"/>
        <v>#DIV/0!</v>
      </c>
      <c r="J227" s="85">
        <f t="shared" si="0"/>
        <v>-1.057292476907967</v>
      </c>
      <c r="K227" s="85">
        <f t="shared" si="0"/>
        <v>-1.3760100315186716</v>
      </c>
      <c r="L227" s="85">
        <f t="shared" si="0"/>
        <v>-1.6649863902436883</v>
      </c>
    </row>
    <row r="228" spans="2:12" x14ac:dyDescent="0.3">
      <c r="B228" s="80" t="s">
        <v>243</v>
      </c>
      <c r="C228" s="83">
        <f>'Income Statement'!E59</f>
        <v>15.571428571428571</v>
      </c>
      <c r="D228" s="83">
        <f>'Income Statement'!H59</f>
        <v>18.971631205673759</v>
      </c>
      <c r="E228" s="83">
        <f>'Income Statement'!K59</f>
        <v>19.302197802197803</v>
      </c>
      <c r="F228" s="83">
        <f>'Income Statement'!N59</f>
        <v>32.10791366906475</v>
      </c>
      <c r="G228" s="83">
        <f>'Income Statement'!Q59</f>
        <v>29.799019607843139</v>
      </c>
      <c r="H228" s="83">
        <f>'Income Statement'!T59</f>
        <v>28.962154734209022</v>
      </c>
      <c r="I228" s="83">
        <f>'Income Statement'!W59</f>
        <v>35.52267138584687</v>
      </c>
      <c r="J228" s="83">
        <f>'Income Statement'!Z59</f>
        <v>41.931701190116641</v>
      </c>
      <c r="K228" s="83">
        <f>'Income Statement'!AC59</f>
        <v>48.149652111387432</v>
      </c>
      <c r="L228" s="83">
        <f>'Income Statement'!AF59</f>
        <v>54.642414297329488</v>
      </c>
    </row>
    <row r="229" spans="2:12" x14ac:dyDescent="0.3">
      <c r="B229" s="80" t="s">
        <v>244</v>
      </c>
      <c r="C229" s="83">
        <f>'Revenue Segments'!E70/100000</f>
        <v>0.16</v>
      </c>
      <c r="D229" s="83">
        <f>'Revenue Segments'!H70/100000</f>
        <v>0.93</v>
      </c>
      <c r="E229" s="83">
        <f>'Revenue Segments'!K70/100000</f>
        <v>1.85</v>
      </c>
      <c r="F229" s="83">
        <f>'Revenue Segments'!N70/100000</f>
        <v>2.78</v>
      </c>
      <c r="G229" s="83">
        <f>'Revenue Segments'!Q70/100000</f>
        <v>3.7</v>
      </c>
      <c r="H229" s="83">
        <f>'Revenue Segments'!T70/100000</f>
        <v>6.29</v>
      </c>
      <c r="I229" s="83">
        <f>'Revenue Segments'!W70/100000</f>
        <v>9.1204999999999998</v>
      </c>
      <c r="J229" s="83">
        <f>'Revenue Segments'!Z70/100000</f>
        <v>12.039059999999999</v>
      </c>
      <c r="K229" s="83">
        <f>'Revenue Segments'!AC70/100000</f>
        <v>15.048825000000001</v>
      </c>
      <c r="L229" s="83">
        <f>'Revenue Segments'!AF70/100000</f>
        <v>18.058589999999999</v>
      </c>
    </row>
    <row r="230" spans="2:12" x14ac:dyDescent="0.3">
      <c r="B230" s="80" t="s">
        <v>245</v>
      </c>
      <c r="C230" s="82">
        <f>'Revenue Segments'!E71</f>
        <v>5.2270499836654686E-3</v>
      </c>
      <c r="D230" s="82">
        <f>'Revenue Segments'!H71</f>
        <v>2.5326797385620915E-2</v>
      </c>
      <c r="E230" s="82">
        <f>'Revenue Segments'!K71</f>
        <v>4.5917101017622239E-2</v>
      </c>
      <c r="F230" s="82">
        <f>'Revenue Segments'!N71</f>
        <v>6.0316771533955302E-2</v>
      </c>
      <c r="G230" s="82">
        <f>'Revenue Segments'!Q71</f>
        <v>6.5255731922398585E-2</v>
      </c>
      <c r="H230" s="82">
        <f>'Revenue Segments'!T71</f>
        <v>9.4302848575712139E-2</v>
      </c>
      <c r="I230" s="82">
        <f>'Revenue Segments'!W71</f>
        <v>0.11986422440927394</v>
      </c>
      <c r="J230" s="82">
        <f>'Revenue Segments'!Z71</f>
        <v>0.14198874949925006</v>
      </c>
      <c r="K230" s="82">
        <f>'Revenue Segments'!AC71</f>
        <v>0.16227263355847843</v>
      </c>
      <c r="L230" s="82">
        <f>'Revenue Segments'!AF71</f>
        <v>0.17994582975978457</v>
      </c>
    </row>
    <row r="231" spans="2:12" x14ac:dyDescent="0.3">
      <c r="B231" s="80" t="s">
        <v>246</v>
      </c>
      <c r="C231" s="81">
        <f>'Revenue Segments'!AH88</f>
        <v>0</v>
      </c>
      <c r="D231" s="81">
        <f>'Revenue Segments'!AI88</f>
        <v>0</v>
      </c>
      <c r="E231" s="81">
        <f>'Revenue Segments'!AJ88</f>
        <v>0</v>
      </c>
      <c r="F231" s="81">
        <f>'Revenue Segments'!AK88</f>
        <v>0</v>
      </c>
      <c r="G231" s="81">
        <f>'Revenue Segments'!AL88</f>
        <v>0</v>
      </c>
      <c r="H231" s="81">
        <f>'Revenue Segments'!AM88</f>
        <v>0</v>
      </c>
      <c r="I231" s="81">
        <f>'Revenue Segments'!AN88</f>
        <v>0</v>
      </c>
      <c r="J231" s="81">
        <f>'Revenue Segments'!AO88</f>
        <v>0</v>
      </c>
      <c r="K231" s="81">
        <f>'Revenue Segments'!AP88</f>
        <v>0</v>
      </c>
      <c r="L231" s="81">
        <f>'Revenue Segments'!AQ88</f>
        <v>0</v>
      </c>
    </row>
    <row r="232" spans="2:12" x14ac:dyDescent="0.3">
      <c r="B232" s="80" t="s">
        <v>247</v>
      </c>
      <c r="C232" s="81">
        <f>'Revenue Segments'!AH89</f>
        <v>0</v>
      </c>
      <c r="D232" s="81">
        <f>'Revenue Segments'!AI89</f>
        <v>0</v>
      </c>
      <c r="E232" s="81">
        <f>'Revenue Segments'!AJ89</f>
        <v>0</v>
      </c>
      <c r="F232" s="81">
        <f>'Revenue Segments'!AK89</f>
        <v>0</v>
      </c>
      <c r="G232" s="81">
        <f>'Revenue Segments'!AL89</f>
        <v>0</v>
      </c>
      <c r="H232" s="81">
        <f>'Revenue Segments'!AM89</f>
        <v>0</v>
      </c>
      <c r="I232" s="81">
        <f>'Revenue Segments'!AN89</f>
        <v>0</v>
      </c>
      <c r="J232" s="81">
        <f>'Revenue Segments'!AO89</f>
        <v>0</v>
      </c>
      <c r="K232" s="81">
        <f>'Revenue Segments'!AP89</f>
        <v>0</v>
      </c>
      <c r="L232" s="81">
        <f>'Revenue Segments'!AQ89</f>
        <v>0</v>
      </c>
    </row>
    <row r="233" spans="2:12" x14ac:dyDescent="0.3">
      <c r="B233" s="80" t="s">
        <v>248</v>
      </c>
      <c r="C233" s="82">
        <f>'Revenue Segments'!AH90</f>
        <v>0</v>
      </c>
      <c r="D233" s="82">
        <f>'Revenue Segments'!AI90</f>
        <v>0</v>
      </c>
      <c r="E233" s="82">
        <f>'Revenue Segments'!AJ90</f>
        <v>0</v>
      </c>
      <c r="F233" s="82">
        <f>'Revenue Segments'!AK90</f>
        <v>0</v>
      </c>
      <c r="G233" s="82">
        <f>'Revenue Segments'!AL90</f>
        <v>0</v>
      </c>
      <c r="H233" s="82">
        <f>'Revenue Segments'!AM90</f>
        <v>0</v>
      </c>
      <c r="I233" s="82">
        <f>'Revenue Segments'!AN90</f>
        <v>0</v>
      </c>
      <c r="J233" s="82">
        <f>'Revenue Segments'!AO90</f>
        <v>0</v>
      </c>
      <c r="K233" s="82">
        <f>'Revenue Segments'!AP90</f>
        <v>0</v>
      </c>
      <c r="L233" s="82">
        <f>'Revenue Segments'!AQ90</f>
        <v>0</v>
      </c>
    </row>
    <row r="234" spans="2:12" x14ac:dyDescent="0.3">
      <c r="B234" s="80" t="s">
        <v>249</v>
      </c>
      <c r="C234" s="82">
        <f>'Cost Structure &amp; Hedging'!C8</f>
        <v>0.74498581116829399</v>
      </c>
      <c r="D234" s="82">
        <f>'Cost Structure &amp; Hedging'!D8</f>
        <v>0.74001061490636133</v>
      </c>
      <c r="E234" s="82">
        <f>'Cost Structure &amp; Hedging'!E8</f>
        <v>0.72900931520644507</v>
      </c>
      <c r="F234" s="82">
        <f>'Cost Structure &amp; Hedging'!F8</f>
        <v>0.71898706242586408</v>
      </c>
      <c r="G234" s="82">
        <f>'Cost Structure &amp; Hedging'!G8</f>
        <v>0.71599323037867568</v>
      </c>
      <c r="H234" s="82">
        <f>'Cost Structure &amp; Hedging'!H8</f>
        <v>0.71199999999999997</v>
      </c>
      <c r="I234" s="82">
        <f>'Cost Structure &amp; Hedging'!I8</f>
        <v>0.70799999999999996</v>
      </c>
      <c r="J234" s="82">
        <f>'Cost Structure &amp; Hedging'!J8</f>
        <v>0.70499999999999996</v>
      </c>
      <c r="K234" s="82">
        <f>'Cost Structure &amp; Hedging'!K8</f>
        <v>0.70299999999999996</v>
      </c>
      <c r="L234" s="82">
        <f>'Cost Structure &amp; Hedging'!L8</f>
        <v>0.70100000000000007</v>
      </c>
    </row>
    <row r="235" spans="2:12" x14ac:dyDescent="0.3">
      <c r="B235" s="80" t="s">
        <v>250</v>
      </c>
      <c r="C235" s="82">
        <f>'Cost Structure &amp; Hedging'!C10</f>
        <v>5.8005867923620801E-2</v>
      </c>
      <c r="D235" s="82">
        <f>'Cost Structure &amp; Hedging'!D10</f>
        <v>5.5007961179771019E-2</v>
      </c>
      <c r="E235" s="82">
        <f>'Cost Structure &amp; Hedging'!E10</f>
        <v>5.5010070493454181E-2</v>
      </c>
      <c r="F235" s="82">
        <f>'Cost Structure &amp; Hedging'!F10</f>
        <v>5.5998455215028553E-2</v>
      </c>
      <c r="G235" s="82">
        <f>'Cost Structure &amp; Hedging'!G10</f>
        <v>5.4008885127988154E-2</v>
      </c>
      <c r="H235" s="82">
        <f>'Cost Structure &amp; Hedging'!H10</f>
        <v>5.3999999999999999E-2</v>
      </c>
      <c r="I235" s="82">
        <f>'Cost Structure &amp; Hedging'!I10</f>
        <v>5.3999999999999999E-2</v>
      </c>
      <c r="J235" s="82">
        <f>'Cost Structure &amp; Hedging'!J10</f>
        <v>5.3999999999999999E-2</v>
      </c>
      <c r="K235" s="82">
        <f>'Cost Structure &amp; Hedging'!K10</f>
        <v>5.3999999999999992E-2</v>
      </c>
      <c r="L235" s="82">
        <f>'Cost Structure &amp; Hedging'!L10</f>
        <v>5.3999999999999999E-2</v>
      </c>
    </row>
    <row r="236" spans="2:12" x14ac:dyDescent="0.3">
      <c r="B236" s="80" t="s">
        <v>251</v>
      </c>
      <c r="C236" s="82">
        <f>'Cost Structure &amp; Hedging'!C12</f>
        <v>0.10264056562935886</v>
      </c>
      <c r="D236" s="82">
        <f>'Cost Structure &amp; Hedging'!D12</f>
        <v>0.10357115778300098</v>
      </c>
      <c r="E236" s="82">
        <f>'Cost Structure &amp; Hedging'!E12</f>
        <v>0.10542547834843907</v>
      </c>
      <c r="F236" s="82">
        <f>'Cost Structure &amp; Hedging'!F12</f>
        <v>0.10190063722380072</v>
      </c>
      <c r="G236" s="82">
        <f>'Cost Structure &amp; Hedging'!G12</f>
        <v>0.10139623439813836</v>
      </c>
      <c r="H236" s="82">
        <f>'Cost Structure &amp; Hedging'!H12</f>
        <v>0.1</v>
      </c>
      <c r="I236" s="82">
        <f>'Cost Structure &amp; Hedging'!I12</f>
        <v>0.1</v>
      </c>
      <c r="J236" s="82">
        <f>'Cost Structure &amp; Hedging'!J12</f>
        <v>0.1</v>
      </c>
      <c r="K236" s="82">
        <f>'Cost Structure &amp; Hedging'!K12</f>
        <v>0.1</v>
      </c>
      <c r="L236" s="82">
        <f>'Cost Structure &amp; Hedging'!L12</f>
        <v>0.1</v>
      </c>
    </row>
    <row r="237" spans="2:12" x14ac:dyDescent="0.3">
      <c r="B237" s="80" t="s">
        <v>223</v>
      </c>
      <c r="C237" s="82">
        <f>'Cost Structure &amp; Hedging'!C16</f>
        <v>9.4367755278726373E-2</v>
      </c>
      <c r="D237" s="82">
        <f>'Cost Structure &amp; Hedging'!D16</f>
        <v>0.10141026613086664</v>
      </c>
      <c r="E237" s="82">
        <f>'Cost Structure &amp; Hedging'!E16</f>
        <v>0.11055513595166164</v>
      </c>
      <c r="F237" s="82">
        <f>'Cost Structure &amp; Hedging'!F16</f>
        <v>0.12311384513530661</v>
      </c>
      <c r="G237" s="82">
        <f>'Cost Structure &amp; Hedging'!G16</f>
        <v>0.12860165009519781</v>
      </c>
      <c r="H237" s="82">
        <f>'Cost Structure &amp; Hedging'!H16</f>
        <v>0.13400000000000012</v>
      </c>
      <c r="I237" s="82">
        <f>'Cost Structure &amp; Hedging'!I16</f>
        <v>0.13800000000000004</v>
      </c>
      <c r="J237" s="82">
        <f>'Cost Structure &amp; Hedging'!J16</f>
        <v>0.14099999999999993</v>
      </c>
      <c r="K237" s="82">
        <f>'Cost Structure &amp; Hedging'!K16</f>
        <v>0.14299999999999999</v>
      </c>
      <c r="L237" s="82">
        <f>'Cost Structure &amp; Hedging'!L16</f>
        <v>0.14499999999999991</v>
      </c>
    </row>
    <row r="238" spans="2:12" x14ac:dyDescent="0.3">
      <c r="B238" s="80" t="s">
        <v>252</v>
      </c>
      <c r="C238" s="84">
        <f>'Cost Structure &amp; Hedging'!C22</f>
        <v>16465.838509316767</v>
      </c>
      <c r="D238" s="84">
        <f>'Cost Structure &amp; Hedging'!D22</f>
        <v>17850.078084331079</v>
      </c>
      <c r="E238" s="84">
        <f>'Cost Structure &amp; Hedging'!E22</f>
        <v>20536.60863343667</v>
      </c>
      <c r="F238" s="84">
        <f>'Cost Structure &amp; Hedging'!F22</f>
        <v>21473.44013490725</v>
      </c>
      <c r="G238" s="84">
        <f>'Cost Structure &amp; Hedging'!G22</f>
        <v>22796.739684156906</v>
      </c>
      <c r="H238" s="84">
        <f>'Cost Structure &amp; Hedging'!H22</f>
        <v>24323.693777848079</v>
      </c>
      <c r="I238" s="84">
        <f>'Cost Structure &amp; Hedging'!I22</f>
        <v>25691.842029397179</v>
      </c>
      <c r="J238" s="84">
        <f>'Cost Structure &amp; Hedging'!J22</f>
        <v>26873.518258692573</v>
      </c>
      <c r="K238" s="84">
        <f>'Cost Structure &amp; Hedging'!K22</f>
        <v>27977.746547613075</v>
      </c>
      <c r="L238" s="84">
        <f>'Cost Structure &amp; Hedging'!L22</f>
        <v>29108.710897445402</v>
      </c>
    </row>
    <row r="239" spans="2:12" x14ac:dyDescent="0.3">
      <c r="B239" s="80" t="s">
        <v>253</v>
      </c>
      <c r="C239" s="84">
        <f>'Cost Structure &amp; Hedging'!C25</f>
        <v>6093.1677018633536</v>
      </c>
      <c r="D239" s="84">
        <f>'Cost Structure &amp; Hedging'!D25</f>
        <v>6962.5195210827696</v>
      </c>
      <c r="E239" s="84">
        <f>'Cost Structure &amp; Hedging'!E25</f>
        <v>8378.2494633913666</v>
      </c>
      <c r="F239" s="84">
        <f>'Cost Structure &amp; Hedging'!F25</f>
        <v>9407.6728499156834</v>
      </c>
      <c r="G239" s="84">
        <f>'Cost Structure &amp; Hedging'!G25</f>
        <v>10322.635421973171</v>
      </c>
      <c r="H239" s="84">
        <f>'Cost Structure &amp; Hedging'!H25</f>
        <v>11317.27418830432</v>
      </c>
      <c r="I239" s="84">
        <f>'Cost Structure &amp; Hedging'!I25</f>
        <v>12142.034931701408</v>
      </c>
      <c r="J239" s="84">
        <f>'Cost Structure &amp; Hedging'!J25</f>
        <v>12844.630760934409</v>
      </c>
      <c r="K239" s="84">
        <f>'Cost Structure &amp; Hedging'!K25</f>
        <v>13470.766856258144</v>
      </c>
      <c r="L239" s="84">
        <f>'Cost Structure &amp; Hedging'!L25</f>
        <v>14116.264482038738</v>
      </c>
    </row>
    <row r="240" spans="2:12" x14ac:dyDescent="0.3">
      <c r="B240" s="80" t="s">
        <v>254</v>
      </c>
      <c r="C240" s="81">
        <f>'Cost Structure &amp; Hedging'!C97</f>
        <v>610</v>
      </c>
      <c r="D240" s="81">
        <f>'Cost Structure &amp; Hedging'!D97</f>
        <v>750</v>
      </c>
      <c r="E240" s="81">
        <f>'Cost Structure &amp; Hedging'!E97</f>
        <v>940</v>
      </c>
      <c r="F240" s="81">
        <f>'Cost Structure &amp; Hedging'!F97</f>
        <v>1140</v>
      </c>
      <c r="G240" s="81">
        <f>'Cost Structure &amp; Hedging'!G97</f>
        <v>1455</v>
      </c>
      <c r="H240" s="81">
        <f>'Cost Structure &amp; Hedging'!H97</f>
        <v>1820.8624259100002</v>
      </c>
      <c r="I240" s="81">
        <f>'Cost Structure &amp; Hedging'!I97</f>
        <v>2168.5907198340665</v>
      </c>
      <c r="J240" s="81">
        <f>'Cost Structure &amp; Hedging'!J97</f>
        <v>2505.3847680622539</v>
      </c>
      <c r="K240" s="81">
        <f>'Cost Structure &amp; Hedging'!K97</f>
        <v>2836.665842836554</v>
      </c>
      <c r="L240" s="81">
        <f>'Cost Structure &amp; Hedging'!L97</f>
        <v>3174.7749185402358</v>
      </c>
    </row>
    <row r="241" spans="2:12" x14ac:dyDescent="0.3">
      <c r="B241" s="80" t="s">
        <v>255</v>
      </c>
      <c r="C241" s="82">
        <f>'Cost Structure &amp; Hedging'!C98</f>
        <v>2.9339618103987303E-2</v>
      </c>
      <c r="D241" s="82">
        <f>'Cost Structure &amp; Hedging'!D98</f>
        <v>2.8432784896504661E-2</v>
      </c>
      <c r="E241" s="82">
        <f>'Cost Structure &amp; Hedging'!E98</f>
        <v>2.9582074521651562E-2</v>
      </c>
      <c r="F241" s="82">
        <f>'Cost Structure &amp; Hedging'!F98</f>
        <v>3.1447408347355932E-2</v>
      </c>
      <c r="G241" s="82">
        <f>'Cost Structure &amp; Hedging'!G98</f>
        <v>3.078062195895917E-2</v>
      </c>
      <c r="H241" s="82">
        <f>'Cost Structure &amp; Hedging'!H98</f>
        <v>3.1000000000000003E-2</v>
      </c>
      <c r="I241" s="82">
        <f>'Cost Structure &amp; Hedging'!I98</f>
        <v>3.1000000000000007E-2</v>
      </c>
      <c r="J241" s="82">
        <f>'Cost Structure &amp; Hedging'!J98</f>
        <v>3.1000000000000003E-2</v>
      </c>
      <c r="K241" s="82">
        <f>'Cost Structure &amp; Hedging'!K98</f>
        <v>3.1000000000000003E-2</v>
      </c>
      <c r="L241" s="82">
        <f>'Cost Structure &amp; Hedging'!L98</f>
        <v>3.1E-2</v>
      </c>
    </row>
    <row r="242" spans="2:12" x14ac:dyDescent="0.3">
      <c r="B242" s="80" t="s">
        <v>256</v>
      </c>
      <c r="C242" s="84">
        <f>'Revenue Segments'!AH87</f>
        <v>0</v>
      </c>
      <c r="D242" s="84">
        <f>'Revenue Segments'!AI87</f>
        <v>0</v>
      </c>
      <c r="E242" s="84">
        <f>'Revenue Segments'!AJ87</f>
        <v>0</v>
      </c>
      <c r="F242" s="84">
        <f>'Revenue Segments'!AK87</f>
        <v>0</v>
      </c>
      <c r="G242" s="84">
        <f>'Revenue Segments'!AL87</f>
        <v>0</v>
      </c>
      <c r="H242" s="84">
        <f>'Revenue Segments'!AM87</f>
        <v>0</v>
      </c>
      <c r="I242" s="84">
        <f>'Revenue Segments'!AN87</f>
        <v>0</v>
      </c>
      <c r="J242" s="84">
        <f>'Revenue Segments'!AO87</f>
        <v>0</v>
      </c>
      <c r="K242" s="84">
        <f>'Revenue Segments'!AP87</f>
        <v>0</v>
      </c>
      <c r="L242" s="84">
        <f>'Revenue Segments'!AQ87</f>
        <v>0</v>
      </c>
    </row>
    <row r="245" spans="2:12" x14ac:dyDescent="0.3">
      <c r="B245" s="78" t="s">
        <v>257</v>
      </c>
      <c r="C245" s="79" t="s">
        <v>138</v>
      </c>
      <c r="D245" s="79" t="s">
        <v>139</v>
      </c>
      <c r="E245" s="79" t="s">
        <v>224</v>
      </c>
      <c r="F245" s="79" t="s">
        <v>228</v>
      </c>
    </row>
    <row r="246" spans="2:12" x14ac:dyDescent="0.3">
      <c r="B246" s="80" t="s">
        <v>258</v>
      </c>
      <c r="C246" s="86">
        <f>'Peer Comps'!C15</f>
        <v>26.102337964888925</v>
      </c>
      <c r="D246" s="86">
        <f>'Peer Comps'!D15</f>
        <v>32.745445292620865</v>
      </c>
      <c r="E246" s="87">
        <f>'Peer Comps'!F15</f>
        <v>0.20464142205271402</v>
      </c>
      <c r="F246" s="87">
        <f>'Peer Comps'!G15</f>
        <v>0.21215720146836536</v>
      </c>
    </row>
    <row r="247" spans="2:12" x14ac:dyDescent="0.3">
      <c r="B247" s="80" t="s">
        <v>259</v>
      </c>
      <c r="C247" s="86">
        <f>'Peer Comps'!C16</f>
        <v>15.877687391051714</v>
      </c>
      <c r="D247" s="86">
        <f>'Peer Comps'!D16</f>
        <v>22.171981776765374</v>
      </c>
      <c r="E247" s="87">
        <f>'Peer Comps'!F16</f>
        <v>0.14699978646166986</v>
      </c>
      <c r="F247" s="87">
        <f>'Peer Comps'!G16</f>
        <v>0.23361419068736142</v>
      </c>
    </row>
    <row r="248" spans="2:12" x14ac:dyDescent="0.3">
      <c r="B248" s="80" t="s">
        <v>260</v>
      </c>
      <c r="C248" s="86">
        <f>'Peer Comps'!C17</f>
        <v>30.710307692307694</v>
      </c>
      <c r="D248" s="86">
        <f>'Peer Comps'!D17</f>
        <v>38.042092499566948</v>
      </c>
      <c r="E248" s="87">
        <f>'Peer Comps'!F17</f>
        <v>0.26002080166413311</v>
      </c>
      <c r="F248" s="87">
        <f>'Peer Comps'!G17</f>
        <v>0.18780091086532205</v>
      </c>
    </row>
    <row r="249" spans="2:12" x14ac:dyDescent="0.3">
      <c r="B249" s="80" t="s">
        <v>261</v>
      </c>
      <c r="C249" s="86">
        <f>'Peer Comps'!C20</f>
        <v>34.083678443239215</v>
      </c>
      <c r="D249" s="86">
        <f>'Peer Comps'!D20</f>
        <v>57.091943580520194</v>
      </c>
      <c r="E249" s="87">
        <f>'Peer Comps'!F20</f>
        <v>0.12860165009519781</v>
      </c>
      <c r="F249" s="87">
        <f>'Peer Comps'!G20</f>
        <v>0.32167334223408989</v>
      </c>
    </row>
    <row r="252" spans="2:12" x14ac:dyDescent="0.3">
      <c r="B252" s="78" t="s">
        <v>262</v>
      </c>
      <c r="C252" s="79" t="s">
        <v>212</v>
      </c>
      <c r="D252" s="79" t="s">
        <v>213</v>
      </c>
      <c r="E252" s="79" t="s">
        <v>214</v>
      </c>
      <c r="F252" s="79" t="s">
        <v>215</v>
      </c>
      <c r="G252" s="79" t="s">
        <v>216</v>
      </c>
    </row>
    <row r="253" spans="2:12" x14ac:dyDescent="0.3">
      <c r="B253" s="80" t="s">
        <v>263</v>
      </c>
      <c r="C253" s="86">
        <f>'Income Statement'!E62</f>
        <v>35.140513296089381</v>
      </c>
      <c r="D253" s="86">
        <f>'Income Statement'!H62</f>
        <v>33.78467205093834</v>
      </c>
      <c r="E253" s="86">
        <f>'Income Statement'!K62</f>
        <v>46.801317819404417</v>
      </c>
      <c r="F253" s="86">
        <f>'Income Statement'!N62</f>
        <v>42.820934535104364</v>
      </c>
      <c r="G253" s="86">
        <f>'Income Statement'!Q62</f>
        <v>50.874009131156605</v>
      </c>
    </row>
    <row r="254" spans="2:12" x14ac:dyDescent="0.3">
      <c r="B254" s="80" t="s">
        <v>264</v>
      </c>
      <c r="C254" s="86">
        <f>'Income Statement'!E63</f>
        <v>16.571742813455653</v>
      </c>
      <c r="D254" s="86">
        <f>'Income Statement'!H63</f>
        <v>19.540086242990654</v>
      </c>
      <c r="E254" s="86">
        <f>'Income Statement'!K63</f>
        <v>27.997251266723598</v>
      </c>
      <c r="F254" s="86">
        <f>'Income Statement'!N63</f>
        <v>25.536670961236833</v>
      </c>
      <c r="G254" s="86">
        <f>'Income Statement'!Q63</f>
        <v>30.612217305477873</v>
      </c>
    </row>
    <row r="255" spans="2:12" x14ac:dyDescent="0.3">
      <c r="B255" s="80" t="s">
        <v>265</v>
      </c>
      <c r="C255" s="86">
        <f>'Income Statement'!E64</f>
        <v>6.5209951067800125</v>
      </c>
      <c r="D255" s="86">
        <f>'Income Statement'!H64</f>
        <v>8.3344462136243394</v>
      </c>
      <c r="E255" s="86">
        <f>'Income Statement'!K64</f>
        <v>12.602217240041385</v>
      </c>
      <c r="F255" s="86">
        <f>'Income Statement'!N64</f>
        <v>11.399592089310971</v>
      </c>
      <c r="G255" s="86">
        <f>'Income Statement'!Q64</f>
        <v>16.364812550066755</v>
      </c>
    </row>
    <row r="258" spans="2:6" x14ac:dyDescent="0.3">
      <c r="B258" s="78" t="s">
        <v>266</v>
      </c>
      <c r="C258" s="79" t="s">
        <v>267</v>
      </c>
      <c r="D258" s="79" t="s">
        <v>268</v>
      </c>
      <c r="E258" s="79" t="s">
        <v>269</v>
      </c>
      <c r="F258" s="79" t="s">
        <v>270</v>
      </c>
    </row>
    <row r="259" spans="2:6" x14ac:dyDescent="0.3">
      <c r="B259" s="80" t="str">
        <f>'SOTP &amp; Football Field'!B64</f>
        <v>DCF — FCFF</v>
      </c>
      <c r="C259" s="88">
        <f>'SOTP &amp; Football Field'!C64</f>
        <v>1788.5054629254382</v>
      </c>
      <c r="D259" s="88">
        <f>'SOTP &amp; Football Field'!D64</f>
        <v>665.49040480946542</v>
      </c>
      <c r="E259" s="88">
        <f>'SOTP &amp; Football Field'!E64</f>
        <v>4343</v>
      </c>
      <c r="F259" s="88">
        <f>'SOTP &amp; Football Field'!F64</f>
        <v>2615.7926478206796</v>
      </c>
    </row>
    <row r="260" spans="2:6" x14ac:dyDescent="0.3">
      <c r="B260" s="80" t="str">
        <f>'SOTP &amp; Football Field'!B65</f>
        <v>DCF — FCFE</v>
      </c>
      <c r="C260" s="88">
        <f>'SOTP &amp; Football Field'!C65</f>
        <v>1818.923558156996</v>
      </c>
      <c r="D260" s="88">
        <f>'SOTP &amp; Football Field'!D65</f>
        <v>444.62575866059888</v>
      </c>
      <c r="E260" s="88">
        <f>'SOTP &amp; Football Field'!E65</f>
        <v>4343</v>
      </c>
      <c r="F260" s="88">
        <f>'SOTP &amp; Football Field'!F65</f>
        <v>2615.7926478206796</v>
      </c>
    </row>
    <row r="261" spans="2:6" x14ac:dyDescent="0.3">
      <c r="B261" s="80" t="str">
        <f>'SOTP &amp; Football Field'!B66</f>
        <v>EV/EBITDA</v>
      </c>
      <c r="C261" s="88">
        <f>'SOTP &amp; Football Field'!C66</f>
        <v>3082.524289621269</v>
      </c>
      <c r="D261" s="88">
        <f>'SOTP &amp; Football Field'!D66</f>
        <v>1269.2747074911108</v>
      </c>
      <c r="E261" s="88">
        <f>'SOTP &amp; Football Field'!E66</f>
        <v>4343</v>
      </c>
      <c r="F261" s="88">
        <f>'SOTP &amp; Football Field'!F66</f>
        <v>2615.7926478206796</v>
      </c>
    </row>
    <row r="262" spans="2:6" x14ac:dyDescent="0.3">
      <c r="B262" s="80" t="str">
        <f>'SOTP &amp; Football Field'!B67</f>
        <v>P/E</v>
      </c>
      <c r="C262" s="88">
        <f>'SOTP &amp; Football Field'!C67</f>
        <v>2376.354164193921</v>
      </c>
      <c r="D262" s="88">
        <f>'SOTP &amp; Football Field'!D67</f>
        <v>978.49877349161443</v>
      </c>
      <c r="E262" s="88">
        <f>'SOTP &amp; Football Field'!E67</f>
        <v>4343</v>
      </c>
      <c r="F262" s="88">
        <f>'SOTP &amp; Football Field'!F67</f>
        <v>2615.7926478206796</v>
      </c>
    </row>
    <row r="263" spans="2:6" x14ac:dyDescent="0.3">
      <c r="B263" s="80" t="str">
        <f>'SOTP &amp; Football Field'!B68</f>
        <v>Precedent</v>
      </c>
      <c r="C263" s="88">
        <f>'SOTP &amp; Football Field'!C68</f>
        <v>2099.520021152573</v>
      </c>
      <c r="D263" s="88">
        <f>'SOTP &amp; Football Field'!D68</f>
        <v>87.083894040689756</v>
      </c>
      <c r="E263" s="88">
        <f>'SOTP &amp; Football Field'!E68</f>
        <v>4343</v>
      </c>
      <c r="F263" s="88">
        <f>'SOTP &amp; Football Field'!F68</f>
        <v>2615.7926478206796</v>
      </c>
    </row>
    <row r="264" spans="2:6" x14ac:dyDescent="0.3">
      <c r="B264" s="80" t="str">
        <f>'SOTP &amp; Football Field'!B69</f>
        <v>Adjusted NAV</v>
      </c>
      <c r="C264" s="88">
        <f>'SOTP &amp; Football Field'!C69</f>
        <v>324.93154323865548</v>
      </c>
      <c r="D264" s="88">
        <f>'SOTP &amp; Football Field'!D69</f>
        <v>90.258762010737598</v>
      </c>
      <c r="E264" s="88">
        <f>'SOTP &amp; Football Field'!E69</f>
        <v>4343</v>
      </c>
      <c r="F264" s="88">
        <f>'SOTP &amp; Football Field'!F69</f>
        <v>2615.7926478206796</v>
      </c>
    </row>
    <row r="265" spans="2:6" x14ac:dyDescent="0.3">
      <c r="B265" s="80" t="str">
        <f>'SOTP &amp; Football Field'!B70</f>
        <v>DDM</v>
      </c>
      <c r="C265" s="88">
        <f>'SOTP &amp; Football Field'!C70</f>
        <v>206.45731071019054</v>
      </c>
      <c r="D265" s="88">
        <f>'SOTP &amp; Football Field'!D70</f>
        <v>72.867286133008406</v>
      </c>
      <c r="E265" s="88">
        <f>'SOTP &amp; Football Field'!E70</f>
        <v>4343</v>
      </c>
      <c r="F265" s="88">
        <f>'SOTP &amp; Football Field'!F70</f>
        <v>2615.7926478206796</v>
      </c>
    </row>
    <row r="268" spans="2:6" x14ac:dyDescent="0.3">
      <c r="B268" s="78" t="s">
        <v>271</v>
      </c>
      <c r="C268" s="79" t="s">
        <v>272</v>
      </c>
    </row>
    <row r="269" spans="2:6" x14ac:dyDescent="0.3">
      <c r="B269" s="80" t="str">
        <f>'SOTP &amp; Football Field'!B73</f>
        <v>Core automotive</v>
      </c>
      <c r="C269" s="88">
        <f>'SOTP &amp; Football Field'!C73</f>
        <v>1774.9018489518817</v>
      </c>
    </row>
    <row r="270" spans="2:6" x14ac:dyDescent="0.3">
      <c r="B270" s="80" t="str">
        <f>'SOTP &amp; Football Field'!B74</f>
        <v>TVS Credit (85.15%)</v>
      </c>
      <c r="C270" s="88">
        <f>'SOTP &amp; Football Field'!C74</f>
        <v>226.87519365896179</v>
      </c>
    </row>
    <row r="271" spans="2:6" x14ac:dyDescent="0.3">
      <c r="B271" s="80" t="str">
        <f>'SOTP &amp; Football Field'!B75</f>
        <v>Other subsidiaries</v>
      </c>
      <c r="C271" s="88">
        <f>'SOTP &amp; Football Field'!C75</f>
        <v>77.880472418735934</v>
      </c>
    </row>
    <row r="274" spans="2:4" x14ac:dyDescent="0.3">
      <c r="B274" s="78" t="s">
        <v>273</v>
      </c>
      <c r="C274" s="79" t="s">
        <v>272</v>
      </c>
    </row>
    <row r="275" spans="2:4" x14ac:dyDescent="0.3">
      <c r="B275" s="80" t="s">
        <v>274</v>
      </c>
      <c r="C275" s="88">
        <f>'Sensitivity &amp; Scenarios'!D48</f>
        <v>1336.9129232190116</v>
      </c>
    </row>
    <row r="276" spans="2:4" x14ac:dyDescent="0.3">
      <c r="B276" s="80" t="s">
        <v>79</v>
      </c>
      <c r="C276" s="88">
        <f>'Sensitivity &amp; Scenarios'!E48</f>
        <v>2193.9285914448819</v>
      </c>
    </row>
    <row r="277" spans="2:4" x14ac:dyDescent="0.3">
      <c r="B277" s="80" t="s">
        <v>275</v>
      </c>
      <c r="C277" s="88">
        <f>'Sensitivity &amp; Scenarios'!F48</f>
        <v>3337.8820137867147</v>
      </c>
    </row>
    <row r="278" spans="2:4" x14ac:dyDescent="0.3">
      <c r="B278" s="80" t="s">
        <v>269</v>
      </c>
      <c r="C278" s="88">
        <f>'Debt &amp; Cost of Capital'!C48</f>
        <v>4343</v>
      </c>
    </row>
    <row r="281" spans="2:4" x14ac:dyDescent="0.3">
      <c r="B281" s="78" t="s">
        <v>276</v>
      </c>
      <c r="C281" s="79" t="s">
        <v>277</v>
      </c>
      <c r="D281" s="79" t="s">
        <v>278</v>
      </c>
    </row>
    <row r="282" spans="2:4" x14ac:dyDescent="0.3">
      <c r="C282" s="88">
        <f>'Monte Carlo'!L31</f>
        <v>1674.0675332040739</v>
      </c>
      <c r="D282" s="89">
        <f>'Monte Carlo'!M31</f>
        <v>78</v>
      </c>
    </row>
    <row r="283" spans="2:4" x14ac:dyDescent="0.3">
      <c r="C283" s="88">
        <f>'Monte Carlo'!L32</f>
        <v>1745.3003176368152</v>
      </c>
      <c r="D283" s="89">
        <f>'Monte Carlo'!M32</f>
        <v>36</v>
      </c>
    </row>
    <row r="284" spans="2:4" x14ac:dyDescent="0.3">
      <c r="C284" s="88">
        <f>'Monte Carlo'!L33</f>
        <v>1816.5331020695562</v>
      </c>
      <c r="D284" s="89">
        <f>'Monte Carlo'!M33</f>
        <v>55</v>
      </c>
    </row>
    <row r="285" spans="2:4" x14ac:dyDescent="0.3">
      <c r="C285" s="88">
        <f>'Monte Carlo'!L34</f>
        <v>1887.7658865022972</v>
      </c>
      <c r="D285" s="89">
        <f>'Monte Carlo'!M34</f>
        <v>47</v>
      </c>
    </row>
    <row r="286" spans="2:4" x14ac:dyDescent="0.3">
      <c r="C286" s="88">
        <f>'Monte Carlo'!L35</f>
        <v>1958.9986709350385</v>
      </c>
      <c r="D286" s="89">
        <f>'Monte Carlo'!M35</f>
        <v>62</v>
      </c>
    </row>
    <row r="287" spans="2:4" x14ac:dyDescent="0.3">
      <c r="C287" s="88">
        <f>'Monte Carlo'!L36</f>
        <v>2030.2314553677795</v>
      </c>
      <c r="D287" s="89">
        <f>'Monte Carlo'!M36</f>
        <v>64</v>
      </c>
    </row>
    <row r="288" spans="2:4" x14ac:dyDescent="0.3">
      <c r="C288" s="88">
        <f>'Monte Carlo'!L37</f>
        <v>2101.4642398005208</v>
      </c>
      <c r="D288" s="89">
        <f>'Monte Carlo'!M37</f>
        <v>77</v>
      </c>
    </row>
    <row r="289" spans="2:7" x14ac:dyDescent="0.3">
      <c r="C289" s="88">
        <f>'Monte Carlo'!L38</f>
        <v>2172.6970242332618</v>
      </c>
      <c r="D289" s="89">
        <f>'Monte Carlo'!M38</f>
        <v>66</v>
      </c>
    </row>
    <row r="290" spans="2:7" x14ac:dyDescent="0.3">
      <c r="C290" s="88">
        <f>'Monte Carlo'!L39</f>
        <v>2243.9298086660028</v>
      </c>
      <c r="D290" s="89">
        <f>'Monte Carlo'!M39</f>
        <v>75</v>
      </c>
    </row>
    <row r="291" spans="2:7" x14ac:dyDescent="0.3">
      <c r="C291" s="88">
        <f>'Monte Carlo'!L40</f>
        <v>2315.1625930987439</v>
      </c>
      <c r="D291" s="89">
        <f>'Monte Carlo'!M40</f>
        <v>65</v>
      </c>
    </row>
    <row r="292" spans="2:7" x14ac:dyDescent="0.3">
      <c r="C292" s="88">
        <f>'Monte Carlo'!L41</f>
        <v>2386.3953775314849</v>
      </c>
      <c r="D292" s="89">
        <f>'Monte Carlo'!M41</f>
        <v>56</v>
      </c>
    </row>
    <row r="293" spans="2:7" x14ac:dyDescent="0.3">
      <c r="C293" s="88">
        <f>'Monte Carlo'!L42</f>
        <v>2457.6281619642264</v>
      </c>
      <c r="D293" s="89">
        <f>'Monte Carlo'!M42</f>
        <v>54</v>
      </c>
    </row>
    <row r="294" spans="2:7" x14ac:dyDescent="0.3">
      <c r="C294" s="88">
        <f>'Monte Carlo'!L43</f>
        <v>2528.8609463969674</v>
      </c>
      <c r="D294" s="89">
        <f>'Monte Carlo'!M43</f>
        <v>46</v>
      </c>
    </row>
    <row r="295" spans="2:7" x14ac:dyDescent="0.3">
      <c r="C295" s="88">
        <f>'Monte Carlo'!L44</f>
        <v>2600.0937308297084</v>
      </c>
      <c r="D295" s="89">
        <f>'Monte Carlo'!M44</f>
        <v>32</v>
      </c>
    </row>
    <row r="296" spans="2:7" x14ac:dyDescent="0.3">
      <c r="C296" s="88">
        <f>'Monte Carlo'!L45</f>
        <v>2671.3265152624499</v>
      </c>
      <c r="D296" s="89">
        <f>'Monte Carlo'!M45</f>
        <v>40</v>
      </c>
    </row>
    <row r="297" spans="2:7" x14ac:dyDescent="0.3">
      <c r="C297" s="88">
        <f>'Monte Carlo'!L46</f>
        <v>2742.5592996951909</v>
      </c>
      <c r="D297" s="89">
        <f>'Monte Carlo'!M46</f>
        <v>24</v>
      </c>
    </row>
    <row r="298" spans="2:7" x14ac:dyDescent="0.3">
      <c r="C298" s="88">
        <f>'Monte Carlo'!L47</f>
        <v>2813.792084127932</v>
      </c>
      <c r="D298" s="89">
        <f>'Monte Carlo'!M47</f>
        <v>29</v>
      </c>
    </row>
    <row r="299" spans="2:7" x14ac:dyDescent="0.3">
      <c r="C299" s="88">
        <f>'Monte Carlo'!L48</f>
        <v>2885.024868560673</v>
      </c>
      <c r="D299" s="89">
        <f>'Monte Carlo'!M48</f>
        <v>23</v>
      </c>
    </row>
    <row r="300" spans="2:7" x14ac:dyDescent="0.3">
      <c r="C300" s="88">
        <f>'Monte Carlo'!L49</f>
        <v>2956.257652993414</v>
      </c>
      <c r="D300" s="89">
        <f>'Monte Carlo'!M49</f>
        <v>11</v>
      </c>
    </row>
    <row r="301" spans="2:7" x14ac:dyDescent="0.3">
      <c r="C301" s="88">
        <f>'Monte Carlo'!L50</f>
        <v>3027.490437426155</v>
      </c>
      <c r="D301" s="89">
        <f>'Monte Carlo'!M50</f>
        <v>10</v>
      </c>
    </row>
    <row r="304" spans="2:7" x14ac:dyDescent="0.3">
      <c r="B304" s="78" t="s">
        <v>279</v>
      </c>
      <c r="C304" s="79" t="s">
        <v>212</v>
      </c>
      <c r="D304" s="79" t="s">
        <v>213</v>
      </c>
      <c r="E304" s="79" t="s">
        <v>214</v>
      </c>
      <c r="F304" s="79" t="s">
        <v>215</v>
      </c>
      <c r="G304" s="79" t="s">
        <v>216</v>
      </c>
    </row>
    <row r="305" spans="2:7" x14ac:dyDescent="0.3">
      <c r="B305" s="80" t="s">
        <v>280</v>
      </c>
      <c r="C305" s="90">
        <f>'Credit &amp; Quality Analysis'!C25</f>
        <v>5.1803765697327018</v>
      </c>
      <c r="D305" s="90">
        <f>'Credit &amp; Quality Analysis'!D25</f>
        <v>6.6720158886364844</v>
      </c>
      <c r="E305" s="90">
        <f>'Credit &amp; Quality Analysis'!E25</f>
        <v>10.093511537906132</v>
      </c>
      <c r="F305" s="90">
        <f>'Credit &amp; Quality Analysis'!F25</f>
        <v>9.6836807868879902</v>
      </c>
      <c r="G305" s="90">
        <f>'Credit &amp; Quality Analysis'!G25</f>
        <v>10.439768870840373</v>
      </c>
    </row>
    <row r="306" spans="2:7" x14ac:dyDescent="0.3">
      <c r="B306" s="80" t="s">
        <v>281</v>
      </c>
      <c r="C306" s="89">
        <f>'Credit &amp; Quality Analysis'!C41</f>
        <v>0</v>
      </c>
      <c r="D306" s="89">
        <f>'Credit &amp; Quality Analysis'!D41</f>
        <v>8</v>
      </c>
      <c r="E306" s="89">
        <f>'Credit &amp; Quality Analysis'!E41</f>
        <v>8</v>
      </c>
      <c r="F306" s="89">
        <f>'Credit &amp; Quality Analysis'!F41</f>
        <v>7</v>
      </c>
      <c r="G306" s="89">
        <f>'Credit &amp; Quality Analysis'!G41</f>
        <v>8</v>
      </c>
    </row>
    <row r="307" spans="2:7" x14ac:dyDescent="0.3">
      <c r="B307" s="80" t="s">
        <v>282</v>
      </c>
      <c r="C307" s="87">
        <f>'Credit &amp; Quality Analysis'!C72</f>
        <v>-5.0663753990925896E-2</v>
      </c>
      <c r="D307" s="87">
        <f>'Credit &amp; Quality Analysis'!D72</f>
        <v>-3.8694728712106587E-2</v>
      </c>
      <c r="E307" s="87">
        <f>'Credit &amp; Quality Analysis'!E72</f>
        <v>-0.10214606554649809</v>
      </c>
      <c r="F307" s="87">
        <f>'Credit &amp; Quality Analysis'!F72</f>
        <v>-9.2022325271429756E-2</v>
      </c>
      <c r="G307" s="87">
        <f>'Credit &amp; Quality Analysis'!G72</f>
        <v>-9.226677131706891E-2</v>
      </c>
    </row>
  </sheetData>
  <mergeCells count="1">
    <mergeCell ref="B1:AF1"/>
  </mergeCells>
  <printOptions horizontalCentered="1"/>
  <pageMargins left="0.75" right="0.75" top="1" bottom="1" header="0.511811023622047" footer="0.511811023622047"/>
  <pageSetup orientation="landscape" horizontalDpi="300" verticalDpi="30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13A44"/>
  </sheetPr>
  <dimension ref="B1:I48"/>
  <sheetViews>
    <sheetView showGridLines="0" zoomScale="90" zoomScaleNormal="90" workbookViewId="0">
      <pane xSplit="2" ySplit="6" topLeftCell="C23" activePane="bottomRight" state="frozen"/>
      <selection pane="topRight" activeCell="C1" sqref="C1"/>
      <selection pane="bottomLeft" activeCell="A7" sqref="A7"/>
      <selection pane="bottomRight" activeCell="L15" sqref="L15"/>
    </sheetView>
  </sheetViews>
  <sheetFormatPr defaultColWidth="8.6640625" defaultRowHeight="14.4" x14ac:dyDescent="0.3"/>
  <cols>
    <col min="1" max="1" width="2" customWidth="1"/>
    <col min="2" max="2" width="56" customWidth="1"/>
    <col min="3" max="7" width="12" customWidth="1"/>
    <col min="8" max="9" width="2" customWidth="1"/>
  </cols>
  <sheetData>
    <row r="1" spans="2:9" ht="24" customHeight="1" x14ac:dyDescent="0.3">
      <c r="B1" s="5" t="s">
        <v>0</v>
      </c>
      <c r="C1" s="5"/>
      <c r="D1" s="5"/>
      <c r="E1" s="5"/>
      <c r="F1" s="5"/>
      <c r="G1" s="5"/>
      <c r="H1" s="5"/>
      <c r="I1" s="5"/>
    </row>
    <row r="2" spans="2:9" ht="15" customHeight="1" x14ac:dyDescent="0.3">
      <c r="B2" s="26" t="s">
        <v>72</v>
      </c>
    </row>
    <row r="3" spans="2:9" ht="13.5" customHeight="1" x14ac:dyDescent="0.3">
      <c r="B3" s="27" t="s">
        <v>159</v>
      </c>
    </row>
    <row r="5" spans="2:9" ht="16.5" customHeight="1" x14ac:dyDescent="0.3">
      <c r="B5" s="10" t="s">
        <v>160</v>
      </c>
      <c r="C5" s="10"/>
      <c r="D5" s="10"/>
      <c r="E5" s="10"/>
      <c r="F5" s="10"/>
      <c r="G5" s="10"/>
      <c r="H5" s="10"/>
      <c r="I5" s="10"/>
    </row>
    <row r="6" spans="2:9" ht="25.5" customHeight="1" x14ac:dyDescent="0.3">
      <c r="B6" s="28"/>
      <c r="C6" s="28" t="s">
        <v>161</v>
      </c>
      <c r="D6" s="28" t="s">
        <v>162</v>
      </c>
    </row>
    <row r="7" spans="2:9" x14ac:dyDescent="0.3">
      <c r="B7" s="57" t="s">
        <v>163</v>
      </c>
      <c r="C7" s="58">
        <v>58.89</v>
      </c>
      <c r="D7" s="59" t="s">
        <v>164</v>
      </c>
    </row>
    <row r="8" spans="2:9" x14ac:dyDescent="0.3">
      <c r="B8" s="32" t="s">
        <v>165</v>
      </c>
      <c r="C8" s="62">
        <v>56.7</v>
      </c>
      <c r="D8" s="63" t="s">
        <v>166</v>
      </c>
    </row>
    <row r="9" spans="2:9" x14ac:dyDescent="0.3">
      <c r="B9" s="57" t="s">
        <v>167</v>
      </c>
      <c r="C9" s="64">
        <v>3.7</v>
      </c>
      <c r="D9" s="59" t="s">
        <v>168</v>
      </c>
    </row>
    <row r="10" spans="2:9" x14ac:dyDescent="0.3">
      <c r="B10" s="32" t="s">
        <v>169</v>
      </c>
      <c r="C10" s="62">
        <v>15.85</v>
      </c>
      <c r="D10" s="63" t="s">
        <v>166</v>
      </c>
    </row>
    <row r="11" spans="2:9" x14ac:dyDescent="0.3">
      <c r="B11" s="57" t="s">
        <v>170</v>
      </c>
      <c r="C11" s="65">
        <v>0.27500000000000002</v>
      </c>
      <c r="D11" s="59" t="s">
        <v>166</v>
      </c>
    </row>
    <row r="12" spans="2:9" x14ac:dyDescent="0.3">
      <c r="B12" s="32" t="s">
        <v>171</v>
      </c>
      <c r="C12" s="66">
        <v>0.12859999999999999</v>
      </c>
      <c r="D12" s="63" t="s">
        <v>172</v>
      </c>
    </row>
    <row r="13" spans="2:9" x14ac:dyDescent="0.3">
      <c r="B13" s="57" t="s">
        <v>173</v>
      </c>
      <c r="C13" s="58">
        <v>66</v>
      </c>
      <c r="D13" s="59" t="s">
        <v>174</v>
      </c>
    </row>
    <row r="14" spans="2:9" x14ac:dyDescent="0.3">
      <c r="B14" s="32" t="s">
        <v>175</v>
      </c>
      <c r="C14" s="66">
        <v>0.26279999999999998</v>
      </c>
      <c r="D14" s="67">
        <v>0.25169999999999998</v>
      </c>
    </row>
    <row r="15" spans="2:9" x14ac:dyDescent="0.3">
      <c r="B15" s="57" t="s">
        <v>176</v>
      </c>
      <c r="C15" s="68">
        <v>30639</v>
      </c>
      <c r="D15" s="59" t="s">
        <v>166</v>
      </c>
    </row>
    <row r="16" spans="2:9" x14ac:dyDescent="0.3">
      <c r="B16" s="32" t="s">
        <v>177</v>
      </c>
      <c r="C16" s="66">
        <v>0.85150000000000003</v>
      </c>
      <c r="D16" s="63" t="s">
        <v>166</v>
      </c>
    </row>
    <row r="18" spans="2:9" ht="16.5" customHeight="1" x14ac:dyDescent="0.3">
      <c r="B18" s="10" t="s">
        <v>178</v>
      </c>
      <c r="C18" s="10"/>
      <c r="D18" s="10"/>
      <c r="E18" s="10"/>
      <c r="F18" s="10"/>
      <c r="G18" s="10"/>
      <c r="H18" s="10"/>
      <c r="I18" s="10"/>
    </row>
    <row r="19" spans="2:9" ht="25.5" customHeight="1" x14ac:dyDescent="0.3">
      <c r="B19" s="28"/>
      <c r="C19" s="28" t="s">
        <v>179</v>
      </c>
      <c r="I19" s="56"/>
    </row>
    <row r="20" spans="2:9" x14ac:dyDescent="0.3">
      <c r="B20" s="32" t="s">
        <v>180</v>
      </c>
      <c r="C20" s="69">
        <v>6.7799999999999999E-2</v>
      </c>
      <c r="I20" s="31"/>
    </row>
    <row r="21" spans="2:9" ht="24" customHeight="1" x14ac:dyDescent="0.3">
      <c r="B21" s="32" t="s">
        <v>181</v>
      </c>
      <c r="C21" s="69">
        <v>7.0800000000000002E-2</v>
      </c>
      <c r="I21" s="31"/>
    </row>
    <row r="22" spans="2:9" x14ac:dyDescent="0.3">
      <c r="B22" s="32" t="s">
        <v>182</v>
      </c>
      <c r="C22" s="70">
        <v>9.5000000000000001E-2</v>
      </c>
      <c r="I22" s="31"/>
    </row>
    <row r="23" spans="2:9" x14ac:dyDescent="0.3">
      <c r="B23" s="32" t="s">
        <v>183</v>
      </c>
      <c r="C23" s="70">
        <v>0.08</v>
      </c>
      <c r="I23" s="31"/>
    </row>
    <row r="24" spans="2:9" x14ac:dyDescent="0.3">
      <c r="B24" s="32" t="s">
        <v>184</v>
      </c>
      <c r="C24" s="70">
        <v>0.3</v>
      </c>
      <c r="I24" s="31"/>
    </row>
    <row r="25" spans="2:9" x14ac:dyDescent="0.3">
      <c r="B25" s="32" t="s">
        <v>185</v>
      </c>
      <c r="C25" s="71">
        <v>88.5</v>
      </c>
      <c r="I25" s="31"/>
    </row>
    <row r="26" spans="2:9" x14ac:dyDescent="0.3">
      <c r="B26" s="32" t="s">
        <v>186</v>
      </c>
      <c r="C26" s="70">
        <v>0.03</v>
      </c>
      <c r="I26" s="31"/>
    </row>
    <row r="27" spans="2:9" x14ac:dyDescent="0.3">
      <c r="B27" s="32" t="s">
        <v>187</v>
      </c>
      <c r="C27" s="70">
        <f>'Control Panel'!$C$78</f>
        <v>0.7</v>
      </c>
      <c r="I27" s="31"/>
    </row>
    <row r="29" spans="2:9" ht="16.5" customHeight="1" x14ac:dyDescent="0.3">
      <c r="B29" s="10" t="s">
        <v>188</v>
      </c>
      <c r="C29" s="10"/>
      <c r="D29" s="10"/>
      <c r="E29" s="10"/>
      <c r="F29" s="10"/>
      <c r="G29" s="10"/>
      <c r="H29" s="10"/>
      <c r="I29" s="10"/>
    </row>
    <row r="30" spans="2:9" ht="25.5" customHeight="1" x14ac:dyDescent="0.3">
      <c r="B30" s="28"/>
      <c r="C30" s="28" t="s">
        <v>189</v>
      </c>
      <c r="D30" s="28" t="s">
        <v>190</v>
      </c>
      <c r="E30" s="28" t="s">
        <v>191</v>
      </c>
      <c r="F30" s="28" t="s">
        <v>192</v>
      </c>
      <c r="G30" s="28" t="s">
        <v>193</v>
      </c>
      <c r="I30" s="56"/>
    </row>
    <row r="31" spans="2:9" x14ac:dyDescent="0.3">
      <c r="B31" s="32" t="s">
        <v>194</v>
      </c>
      <c r="C31" s="70">
        <f>INDEX('Control Panel'!$C$31:$G$33,MATCH('Control Panel'!$C$7,'Control Panel'!$B$31:$B$33,0),1)</f>
        <v>0.71199999999999997</v>
      </c>
      <c r="D31" s="70">
        <f>INDEX('Control Panel'!$C$31:$G$33,MATCH('Control Panel'!$C$7,'Control Panel'!$B$31:$B$33,0),2)</f>
        <v>0.70799999999999996</v>
      </c>
      <c r="E31" s="70">
        <f>INDEX('Control Panel'!$C$31:$G$33,MATCH('Control Panel'!$C$7,'Control Panel'!$B$31:$B$33,0),3)</f>
        <v>0.70499999999999996</v>
      </c>
      <c r="F31" s="70">
        <f>INDEX('Control Panel'!$C$31:$G$33,MATCH('Control Panel'!$C$7,'Control Panel'!$B$31:$B$33,0),4)</f>
        <v>0.70299999999999996</v>
      </c>
      <c r="G31" s="70">
        <f>INDEX('Control Panel'!$C$31:$G$33,MATCH('Control Panel'!$C$7,'Control Panel'!$B$31:$B$33,0),5)</f>
        <v>0.70099999999999996</v>
      </c>
      <c r="I31" s="52"/>
    </row>
    <row r="32" spans="2:9" x14ac:dyDescent="0.3">
      <c r="B32" s="32" t="s">
        <v>195</v>
      </c>
      <c r="C32" s="70">
        <v>5.3999999999999999E-2</v>
      </c>
      <c r="D32" s="70">
        <v>5.3999999999999999E-2</v>
      </c>
      <c r="E32" s="70">
        <v>5.3999999999999999E-2</v>
      </c>
      <c r="F32" s="70">
        <v>5.3999999999999999E-2</v>
      </c>
      <c r="G32" s="70">
        <v>5.3999999999999999E-2</v>
      </c>
      <c r="I32" s="52"/>
    </row>
    <row r="33" spans="2:9" x14ac:dyDescent="0.3">
      <c r="B33" s="32" t="s">
        <v>196</v>
      </c>
      <c r="C33" s="70">
        <v>0.1</v>
      </c>
      <c r="D33" s="70">
        <v>0.1</v>
      </c>
      <c r="E33" s="70">
        <v>0.1</v>
      </c>
      <c r="F33" s="70">
        <v>0.1</v>
      </c>
      <c r="G33" s="70">
        <v>0.1</v>
      </c>
      <c r="I33" s="52"/>
    </row>
    <row r="34" spans="2:9" x14ac:dyDescent="0.3">
      <c r="B34" s="32" t="s">
        <v>197</v>
      </c>
      <c r="C34" s="70">
        <f>INDEX('Control Panel'!$H$31:$L$33,MATCH('Control Panel'!$C$7,'Control Panel'!$B$31:$B$33,0),1)</f>
        <v>4.2000000000000003E-2</v>
      </c>
      <c r="D34" s="70">
        <f>INDEX('Control Panel'!$H$31:$L$33,MATCH('Control Panel'!$C$7,'Control Panel'!$B$31:$B$33,0),2)</f>
        <v>0.04</v>
      </c>
      <c r="E34" s="70">
        <f>INDEX('Control Panel'!$H$31:$L$33,MATCH('Control Panel'!$C$7,'Control Panel'!$B$31:$B$33,0),3)</f>
        <v>3.7999999999999999E-2</v>
      </c>
      <c r="F34" s="70">
        <f>INDEX('Control Panel'!$H$31:$L$33,MATCH('Control Panel'!$C$7,'Control Panel'!$B$31:$B$33,0),4)</f>
        <v>3.5999999999999997E-2</v>
      </c>
      <c r="G34" s="70">
        <f>INDEX('Control Panel'!$H$31:$L$33,MATCH('Control Panel'!$C$7,'Control Panel'!$B$31:$B$33,0),5)</f>
        <v>3.5000000000000003E-2</v>
      </c>
      <c r="I34" s="52"/>
    </row>
    <row r="35" spans="2:9" x14ac:dyDescent="0.3">
      <c r="B35" s="32" t="s">
        <v>175</v>
      </c>
      <c r="C35" s="70">
        <v>0.25169999999999998</v>
      </c>
      <c r="D35" s="70">
        <v>0.25169999999999998</v>
      </c>
      <c r="E35" s="70">
        <v>0.25169999999999998</v>
      </c>
      <c r="F35" s="70">
        <v>0.25169999999999998</v>
      </c>
      <c r="G35" s="70">
        <v>0.25169999999999998</v>
      </c>
      <c r="I35" s="52"/>
    </row>
    <row r="36" spans="2:9" x14ac:dyDescent="0.3">
      <c r="B36" s="32" t="s">
        <v>198</v>
      </c>
      <c r="C36" s="70">
        <v>0.1</v>
      </c>
      <c r="D36" s="70">
        <v>0.1</v>
      </c>
      <c r="E36" s="70">
        <v>0.1</v>
      </c>
      <c r="F36" s="70">
        <v>0.1</v>
      </c>
      <c r="G36" s="70">
        <v>0.1</v>
      </c>
      <c r="I36" s="52"/>
    </row>
    <row r="37" spans="2:9" x14ac:dyDescent="0.3">
      <c r="B37" s="32" t="s">
        <v>199</v>
      </c>
      <c r="C37" s="70">
        <v>0.47</v>
      </c>
      <c r="D37" s="70">
        <v>0.47</v>
      </c>
      <c r="E37" s="70">
        <v>0.47</v>
      </c>
      <c r="F37" s="70">
        <v>0.47</v>
      </c>
      <c r="G37" s="70">
        <v>0.47</v>
      </c>
      <c r="I37" s="52"/>
    </row>
    <row r="38" spans="2:9" x14ac:dyDescent="0.3">
      <c r="B38" s="32" t="s">
        <v>200</v>
      </c>
      <c r="C38" s="72">
        <v>0</v>
      </c>
      <c r="D38" s="72">
        <v>0</v>
      </c>
      <c r="E38" s="72">
        <v>0</v>
      </c>
      <c r="F38" s="72">
        <v>0</v>
      </c>
      <c r="G38" s="72">
        <v>0</v>
      </c>
      <c r="I38" s="52"/>
    </row>
    <row r="39" spans="2:9" x14ac:dyDescent="0.3">
      <c r="B39" s="32" t="s">
        <v>201</v>
      </c>
      <c r="C39" s="70">
        <v>0.18</v>
      </c>
      <c r="D39" s="70">
        <v>0.19</v>
      </c>
      <c r="E39" s="70">
        <v>0.2</v>
      </c>
      <c r="F39" s="70">
        <v>0.21</v>
      </c>
      <c r="G39" s="70">
        <v>0.22</v>
      </c>
      <c r="I39" s="52"/>
    </row>
    <row r="40" spans="2:9" x14ac:dyDescent="0.3">
      <c r="B40" s="32" t="s">
        <v>202</v>
      </c>
      <c r="C40" s="73">
        <f>'Control Panel'!$C$76</f>
        <v>1</v>
      </c>
      <c r="I40" s="52" t="s">
        <v>203</v>
      </c>
    </row>
    <row r="41" spans="2:9" ht="12.75" customHeight="1" x14ac:dyDescent="0.3">
      <c r="B41" s="74"/>
    </row>
    <row r="43" spans="2:9" ht="16.5" customHeight="1" x14ac:dyDescent="0.3">
      <c r="B43" s="75"/>
    </row>
    <row r="44" spans="2:9" x14ac:dyDescent="0.3">
      <c r="B44" s="76"/>
      <c r="C44" s="52"/>
    </row>
    <row r="45" spans="2:9" x14ac:dyDescent="0.3">
      <c r="B45" s="76"/>
      <c r="C45" s="52"/>
    </row>
    <row r="46" spans="2:9" x14ac:dyDescent="0.3">
      <c r="B46" s="76"/>
      <c r="C46" s="52"/>
    </row>
    <row r="47" spans="2:9" x14ac:dyDescent="0.3">
      <c r="B47" s="76"/>
      <c r="C47" s="52"/>
    </row>
    <row r="48" spans="2:9" x14ac:dyDescent="0.3">
      <c r="B48" s="76"/>
      <c r="C48" s="52"/>
    </row>
  </sheetData>
  <mergeCells count="4">
    <mergeCell ref="B1:I1"/>
    <mergeCell ref="B5:I5"/>
    <mergeCell ref="B18:I18"/>
    <mergeCell ref="B29:I29"/>
  </mergeCells>
  <printOptions horizontalCentered="1"/>
  <pageMargins left="0.75" right="0.75" top="1" bottom="1" header="0.511811023622047" footer="0.511811023622047"/>
  <pageSetup orientation="landscape"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13A44"/>
  </sheetPr>
  <dimension ref="B1:AQ135"/>
  <sheetViews>
    <sheetView showGridLines="0" zoomScale="90" zoomScaleNormal="90" workbookViewId="0">
      <pane xSplit="2" ySplit="3" topLeftCell="E4" activePane="bottomRight" state="frozen"/>
      <selection pane="topRight" activeCell="C1" sqref="C1"/>
      <selection pane="bottomLeft" activeCell="A4" sqref="A4"/>
      <selection pane="bottomRight" activeCell="BB105" sqref="BB105"/>
    </sheetView>
  </sheetViews>
  <sheetFormatPr defaultColWidth="8.6640625" defaultRowHeight="14.4" outlineLevelCol="1" x14ac:dyDescent="0.3"/>
  <cols>
    <col min="1" max="1" width="2" customWidth="1"/>
    <col min="2" max="2" width="52" customWidth="1"/>
    <col min="3" max="4" width="11" hidden="1" customWidth="1" outlineLevel="1"/>
    <col min="5" max="5" width="11" customWidth="1" collapsed="1"/>
    <col min="6" max="7" width="11" hidden="1" customWidth="1" outlineLevel="1"/>
    <col min="8" max="8" width="11" customWidth="1" collapsed="1"/>
    <col min="9" max="10" width="11" hidden="1" customWidth="1" outlineLevel="1"/>
    <col min="11" max="11" width="11" customWidth="1" collapsed="1"/>
    <col min="12" max="13" width="11" hidden="1" customWidth="1" outlineLevel="1"/>
    <col min="14" max="14" width="11" customWidth="1" collapsed="1"/>
    <col min="15" max="16" width="11" hidden="1" customWidth="1" outlineLevel="1"/>
    <col min="17" max="17" width="11" customWidth="1" collapsed="1"/>
    <col min="18" max="19" width="11" hidden="1" customWidth="1" outlineLevel="1"/>
    <col min="20" max="20" width="11" customWidth="1" collapsed="1"/>
    <col min="21" max="22" width="11" hidden="1" customWidth="1" outlineLevel="1"/>
    <col min="23" max="23" width="11" customWidth="1" collapsed="1"/>
    <col min="24" max="25" width="11" hidden="1" customWidth="1" outlineLevel="1"/>
    <col min="26" max="26" width="11" customWidth="1" collapsed="1"/>
    <col min="27" max="28" width="11" hidden="1" customWidth="1" outlineLevel="1"/>
    <col min="29" max="29" width="11" customWidth="1" collapsed="1"/>
    <col min="30" max="31" width="11" hidden="1" customWidth="1" outlineLevel="1"/>
    <col min="32" max="32" width="11" customWidth="1" collapsed="1"/>
  </cols>
  <sheetData>
    <row r="1" spans="2:32" ht="24" customHeight="1" x14ac:dyDescent="0.3">
      <c r="B1" s="5" t="s">
        <v>0</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row>
    <row r="2" spans="2:32" ht="13.5" customHeight="1" x14ac:dyDescent="0.3">
      <c r="B2" s="26" t="s">
        <v>72</v>
      </c>
      <c r="C2" s="91" t="s">
        <v>283</v>
      </c>
      <c r="D2" s="91" t="s">
        <v>284</v>
      </c>
      <c r="E2" s="91" t="s">
        <v>285</v>
      </c>
      <c r="F2" s="91" t="s">
        <v>283</v>
      </c>
      <c r="G2" s="91" t="s">
        <v>284</v>
      </c>
      <c r="H2" s="91" t="s">
        <v>285</v>
      </c>
      <c r="I2" s="91" t="s">
        <v>283</v>
      </c>
      <c r="J2" s="91" t="s">
        <v>284</v>
      </c>
      <c r="K2" s="91" t="s">
        <v>285</v>
      </c>
      <c r="L2" s="91" t="s">
        <v>283</v>
      </c>
      <c r="M2" s="91" t="s">
        <v>284</v>
      </c>
      <c r="N2" s="91" t="s">
        <v>285</v>
      </c>
      <c r="O2" s="91" t="s">
        <v>283</v>
      </c>
      <c r="P2" s="91" t="s">
        <v>284</v>
      </c>
      <c r="Q2" s="91" t="s">
        <v>285</v>
      </c>
      <c r="R2" s="91" t="s">
        <v>283</v>
      </c>
      <c r="S2" s="91" t="s">
        <v>284</v>
      </c>
      <c r="T2" s="91" t="s">
        <v>285</v>
      </c>
      <c r="U2" s="91" t="s">
        <v>283</v>
      </c>
      <c r="V2" s="91" t="s">
        <v>284</v>
      </c>
      <c r="W2" s="91" t="s">
        <v>285</v>
      </c>
      <c r="X2" s="91" t="s">
        <v>283</v>
      </c>
      <c r="Y2" s="91" t="s">
        <v>284</v>
      </c>
      <c r="Z2" s="91" t="s">
        <v>285</v>
      </c>
      <c r="AA2" s="91" t="s">
        <v>283</v>
      </c>
      <c r="AB2" s="91" t="s">
        <v>284</v>
      </c>
      <c r="AC2" s="91" t="s">
        <v>285</v>
      </c>
      <c r="AD2" s="91" t="s">
        <v>283</v>
      </c>
      <c r="AE2" s="91" t="s">
        <v>284</v>
      </c>
      <c r="AF2" s="91" t="s">
        <v>285</v>
      </c>
    </row>
    <row r="3" spans="2:32" ht="13.5" customHeight="1" x14ac:dyDescent="0.3">
      <c r="B3" s="27" t="s">
        <v>286</v>
      </c>
      <c r="C3" s="45" t="s">
        <v>287</v>
      </c>
      <c r="D3" s="45" t="s">
        <v>287</v>
      </c>
      <c r="E3" s="45" t="s">
        <v>287</v>
      </c>
      <c r="F3" s="45" t="s">
        <v>288</v>
      </c>
      <c r="G3" s="45" t="s">
        <v>288</v>
      </c>
      <c r="H3" s="45" t="s">
        <v>288</v>
      </c>
      <c r="I3" s="45" t="s">
        <v>289</v>
      </c>
      <c r="J3" s="45" t="s">
        <v>289</v>
      </c>
      <c r="K3" s="45" t="s">
        <v>289</v>
      </c>
      <c r="L3" s="45" t="s">
        <v>290</v>
      </c>
      <c r="M3" s="45" t="s">
        <v>290</v>
      </c>
      <c r="N3" s="45" t="s">
        <v>290</v>
      </c>
      <c r="O3" s="45" t="s">
        <v>291</v>
      </c>
      <c r="P3" s="45" t="s">
        <v>291</v>
      </c>
      <c r="Q3" s="45" t="s">
        <v>291</v>
      </c>
      <c r="R3" s="92" t="s">
        <v>292</v>
      </c>
      <c r="S3" s="92" t="s">
        <v>292</v>
      </c>
      <c r="T3" s="92" t="s">
        <v>292</v>
      </c>
      <c r="U3" s="92" t="s">
        <v>293</v>
      </c>
      <c r="V3" s="92" t="s">
        <v>293</v>
      </c>
      <c r="W3" s="92" t="s">
        <v>293</v>
      </c>
      <c r="X3" s="92" t="s">
        <v>294</v>
      </c>
      <c r="Y3" s="92" t="s">
        <v>294</v>
      </c>
      <c r="Z3" s="92" t="s">
        <v>294</v>
      </c>
      <c r="AA3" s="92" t="s">
        <v>295</v>
      </c>
      <c r="AB3" s="92" t="s">
        <v>295</v>
      </c>
      <c r="AC3" s="92" t="s">
        <v>295</v>
      </c>
      <c r="AD3" s="92" t="s">
        <v>296</v>
      </c>
      <c r="AE3" s="92" t="s">
        <v>296</v>
      </c>
      <c r="AF3" s="92" t="s">
        <v>296</v>
      </c>
    </row>
    <row r="5" spans="2:32" ht="16.5" customHeight="1" x14ac:dyDescent="0.3">
      <c r="B5" s="10" t="s">
        <v>297</v>
      </c>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row>
    <row r="7" spans="2:32" x14ac:dyDescent="0.3">
      <c r="B7" s="18" t="s">
        <v>298</v>
      </c>
    </row>
    <row r="8" spans="2:32" x14ac:dyDescent="0.3">
      <c r="B8" s="93" t="s">
        <v>299</v>
      </c>
      <c r="C8" s="94">
        <v>729120</v>
      </c>
      <c r="D8" s="95">
        <f>E8-C8</f>
        <v>789880</v>
      </c>
      <c r="E8" s="96">
        <v>1519000</v>
      </c>
      <c r="F8" s="94">
        <v>861600</v>
      </c>
      <c r="G8" s="95">
        <f>H8-F8</f>
        <v>933400</v>
      </c>
      <c r="H8" s="96">
        <v>1795000</v>
      </c>
      <c r="I8" s="94">
        <v>948431</v>
      </c>
      <c r="J8" s="95">
        <f>K8-I8</f>
        <v>1013569</v>
      </c>
      <c r="K8" s="96">
        <v>1962000</v>
      </c>
      <c r="L8" s="94">
        <v>1070748</v>
      </c>
      <c r="M8" s="95">
        <f>N8-L8</f>
        <v>1134252</v>
      </c>
      <c r="N8" s="96">
        <v>2205000</v>
      </c>
      <c r="O8" s="94">
        <v>1232515</v>
      </c>
      <c r="P8" s="95">
        <f>Q8-O8</f>
        <v>1417485</v>
      </c>
      <c r="Q8" s="96">
        <v>2650000</v>
      </c>
      <c r="R8" s="95">
        <f>T8*'Guidance &amp; Assumptions'!$C$37</f>
        <v>1469690</v>
      </c>
      <c r="S8" s="95">
        <f>T8-R8</f>
        <v>1657310</v>
      </c>
      <c r="T8" s="97">
        <f>Q8*(1+T9*'Guidance &amp; Assumptions'!$C$40)</f>
        <v>3127000</v>
      </c>
      <c r="U8" s="95">
        <f>W8*'Guidance &amp; Assumptions'!$C$37</f>
        <v>1675446.6</v>
      </c>
      <c r="V8" s="95">
        <f>W8-U8</f>
        <v>1889333.4000000004</v>
      </c>
      <c r="W8" s="97">
        <f>T8*(1+W9*'Guidance &amp; Assumptions'!$C$40)</f>
        <v>3564780.0000000005</v>
      </c>
      <c r="X8" s="95">
        <f>Z8*'Guidance &amp; Assumptions'!$C$37</f>
        <v>1859745.7260000003</v>
      </c>
      <c r="Y8" s="95">
        <f>Z8-X8</f>
        <v>2097160.0740000005</v>
      </c>
      <c r="Z8" s="97">
        <f>W8*(1+Z9*'Guidance &amp; Assumptions'!$C$40)</f>
        <v>3956905.8000000007</v>
      </c>
      <c r="AA8" s="95">
        <f>AC8*'Guidance &amp; Assumptions'!$C$37</f>
        <v>2027122.8413400005</v>
      </c>
      <c r="AB8" s="95">
        <f>AC8-AA8</f>
        <v>2285904.4806600008</v>
      </c>
      <c r="AC8" s="97">
        <f>Z8*(1+AC9*'Guidance &amp; Assumptions'!$C$40)</f>
        <v>4313027.3220000016</v>
      </c>
      <c r="AD8" s="95">
        <f>AF8*'Guidance &amp; Assumptions'!$C$37</f>
        <v>2189292.6686472008</v>
      </c>
      <c r="AE8" s="95">
        <f>AF8-AD8</f>
        <v>2468776.8391128015</v>
      </c>
      <c r="AF8" s="97">
        <f>AC8*(1+AF9*'Guidance &amp; Assumptions'!$C$40)</f>
        <v>4658069.5077600023</v>
      </c>
    </row>
    <row r="9" spans="2:32" x14ac:dyDescent="0.3">
      <c r="B9" s="98" t="s">
        <v>300</v>
      </c>
      <c r="H9" s="55">
        <f>(H8-E8)/E8</f>
        <v>0.18169848584595127</v>
      </c>
      <c r="K9" s="55">
        <f>(K8-H8)/H8</f>
        <v>9.3036211699164345E-2</v>
      </c>
      <c r="N9" s="55">
        <f>(N8-K8)/K8</f>
        <v>0.12385321100917432</v>
      </c>
      <c r="Q9" s="55">
        <f>(Q8-N8)/N8</f>
        <v>0.20181405895691609</v>
      </c>
      <c r="T9" s="70">
        <v>0.18</v>
      </c>
      <c r="W9" s="70">
        <v>0.14000000000000001</v>
      </c>
      <c r="Z9" s="70">
        <v>0.11</v>
      </c>
      <c r="AC9" s="70">
        <v>0.09</v>
      </c>
      <c r="AF9" s="70">
        <v>0.08</v>
      </c>
    </row>
    <row r="10" spans="2:32" x14ac:dyDescent="0.3">
      <c r="B10" s="93" t="s">
        <v>301</v>
      </c>
      <c r="C10" s="99">
        <f>E10</f>
        <v>58000</v>
      </c>
      <c r="D10" s="99">
        <f>E10</f>
        <v>58000</v>
      </c>
      <c r="E10" s="94">
        <v>58000</v>
      </c>
      <c r="F10" s="99">
        <f>H10</f>
        <v>62000</v>
      </c>
      <c r="G10" s="99">
        <f>H10</f>
        <v>62000</v>
      </c>
      <c r="H10" s="94">
        <v>62000</v>
      </c>
      <c r="I10" s="99">
        <f>K10</f>
        <v>67500</v>
      </c>
      <c r="J10" s="99">
        <f>K10</f>
        <v>67500</v>
      </c>
      <c r="K10" s="94">
        <v>67500</v>
      </c>
      <c r="L10" s="99">
        <f>N10</f>
        <v>68500</v>
      </c>
      <c r="M10" s="99">
        <f>N10</f>
        <v>68500</v>
      </c>
      <c r="N10" s="94">
        <v>68500</v>
      </c>
      <c r="O10" s="99">
        <f>Q10</f>
        <v>72000</v>
      </c>
      <c r="P10" s="99">
        <f>Q10</f>
        <v>72000</v>
      </c>
      <c r="Q10" s="94">
        <v>72000</v>
      </c>
      <c r="R10" s="99">
        <f>T10</f>
        <v>74160</v>
      </c>
      <c r="S10" s="99">
        <f>T10</f>
        <v>74160</v>
      </c>
      <c r="T10" s="95">
        <f>Q10*(1+T11)</f>
        <v>74160</v>
      </c>
      <c r="U10" s="99">
        <f>W10</f>
        <v>76384.800000000003</v>
      </c>
      <c r="V10" s="99">
        <f>W10</f>
        <v>76384.800000000003</v>
      </c>
      <c r="W10" s="95">
        <f>T10*(1+W11)</f>
        <v>76384.800000000003</v>
      </c>
      <c r="X10" s="99">
        <f>Z10</f>
        <v>78676.344000000012</v>
      </c>
      <c r="Y10" s="99">
        <f>Z10</f>
        <v>78676.344000000012</v>
      </c>
      <c r="Z10" s="95">
        <f>W10*(1+Z11)</f>
        <v>78676.344000000012</v>
      </c>
      <c r="AA10" s="99">
        <f>AC10</f>
        <v>81036.634320000012</v>
      </c>
      <c r="AB10" s="99">
        <f>AC10</f>
        <v>81036.634320000012</v>
      </c>
      <c r="AC10" s="95">
        <f>Z10*(1+AC11)</f>
        <v>81036.634320000012</v>
      </c>
      <c r="AD10" s="99">
        <f>AF10</f>
        <v>83467.733349600021</v>
      </c>
      <c r="AE10" s="99">
        <f>AF10</f>
        <v>83467.733349600021</v>
      </c>
      <c r="AF10" s="95">
        <f>AC10*(1+AF11)</f>
        <v>83467.733349600021</v>
      </c>
    </row>
    <row r="11" spans="2:32" x14ac:dyDescent="0.3">
      <c r="B11" s="98" t="s">
        <v>302</v>
      </c>
      <c r="H11" s="55">
        <f>(H10-E10)/E10</f>
        <v>6.8965517241379309E-2</v>
      </c>
      <c r="K11" s="55">
        <f>(K10-H10)/H10</f>
        <v>8.8709677419354843E-2</v>
      </c>
      <c r="N11" s="55">
        <f>(N10-K10)/K10</f>
        <v>1.4814814814814815E-2</v>
      </c>
      <c r="Q11" s="55">
        <f>(Q10-N10)/N10</f>
        <v>5.1094890510948905E-2</v>
      </c>
      <c r="T11" s="70">
        <v>0.03</v>
      </c>
      <c r="W11" s="70">
        <v>0.03</v>
      </c>
      <c r="Z11" s="70">
        <v>0.03</v>
      </c>
      <c r="AC11" s="70">
        <v>0.03</v>
      </c>
      <c r="AF11" s="70">
        <v>0.03</v>
      </c>
    </row>
    <row r="12" spans="2:32" x14ac:dyDescent="0.3">
      <c r="B12" s="100" t="s">
        <v>303</v>
      </c>
      <c r="C12" s="101">
        <f t="shared" ref="C12:AF12" si="0">C8*C10/10000000</f>
        <v>4228.8959999999997</v>
      </c>
      <c r="D12" s="101">
        <f t="shared" si="0"/>
        <v>4581.3040000000001</v>
      </c>
      <c r="E12" s="101">
        <f t="shared" si="0"/>
        <v>8810.2000000000007</v>
      </c>
      <c r="F12" s="101">
        <f t="shared" si="0"/>
        <v>5341.92</v>
      </c>
      <c r="G12" s="101">
        <f t="shared" si="0"/>
        <v>5787.08</v>
      </c>
      <c r="H12" s="101">
        <f t="shared" si="0"/>
        <v>11129</v>
      </c>
      <c r="I12" s="101">
        <f t="shared" si="0"/>
        <v>6401.9092499999997</v>
      </c>
      <c r="J12" s="101">
        <f t="shared" si="0"/>
        <v>6841.5907500000003</v>
      </c>
      <c r="K12" s="101">
        <f t="shared" si="0"/>
        <v>13243.5</v>
      </c>
      <c r="L12" s="101">
        <f t="shared" si="0"/>
        <v>7334.6238000000003</v>
      </c>
      <c r="M12" s="101">
        <f t="shared" si="0"/>
        <v>7769.6261999999997</v>
      </c>
      <c r="N12" s="101">
        <f t="shared" si="0"/>
        <v>15104.25</v>
      </c>
      <c r="O12" s="101">
        <f t="shared" si="0"/>
        <v>8874.1080000000002</v>
      </c>
      <c r="P12" s="101">
        <f t="shared" si="0"/>
        <v>10205.892</v>
      </c>
      <c r="Q12" s="101">
        <f t="shared" si="0"/>
        <v>19080</v>
      </c>
      <c r="R12" s="101">
        <f t="shared" si="0"/>
        <v>10899.22104</v>
      </c>
      <c r="S12" s="101">
        <f t="shared" si="0"/>
        <v>12290.61096</v>
      </c>
      <c r="T12" s="101">
        <f t="shared" si="0"/>
        <v>23189.831999999999</v>
      </c>
      <c r="U12" s="101">
        <f t="shared" si="0"/>
        <v>12797.865345168</v>
      </c>
      <c r="V12" s="101">
        <f t="shared" si="0"/>
        <v>14431.635389232004</v>
      </c>
      <c r="W12" s="101">
        <f t="shared" si="0"/>
        <v>27229.500734400008</v>
      </c>
      <c r="X12" s="101">
        <f t="shared" si="0"/>
        <v>14631.799449130578</v>
      </c>
      <c r="Y12" s="101">
        <f t="shared" si="0"/>
        <v>16499.688740508951</v>
      </c>
      <c r="Z12" s="101">
        <f t="shared" si="0"/>
        <v>31131.488189639531</v>
      </c>
      <c r="AA12" s="101">
        <f t="shared" si="0"/>
        <v>16427.121241538905</v>
      </c>
      <c r="AB12" s="101">
        <f t="shared" si="0"/>
        <v>18524.200548969402</v>
      </c>
      <c r="AC12" s="101">
        <f t="shared" si="0"/>
        <v>34951.321790508307</v>
      </c>
      <c r="AD12" s="101">
        <f t="shared" si="0"/>
        <v>18273.529669087879</v>
      </c>
      <c r="AE12" s="101">
        <f t="shared" si="0"/>
        <v>20606.320690673572</v>
      </c>
      <c r="AF12" s="101">
        <f t="shared" si="0"/>
        <v>38879.850359761447</v>
      </c>
    </row>
    <row r="14" spans="2:32" x14ac:dyDescent="0.3">
      <c r="B14" s="18" t="s">
        <v>304</v>
      </c>
    </row>
    <row r="15" spans="2:32" x14ac:dyDescent="0.3">
      <c r="B15" s="93" t="s">
        <v>299</v>
      </c>
      <c r="C15" s="94">
        <v>550560</v>
      </c>
      <c r="D15" s="95">
        <f>E15-C15</f>
        <v>596440</v>
      </c>
      <c r="E15" s="96">
        <v>1147000</v>
      </c>
      <c r="F15" s="94">
        <v>676320</v>
      </c>
      <c r="G15" s="95">
        <f>H15-F15</f>
        <v>732680</v>
      </c>
      <c r="H15" s="96">
        <v>1409000</v>
      </c>
      <c r="I15" s="94">
        <v>754104</v>
      </c>
      <c r="J15" s="95">
        <f>K15-I15</f>
        <v>805896</v>
      </c>
      <c r="K15" s="96">
        <v>1560000</v>
      </c>
      <c r="L15" s="94">
        <v>867282</v>
      </c>
      <c r="M15" s="95">
        <f>N15-L15</f>
        <v>918718</v>
      </c>
      <c r="N15" s="96">
        <v>1786000</v>
      </c>
      <c r="O15" s="94">
        <v>981361</v>
      </c>
      <c r="P15" s="95">
        <f>Q15-O15</f>
        <v>1128639</v>
      </c>
      <c r="Q15" s="96">
        <v>2110000</v>
      </c>
      <c r="R15" s="95">
        <f>T15*'Guidance &amp; Assumptions'!$C$37</f>
        <v>1110704</v>
      </c>
      <c r="S15" s="95">
        <f>T15-R15</f>
        <v>1252496</v>
      </c>
      <c r="T15" s="97">
        <f>Q15*(1+T16*'Guidance &amp; Assumptions'!$C$40)</f>
        <v>2363200</v>
      </c>
      <c r="U15" s="95">
        <f>W15*'Guidance &amp; Assumptions'!$C$37</f>
        <v>1210667.3599999999</v>
      </c>
      <c r="V15" s="95">
        <f>W15-U15</f>
        <v>1365220.6400000001</v>
      </c>
      <c r="W15" s="97">
        <f>T15*(1+W16*'Guidance &amp; Assumptions'!$C$40)</f>
        <v>2575888</v>
      </c>
      <c r="X15" s="95">
        <f>Z15*'Guidance &amp; Assumptions'!$C$37</f>
        <v>1295414.0752000001</v>
      </c>
      <c r="Y15" s="95">
        <f>Z15-X15</f>
        <v>1460786.0848000001</v>
      </c>
      <c r="Z15" s="97">
        <f>W15*(1+Z16*'Guidance &amp; Assumptions'!$C$40)</f>
        <v>2756200.16</v>
      </c>
      <c r="AA15" s="95">
        <f>AC15*'Guidance &amp; Assumptions'!$C$37</f>
        <v>1360184.77896</v>
      </c>
      <c r="AB15" s="95">
        <f>AC15-AA15</f>
        <v>1533825.38904</v>
      </c>
      <c r="AC15" s="97">
        <f>Z15*(1+AC16*'Guidance &amp; Assumptions'!$C$40)</f>
        <v>2894010.1680000001</v>
      </c>
      <c r="AD15" s="95">
        <f>AF15*'Guidance &amp; Assumptions'!$C$37</f>
        <v>1414592.1701184001</v>
      </c>
      <c r="AE15" s="95">
        <f>AF15-AD15</f>
        <v>1595178.4046016003</v>
      </c>
      <c r="AF15" s="97">
        <f>AC15*(1+AF16*'Guidance &amp; Assumptions'!$C$40)</f>
        <v>3009770.5747200004</v>
      </c>
    </row>
    <row r="16" spans="2:32" x14ac:dyDescent="0.3">
      <c r="B16" s="98" t="s">
        <v>300</v>
      </c>
      <c r="H16" s="55">
        <f>(H15-E15)/E15</f>
        <v>0.22842197035745423</v>
      </c>
      <c r="K16" s="55">
        <f>(K15-H15)/H15</f>
        <v>0.10716820440028389</v>
      </c>
      <c r="N16" s="55">
        <f>(N15-K15)/K15</f>
        <v>0.14487179487179488</v>
      </c>
      <c r="Q16" s="55">
        <f>(Q15-N15)/N15</f>
        <v>0.18141097424412095</v>
      </c>
      <c r="T16" s="70">
        <v>0.12</v>
      </c>
      <c r="W16" s="70">
        <v>0.09</v>
      </c>
      <c r="Z16" s="70">
        <v>7.0000000000000007E-2</v>
      </c>
      <c r="AC16" s="70">
        <v>0.05</v>
      </c>
      <c r="AF16" s="70">
        <v>0.04</v>
      </c>
    </row>
    <row r="17" spans="2:32" x14ac:dyDescent="0.3">
      <c r="B17" s="93" t="s">
        <v>301</v>
      </c>
      <c r="C17" s="99">
        <f>E17</f>
        <v>53500</v>
      </c>
      <c r="D17" s="99">
        <f>E17</f>
        <v>53500</v>
      </c>
      <c r="E17" s="94">
        <v>53500</v>
      </c>
      <c r="F17" s="99">
        <f>H17</f>
        <v>57000</v>
      </c>
      <c r="G17" s="99">
        <f>H17</f>
        <v>57000</v>
      </c>
      <c r="H17" s="94">
        <v>57000</v>
      </c>
      <c r="I17" s="99">
        <f>K17</f>
        <v>61500</v>
      </c>
      <c r="J17" s="99">
        <f>K17</f>
        <v>61500</v>
      </c>
      <c r="K17" s="94">
        <v>61500</v>
      </c>
      <c r="L17" s="99">
        <f>N17</f>
        <v>63000</v>
      </c>
      <c r="M17" s="99">
        <f>N17</f>
        <v>63000</v>
      </c>
      <c r="N17" s="94">
        <v>63000</v>
      </c>
      <c r="O17" s="99">
        <f>Q17</f>
        <v>66000</v>
      </c>
      <c r="P17" s="99">
        <f>Q17</f>
        <v>66000</v>
      </c>
      <c r="Q17" s="94">
        <v>66000</v>
      </c>
      <c r="R17" s="99">
        <f>T17</f>
        <v>68640</v>
      </c>
      <c r="S17" s="99">
        <f>T17</f>
        <v>68640</v>
      </c>
      <c r="T17" s="95">
        <f>Q17*(1+T18)</f>
        <v>68640</v>
      </c>
      <c r="U17" s="99">
        <f>W17</f>
        <v>71042.399999999994</v>
      </c>
      <c r="V17" s="99">
        <f>W17</f>
        <v>71042.399999999994</v>
      </c>
      <c r="W17" s="95">
        <f>T17*(1+W18)</f>
        <v>71042.399999999994</v>
      </c>
      <c r="X17" s="99">
        <f>Z17</f>
        <v>73173.671999999991</v>
      </c>
      <c r="Y17" s="99">
        <f>Z17</f>
        <v>73173.671999999991</v>
      </c>
      <c r="Z17" s="95">
        <f>W17*(1+Z18)</f>
        <v>73173.671999999991</v>
      </c>
      <c r="AA17" s="99">
        <f>AC17</f>
        <v>75368.882159999994</v>
      </c>
      <c r="AB17" s="99">
        <f>AC17</f>
        <v>75368.882159999994</v>
      </c>
      <c r="AC17" s="95">
        <f>Z17*(1+AC18)</f>
        <v>75368.882159999994</v>
      </c>
      <c r="AD17" s="99">
        <f>AF17</f>
        <v>77629.948624799988</v>
      </c>
      <c r="AE17" s="99">
        <f>AF17</f>
        <v>77629.948624799988</v>
      </c>
      <c r="AF17" s="95">
        <f>AC17*(1+AF18)</f>
        <v>77629.948624799988</v>
      </c>
    </row>
    <row r="18" spans="2:32" x14ac:dyDescent="0.3">
      <c r="B18" s="98" t="s">
        <v>302</v>
      </c>
      <c r="H18" s="55">
        <f>(H17-E17)/E17</f>
        <v>6.5420560747663545E-2</v>
      </c>
      <c r="K18" s="55">
        <f>(K17-H17)/H17</f>
        <v>7.8947368421052627E-2</v>
      </c>
      <c r="N18" s="55">
        <f>(N17-K17)/K17</f>
        <v>2.4390243902439025E-2</v>
      </c>
      <c r="Q18" s="55">
        <f>(Q17-N17)/N17</f>
        <v>4.7619047619047616E-2</v>
      </c>
      <c r="T18" s="70">
        <v>0.04</v>
      </c>
      <c r="W18" s="70">
        <v>3.5000000000000003E-2</v>
      </c>
      <c r="Z18" s="70">
        <v>0.03</v>
      </c>
      <c r="AC18" s="70">
        <v>0.03</v>
      </c>
      <c r="AF18" s="70">
        <v>0.03</v>
      </c>
    </row>
    <row r="19" spans="2:32" x14ac:dyDescent="0.3">
      <c r="B19" s="100" t="s">
        <v>303</v>
      </c>
      <c r="C19" s="101">
        <f t="shared" ref="C19:AF19" si="1">C15*C17/10000000</f>
        <v>2945.4960000000001</v>
      </c>
      <c r="D19" s="101">
        <f t="shared" si="1"/>
        <v>3190.9540000000002</v>
      </c>
      <c r="E19" s="101">
        <f t="shared" si="1"/>
        <v>6136.45</v>
      </c>
      <c r="F19" s="101">
        <f t="shared" si="1"/>
        <v>3855.0239999999999</v>
      </c>
      <c r="G19" s="101">
        <f t="shared" si="1"/>
        <v>4176.2759999999998</v>
      </c>
      <c r="H19" s="101">
        <f t="shared" si="1"/>
        <v>8031.3</v>
      </c>
      <c r="I19" s="101">
        <f t="shared" si="1"/>
        <v>4637.7395999999999</v>
      </c>
      <c r="J19" s="101">
        <f t="shared" si="1"/>
        <v>4956.2604000000001</v>
      </c>
      <c r="K19" s="101">
        <f t="shared" si="1"/>
        <v>9594</v>
      </c>
      <c r="L19" s="101">
        <f t="shared" si="1"/>
        <v>5463.8765999999996</v>
      </c>
      <c r="M19" s="101">
        <f t="shared" si="1"/>
        <v>5787.9233999999997</v>
      </c>
      <c r="N19" s="101">
        <f t="shared" si="1"/>
        <v>11251.8</v>
      </c>
      <c r="O19" s="101">
        <f t="shared" si="1"/>
        <v>6476.9826000000003</v>
      </c>
      <c r="P19" s="101">
        <f t="shared" si="1"/>
        <v>7449.0173999999997</v>
      </c>
      <c r="Q19" s="101">
        <f t="shared" si="1"/>
        <v>13926</v>
      </c>
      <c r="R19" s="101">
        <f t="shared" si="1"/>
        <v>7623.8722559999997</v>
      </c>
      <c r="S19" s="101">
        <f t="shared" si="1"/>
        <v>8597.1325440000001</v>
      </c>
      <c r="T19" s="101">
        <f t="shared" si="1"/>
        <v>16221.004800000001</v>
      </c>
      <c r="U19" s="101">
        <f t="shared" si="1"/>
        <v>8600.871485606398</v>
      </c>
      <c r="V19" s="101">
        <f t="shared" si="1"/>
        <v>9698.8550795135998</v>
      </c>
      <c r="W19" s="101">
        <f t="shared" si="1"/>
        <v>18299.72656512</v>
      </c>
      <c r="X19" s="101">
        <f t="shared" si="1"/>
        <v>9479.0204642868139</v>
      </c>
      <c r="Y19" s="101">
        <f t="shared" si="1"/>
        <v>10689.108183131939</v>
      </c>
      <c r="Z19" s="101">
        <f t="shared" si="1"/>
        <v>20168.128647418751</v>
      </c>
      <c r="AA19" s="101">
        <f t="shared" si="1"/>
        <v>10251.560632126189</v>
      </c>
      <c r="AB19" s="101">
        <f t="shared" si="1"/>
        <v>11560.270500057191</v>
      </c>
      <c r="AC19" s="101">
        <f t="shared" si="1"/>
        <v>21811.831132183379</v>
      </c>
      <c r="AD19" s="101">
        <f t="shared" si="1"/>
        <v>10981.471749133572</v>
      </c>
      <c r="AE19" s="101">
        <f t="shared" si="1"/>
        <v>12383.361759661264</v>
      </c>
      <c r="AF19" s="101">
        <f t="shared" si="1"/>
        <v>23364.833508794836</v>
      </c>
    </row>
    <row r="21" spans="2:32" x14ac:dyDescent="0.3">
      <c r="B21" s="18" t="s">
        <v>305</v>
      </c>
    </row>
    <row r="22" spans="2:32" x14ac:dyDescent="0.3">
      <c r="B22" s="93" t="s">
        <v>299</v>
      </c>
      <c r="C22" s="94">
        <v>7680</v>
      </c>
      <c r="D22" s="95">
        <f>E22-C22</f>
        <v>8320</v>
      </c>
      <c r="E22" s="96">
        <v>16000</v>
      </c>
      <c r="F22" s="94">
        <v>44640</v>
      </c>
      <c r="G22" s="95">
        <f>H22-F22</f>
        <v>48360</v>
      </c>
      <c r="H22" s="96">
        <v>93000</v>
      </c>
      <c r="I22" s="94">
        <v>89429</v>
      </c>
      <c r="J22" s="95">
        <f>K22-I22</f>
        <v>95571</v>
      </c>
      <c r="K22" s="96">
        <v>185000</v>
      </c>
      <c r="L22" s="94">
        <v>134997</v>
      </c>
      <c r="M22" s="95">
        <f>N22-L22</f>
        <v>143003</v>
      </c>
      <c r="N22" s="96">
        <v>278000</v>
      </c>
      <c r="O22" s="94">
        <v>172087</v>
      </c>
      <c r="P22" s="95">
        <f>Q22-O22</f>
        <v>197913</v>
      </c>
      <c r="Q22" s="96">
        <v>370000</v>
      </c>
      <c r="R22" s="95">
        <f>T22*'Guidance &amp; Assumptions'!$C$37</f>
        <v>295630</v>
      </c>
      <c r="S22" s="95">
        <f>T22-R22</f>
        <v>333370</v>
      </c>
      <c r="T22" s="97">
        <f>Q22*(1+T23*'Guidance &amp; Assumptions'!$C$40)</f>
        <v>629000</v>
      </c>
      <c r="U22" s="95">
        <f>W22*'Guidance &amp; Assumptions'!$C$37</f>
        <v>428663.5</v>
      </c>
      <c r="V22" s="95">
        <f>W22-U22</f>
        <v>483386.5</v>
      </c>
      <c r="W22" s="97">
        <f>T22*(1+W23*'Guidance &amp; Assumptions'!$C$40)</f>
        <v>912050</v>
      </c>
      <c r="X22" s="95">
        <f>Z22*'Guidance &amp; Assumptions'!$C$37</f>
        <v>565835.81999999995</v>
      </c>
      <c r="Y22" s="95">
        <f>Z22-X22</f>
        <v>638070.18000000005</v>
      </c>
      <c r="Z22" s="97">
        <f>W22*(1+Z23*'Guidance &amp; Assumptions'!$C$40)</f>
        <v>1203906</v>
      </c>
      <c r="AA22" s="95">
        <f>AC22*'Guidance &amp; Assumptions'!$C$37</f>
        <v>707294.77499999991</v>
      </c>
      <c r="AB22" s="95">
        <f>AC22-AA22</f>
        <v>797587.72500000009</v>
      </c>
      <c r="AC22" s="97">
        <f>Z22*(1+AC23*'Guidance &amp; Assumptions'!$C$40)</f>
        <v>1504882.5</v>
      </c>
      <c r="AD22" s="95">
        <f>AF22*'Guidance &amp; Assumptions'!$C$37</f>
        <v>848753.73</v>
      </c>
      <c r="AE22" s="95">
        <f>AF22-AD22</f>
        <v>957105.27</v>
      </c>
      <c r="AF22" s="97">
        <f>AC22*(1+AF23*'Guidance &amp; Assumptions'!$C$40)</f>
        <v>1805859</v>
      </c>
    </row>
    <row r="23" spans="2:32" x14ac:dyDescent="0.3">
      <c r="B23" s="98" t="s">
        <v>300</v>
      </c>
      <c r="H23" s="55">
        <f>(H22-E22)/E22</f>
        <v>4.8125</v>
      </c>
      <c r="K23" s="55">
        <f>(K22-H22)/H22</f>
        <v>0.989247311827957</v>
      </c>
      <c r="N23" s="55">
        <f>(N22-K22)/K22</f>
        <v>0.50270270270270268</v>
      </c>
      <c r="Q23" s="55">
        <f>(Q22-N22)/N22</f>
        <v>0.33093525179856115</v>
      </c>
      <c r="T23" s="70">
        <v>0.7</v>
      </c>
      <c r="W23" s="70">
        <v>0.45</v>
      </c>
      <c r="Z23" s="70">
        <v>0.32</v>
      </c>
      <c r="AC23" s="70">
        <v>0.25</v>
      </c>
      <c r="AF23" s="70">
        <v>0.2</v>
      </c>
    </row>
    <row r="24" spans="2:32" x14ac:dyDescent="0.3">
      <c r="B24" s="93" t="s">
        <v>301</v>
      </c>
      <c r="C24" s="99">
        <f>E24</f>
        <v>95000</v>
      </c>
      <c r="D24" s="99">
        <f>E24</f>
        <v>95000</v>
      </c>
      <c r="E24" s="94">
        <v>95000</v>
      </c>
      <c r="F24" s="99">
        <f>H24</f>
        <v>101000</v>
      </c>
      <c r="G24" s="99">
        <f>H24</f>
        <v>101000</v>
      </c>
      <c r="H24" s="94">
        <v>101000</v>
      </c>
      <c r="I24" s="99">
        <f>K24</f>
        <v>103000</v>
      </c>
      <c r="J24" s="99">
        <f>K24</f>
        <v>103000</v>
      </c>
      <c r="K24" s="94">
        <v>103000</v>
      </c>
      <c r="L24" s="99">
        <f>N24</f>
        <v>104000</v>
      </c>
      <c r="M24" s="99">
        <f>N24</f>
        <v>104000</v>
      </c>
      <c r="N24" s="94">
        <v>104000</v>
      </c>
      <c r="O24" s="99">
        <f>Q24</f>
        <v>105000</v>
      </c>
      <c r="P24" s="99">
        <f>Q24</f>
        <v>105000</v>
      </c>
      <c r="Q24" s="94">
        <v>105000</v>
      </c>
      <c r="R24" s="99">
        <f>T24</f>
        <v>102900</v>
      </c>
      <c r="S24" s="99">
        <f>T24</f>
        <v>102900</v>
      </c>
      <c r="T24" s="95">
        <f>Q24*(1+T25)</f>
        <v>102900</v>
      </c>
      <c r="U24" s="99">
        <f>W24</f>
        <v>101356.5</v>
      </c>
      <c r="V24" s="99">
        <f>W24</f>
        <v>101356.5</v>
      </c>
      <c r="W24" s="95">
        <f>T24*(1+W25)</f>
        <v>101356.5</v>
      </c>
      <c r="X24" s="99">
        <f>Z24</f>
        <v>100342.935</v>
      </c>
      <c r="Y24" s="99">
        <f>Z24</f>
        <v>100342.935</v>
      </c>
      <c r="Z24" s="95">
        <f>W24*(1+Z25)</f>
        <v>100342.935</v>
      </c>
      <c r="AA24" s="99">
        <f>AC24</f>
        <v>100342.935</v>
      </c>
      <c r="AB24" s="99">
        <f>AC24</f>
        <v>100342.935</v>
      </c>
      <c r="AC24" s="95">
        <f>Z24*(1+AC25)</f>
        <v>100342.935</v>
      </c>
      <c r="AD24" s="99">
        <f>AF24</f>
        <v>101346.36435</v>
      </c>
      <c r="AE24" s="99">
        <f>AF24</f>
        <v>101346.36435</v>
      </c>
      <c r="AF24" s="95">
        <f>AC24*(1+AF25)</f>
        <v>101346.36435</v>
      </c>
    </row>
    <row r="25" spans="2:32" x14ac:dyDescent="0.3">
      <c r="B25" s="98" t="s">
        <v>302</v>
      </c>
      <c r="H25" s="55">
        <f>(H24-E24)/E24</f>
        <v>6.3157894736842107E-2</v>
      </c>
      <c r="K25" s="55">
        <f>(K24-H24)/H24</f>
        <v>1.9801980198019802E-2</v>
      </c>
      <c r="N25" s="55">
        <f>(N24-K24)/K24</f>
        <v>9.7087378640776691E-3</v>
      </c>
      <c r="Q25" s="55">
        <f>(Q24-N24)/N24</f>
        <v>9.6153846153846159E-3</v>
      </c>
      <c r="T25" s="70">
        <v>-0.02</v>
      </c>
      <c r="W25" s="70">
        <v>-1.4999999999999999E-2</v>
      </c>
      <c r="Z25" s="70">
        <v>-0.01</v>
      </c>
      <c r="AC25" s="70">
        <v>0</v>
      </c>
      <c r="AF25" s="70">
        <v>0.01</v>
      </c>
    </row>
    <row r="26" spans="2:32" x14ac:dyDescent="0.3">
      <c r="B26" s="100" t="s">
        <v>303</v>
      </c>
      <c r="C26" s="101">
        <f t="shared" ref="C26:AF26" si="2">C22*C24/10000000</f>
        <v>72.959999999999994</v>
      </c>
      <c r="D26" s="101">
        <f t="shared" si="2"/>
        <v>79.040000000000006</v>
      </c>
      <c r="E26" s="101">
        <f t="shared" si="2"/>
        <v>152</v>
      </c>
      <c r="F26" s="101">
        <f t="shared" si="2"/>
        <v>450.86399999999998</v>
      </c>
      <c r="G26" s="101">
        <f t="shared" si="2"/>
        <v>488.43599999999998</v>
      </c>
      <c r="H26" s="101">
        <f t="shared" si="2"/>
        <v>939.3</v>
      </c>
      <c r="I26" s="101">
        <f t="shared" si="2"/>
        <v>921.11869999999999</v>
      </c>
      <c r="J26" s="101">
        <f t="shared" si="2"/>
        <v>984.38130000000001</v>
      </c>
      <c r="K26" s="101">
        <f t="shared" si="2"/>
        <v>1905.5</v>
      </c>
      <c r="L26" s="101">
        <f t="shared" si="2"/>
        <v>1403.9688000000001</v>
      </c>
      <c r="M26" s="101">
        <f t="shared" si="2"/>
        <v>1487.2311999999999</v>
      </c>
      <c r="N26" s="101">
        <f t="shared" si="2"/>
        <v>2891.2</v>
      </c>
      <c r="O26" s="101">
        <f t="shared" si="2"/>
        <v>1806.9135000000001</v>
      </c>
      <c r="P26" s="101">
        <f t="shared" si="2"/>
        <v>2078.0864999999999</v>
      </c>
      <c r="Q26" s="101">
        <f t="shared" si="2"/>
        <v>3885</v>
      </c>
      <c r="R26" s="101">
        <f t="shared" si="2"/>
        <v>3042.0327000000002</v>
      </c>
      <c r="S26" s="101">
        <f t="shared" si="2"/>
        <v>3430.3773000000001</v>
      </c>
      <c r="T26" s="101">
        <f t="shared" si="2"/>
        <v>6472.41</v>
      </c>
      <c r="U26" s="101">
        <f t="shared" si="2"/>
        <v>4344.7832037750004</v>
      </c>
      <c r="V26" s="101">
        <f t="shared" si="2"/>
        <v>4899.4363787250004</v>
      </c>
      <c r="W26" s="101">
        <f t="shared" si="2"/>
        <v>9244.2195824999999</v>
      </c>
      <c r="X26" s="101">
        <f t="shared" si="2"/>
        <v>5677.7626906931691</v>
      </c>
      <c r="Y26" s="101">
        <f t="shared" si="2"/>
        <v>6402.5834597178309</v>
      </c>
      <c r="Z26" s="101">
        <f t="shared" si="2"/>
        <v>12080.346150411</v>
      </c>
      <c r="AA26" s="101">
        <f t="shared" si="2"/>
        <v>7097.2033633664614</v>
      </c>
      <c r="AB26" s="101">
        <f t="shared" si="2"/>
        <v>8003.2293246472882</v>
      </c>
      <c r="AC26" s="101">
        <f t="shared" si="2"/>
        <v>15100.432688013749</v>
      </c>
      <c r="AD26" s="101">
        <f t="shared" si="2"/>
        <v>8601.8104764001528</v>
      </c>
      <c r="AE26" s="101">
        <f t="shared" si="2"/>
        <v>9699.9139414725123</v>
      </c>
      <c r="AF26" s="101">
        <f t="shared" si="2"/>
        <v>18301.724417872665</v>
      </c>
    </row>
    <row r="28" spans="2:32" x14ac:dyDescent="0.3">
      <c r="B28" s="18" t="s">
        <v>306</v>
      </c>
    </row>
    <row r="29" spans="2:32" x14ac:dyDescent="0.3">
      <c r="B29" s="93" t="s">
        <v>299</v>
      </c>
      <c r="C29" s="94">
        <v>181920</v>
      </c>
      <c r="D29" s="95">
        <f>E29-C29</f>
        <v>197080</v>
      </c>
      <c r="E29" s="96">
        <v>379000</v>
      </c>
      <c r="F29" s="94">
        <v>180000</v>
      </c>
      <c r="G29" s="95">
        <f>H29-F29</f>
        <v>195000</v>
      </c>
      <c r="H29" s="96">
        <v>375000</v>
      </c>
      <c r="I29" s="94">
        <v>155655</v>
      </c>
      <c r="J29" s="95">
        <f>K29-I29</f>
        <v>166345</v>
      </c>
      <c r="K29" s="96">
        <v>322000</v>
      </c>
      <c r="L29" s="94">
        <v>165104</v>
      </c>
      <c r="M29" s="95">
        <f>N29-L29</f>
        <v>174896</v>
      </c>
      <c r="N29" s="96">
        <v>340000</v>
      </c>
      <c r="O29" s="94">
        <v>251154</v>
      </c>
      <c r="P29" s="95">
        <f>Q29-O29</f>
        <v>288846</v>
      </c>
      <c r="Q29" s="96">
        <v>540000</v>
      </c>
      <c r="R29" s="95">
        <f>T29*'Guidance &amp; Assumptions'!$C$37</f>
        <v>258875.99999999997</v>
      </c>
      <c r="S29" s="95">
        <f>T29-R29</f>
        <v>291924</v>
      </c>
      <c r="T29" s="97">
        <f>Q29*(1+T30*'Guidance &amp; Assumptions'!$C$40)</f>
        <v>550800</v>
      </c>
      <c r="U29" s="95">
        <f>W29*'Guidance &amp; Assumptions'!$C$37</f>
        <v>261464.75999999998</v>
      </c>
      <c r="V29" s="95">
        <f>W29-U29</f>
        <v>294843.24</v>
      </c>
      <c r="W29" s="97">
        <f>T29*(1+W30*'Guidance &amp; Assumptions'!$C$40)</f>
        <v>556308</v>
      </c>
      <c r="X29" s="95">
        <f>Z29*'Guidance &amp; Assumptions'!$C$37</f>
        <v>264079.40759999998</v>
      </c>
      <c r="Y29" s="95">
        <f>Z29-X29</f>
        <v>297791.67239999998</v>
      </c>
      <c r="Z29" s="97">
        <f>W29*(1+Z30*'Guidance &amp; Assumptions'!$C$40)</f>
        <v>561871.07999999996</v>
      </c>
      <c r="AA29" s="95">
        <f>AC29*'Guidance &amp; Assumptions'!$C$37</f>
        <v>264079.40759999998</v>
      </c>
      <c r="AB29" s="95">
        <f>AC29-AA29</f>
        <v>297791.67239999998</v>
      </c>
      <c r="AC29" s="97">
        <f>Z29*(1+AC30*'Guidance &amp; Assumptions'!$C$40)</f>
        <v>561871.07999999996</v>
      </c>
      <c r="AD29" s="95">
        <f>AF29*'Guidance &amp; Assumptions'!$C$37</f>
        <v>264079.40759999998</v>
      </c>
      <c r="AE29" s="95">
        <f>AF29-AD29</f>
        <v>297791.67239999998</v>
      </c>
      <c r="AF29" s="97">
        <f>AC29*(1+AF30*'Guidance &amp; Assumptions'!$C$40)</f>
        <v>561871.07999999996</v>
      </c>
    </row>
    <row r="30" spans="2:32" x14ac:dyDescent="0.3">
      <c r="B30" s="98" t="s">
        <v>300</v>
      </c>
      <c r="H30" s="55">
        <f>(H29-E29)/E29</f>
        <v>-1.0554089709762533E-2</v>
      </c>
      <c r="K30" s="55">
        <f>(K29-H29)/H29</f>
        <v>-0.14133333333333334</v>
      </c>
      <c r="N30" s="55">
        <f>(N29-K29)/K29</f>
        <v>5.5900621118012424E-2</v>
      </c>
      <c r="Q30" s="55">
        <f>(Q29-N29)/N29</f>
        <v>0.58823529411764708</v>
      </c>
      <c r="T30" s="70">
        <v>0.02</v>
      </c>
      <c r="W30" s="70">
        <v>0.01</v>
      </c>
      <c r="Z30" s="70">
        <v>0.01</v>
      </c>
      <c r="AC30" s="70">
        <v>0</v>
      </c>
      <c r="AF30" s="70">
        <v>0</v>
      </c>
    </row>
    <row r="31" spans="2:32" x14ac:dyDescent="0.3">
      <c r="B31" s="93" t="s">
        <v>301</v>
      </c>
      <c r="C31" s="99">
        <f>E31</f>
        <v>35000</v>
      </c>
      <c r="D31" s="99">
        <f>E31</f>
        <v>35000</v>
      </c>
      <c r="E31" s="94">
        <v>35000</v>
      </c>
      <c r="F31" s="99">
        <f>H31</f>
        <v>37000</v>
      </c>
      <c r="G31" s="99">
        <f>H31</f>
        <v>37000</v>
      </c>
      <c r="H31" s="94">
        <v>37000</v>
      </c>
      <c r="I31" s="99">
        <f>K31</f>
        <v>39500</v>
      </c>
      <c r="J31" s="99">
        <f>K31</f>
        <v>39500</v>
      </c>
      <c r="K31" s="94">
        <v>39500</v>
      </c>
      <c r="L31" s="99">
        <f>N31</f>
        <v>40000</v>
      </c>
      <c r="M31" s="99">
        <f>N31</f>
        <v>40000</v>
      </c>
      <c r="N31" s="94">
        <v>40000</v>
      </c>
      <c r="O31" s="99">
        <f>Q31</f>
        <v>42000</v>
      </c>
      <c r="P31" s="99">
        <f>Q31</f>
        <v>42000</v>
      </c>
      <c r="Q31" s="94">
        <v>42000</v>
      </c>
      <c r="R31" s="99">
        <f>T31</f>
        <v>43260</v>
      </c>
      <c r="S31" s="99">
        <f>T31</f>
        <v>43260</v>
      </c>
      <c r="T31" s="95">
        <f>Q31*(1+T32)</f>
        <v>43260</v>
      </c>
      <c r="U31" s="99">
        <f>W31</f>
        <v>44557.8</v>
      </c>
      <c r="V31" s="99">
        <f>W31</f>
        <v>44557.8</v>
      </c>
      <c r="W31" s="95">
        <f>T31*(1+W32)</f>
        <v>44557.8</v>
      </c>
      <c r="X31" s="99">
        <f>Z31</f>
        <v>45894.534000000007</v>
      </c>
      <c r="Y31" s="99">
        <f>Z31</f>
        <v>45894.534000000007</v>
      </c>
      <c r="Z31" s="95">
        <f>W31*(1+Z32)</f>
        <v>45894.534000000007</v>
      </c>
      <c r="AA31" s="99">
        <f>AC31</f>
        <v>47271.370020000009</v>
      </c>
      <c r="AB31" s="99">
        <f>AC31</f>
        <v>47271.370020000009</v>
      </c>
      <c r="AC31" s="95">
        <f>Z31*(1+AC32)</f>
        <v>47271.370020000009</v>
      </c>
      <c r="AD31" s="99">
        <f>AF31</f>
        <v>48689.511120600007</v>
      </c>
      <c r="AE31" s="99">
        <f>AF31</f>
        <v>48689.511120600007</v>
      </c>
      <c r="AF31" s="95">
        <f>AC31*(1+AF32)</f>
        <v>48689.511120600007</v>
      </c>
    </row>
    <row r="32" spans="2:32" x14ac:dyDescent="0.3">
      <c r="B32" s="98" t="s">
        <v>302</v>
      </c>
      <c r="H32" s="55">
        <f>(H31-E31)/E31</f>
        <v>5.7142857142857141E-2</v>
      </c>
      <c r="K32" s="55">
        <f>(K31-H31)/H31</f>
        <v>6.7567567567567571E-2</v>
      </c>
      <c r="N32" s="55">
        <f>(N31-K31)/K31</f>
        <v>1.2658227848101266E-2</v>
      </c>
      <c r="Q32" s="55">
        <f>(Q31-N31)/N31</f>
        <v>0.05</v>
      </c>
      <c r="T32" s="70">
        <v>0.03</v>
      </c>
      <c r="W32" s="70">
        <v>0.03</v>
      </c>
      <c r="Z32" s="70">
        <v>0.03</v>
      </c>
      <c r="AC32" s="70">
        <v>0.03</v>
      </c>
      <c r="AF32" s="70">
        <v>0.03</v>
      </c>
    </row>
    <row r="33" spans="2:32" x14ac:dyDescent="0.3">
      <c r="B33" s="100" t="s">
        <v>303</v>
      </c>
      <c r="C33" s="101">
        <f t="shared" ref="C33:AF33" si="3">C29*C31/10000000</f>
        <v>636.72</v>
      </c>
      <c r="D33" s="101">
        <f t="shared" si="3"/>
        <v>689.78</v>
      </c>
      <c r="E33" s="101">
        <f t="shared" si="3"/>
        <v>1326.5</v>
      </c>
      <c r="F33" s="101">
        <f t="shared" si="3"/>
        <v>666</v>
      </c>
      <c r="G33" s="101">
        <f t="shared" si="3"/>
        <v>721.5</v>
      </c>
      <c r="H33" s="101">
        <f t="shared" si="3"/>
        <v>1387.5</v>
      </c>
      <c r="I33" s="101">
        <f t="shared" si="3"/>
        <v>614.83725000000004</v>
      </c>
      <c r="J33" s="101">
        <f t="shared" si="3"/>
        <v>657.06275000000005</v>
      </c>
      <c r="K33" s="101">
        <f t="shared" si="3"/>
        <v>1271.9000000000001</v>
      </c>
      <c r="L33" s="101">
        <f t="shared" si="3"/>
        <v>660.41600000000005</v>
      </c>
      <c r="M33" s="101">
        <f t="shared" si="3"/>
        <v>699.58399999999995</v>
      </c>
      <c r="N33" s="101">
        <f t="shared" si="3"/>
        <v>1360</v>
      </c>
      <c r="O33" s="101">
        <f t="shared" si="3"/>
        <v>1054.8468</v>
      </c>
      <c r="P33" s="101">
        <f t="shared" si="3"/>
        <v>1213.1532</v>
      </c>
      <c r="Q33" s="101">
        <f t="shared" si="3"/>
        <v>2268</v>
      </c>
      <c r="R33" s="101">
        <f t="shared" si="3"/>
        <v>1119.8975759999998</v>
      </c>
      <c r="S33" s="101">
        <f t="shared" si="3"/>
        <v>1262.8632239999999</v>
      </c>
      <c r="T33" s="101">
        <f t="shared" si="3"/>
        <v>2382.7608</v>
      </c>
      <c r="U33" s="101">
        <f t="shared" si="3"/>
        <v>1165.0294483128</v>
      </c>
      <c r="V33" s="101">
        <f t="shared" si="3"/>
        <v>1313.7566119272001</v>
      </c>
      <c r="W33" s="101">
        <f t="shared" si="3"/>
        <v>2478.7860602400001</v>
      </c>
      <c r="X33" s="101">
        <f t="shared" si="3"/>
        <v>1211.9801350798059</v>
      </c>
      <c r="Y33" s="101">
        <f t="shared" si="3"/>
        <v>1366.7010033878662</v>
      </c>
      <c r="Z33" s="101">
        <f t="shared" si="3"/>
        <v>2578.6811384676726</v>
      </c>
      <c r="AA33" s="101">
        <f t="shared" si="3"/>
        <v>1248.3395391322003</v>
      </c>
      <c r="AB33" s="101">
        <f t="shared" si="3"/>
        <v>1407.7020334895024</v>
      </c>
      <c r="AC33" s="101">
        <f t="shared" si="3"/>
        <v>2656.0415726217025</v>
      </c>
      <c r="AD33" s="101">
        <f t="shared" si="3"/>
        <v>1285.789725306166</v>
      </c>
      <c r="AE33" s="101">
        <f t="shared" si="3"/>
        <v>1449.9330944941873</v>
      </c>
      <c r="AF33" s="101">
        <f t="shared" si="3"/>
        <v>2735.7228198003536</v>
      </c>
    </row>
    <row r="35" spans="2:32" x14ac:dyDescent="0.3">
      <c r="B35" s="18" t="s">
        <v>307</v>
      </c>
    </row>
    <row r="36" spans="2:32" x14ac:dyDescent="0.3">
      <c r="B36" s="93" t="s">
        <v>299</v>
      </c>
      <c r="C36" s="94">
        <v>76320</v>
      </c>
      <c r="D36" s="95">
        <f>E36-C36</f>
        <v>82680</v>
      </c>
      <c r="E36" s="96">
        <v>159000</v>
      </c>
      <c r="F36" s="94">
        <v>81600</v>
      </c>
      <c r="G36" s="95">
        <f>H36-F36</f>
        <v>88400</v>
      </c>
      <c r="H36" s="96">
        <v>170000</v>
      </c>
      <c r="I36" s="94">
        <v>79278</v>
      </c>
      <c r="J36" s="95">
        <f>K36-I36</f>
        <v>84722</v>
      </c>
      <c r="K36" s="96">
        <v>164000</v>
      </c>
      <c r="L36" s="94">
        <v>65556</v>
      </c>
      <c r="M36" s="95">
        <f>N36-L36</f>
        <v>69444</v>
      </c>
      <c r="N36" s="96">
        <v>135000</v>
      </c>
      <c r="O36" s="94">
        <v>101857</v>
      </c>
      <c r="P36" s="95">
        <f>Q36-O36</f>
        <v>117143</v>
      </c>
      <c r="Q36" s="96">
        <v>219000</v>
      </c>
      <c r="R36" s="95">
        <f>T36*'Guidance &amp; Assumptions'!$C$37</f>
        <v>133809</v>
      </c>
      <c r="S36" s="95">
        <f>T36-R36</f>
        <v>150891</v>
      </c>
      <c r="T36" s="97">
        <f>Q36*(1+T37*'Guidance &amp; Assumptions'!$C$40)</f>
        <v>284700</v>
      </c>
      <c r="U36" s="95">
        <f>W36*'Guidance &amp; Assumptions'!$C$37</f>
        <v>160570.79999999999</v>
      </c>
      <c r="V36" s="95">
        <f>W36-U36</f>
        <v>181069.2</v>
      </c>
      <c r="W36" s="97">
        <f>T36*(1+W37*'Guidance &amp; Assumptions'!$C$40)</f>
        <v>341640</v>
      </c>
      <c r="X36" s="95">
        <f>Z36*'Guidance &amp; Assumptions'!$C$37</f>
        <v>184656.41999999995</v>
      </c>
      <c r="Y36" s="95">
        <f>Z36-X36</f>
        <v>208229.58</v>
      </c>
      <c r="Z36" s="97">
        <f>W36*(1+Z37*'Guidance &amp; Assumptions'!$C$40)</f>
        <v>392885.99999999994</v>
      </c>
      <c r="AA36" s="95">
        <f>AC36*'Guidance &amp; Assumptions'!$C$37</f>
        <v>206815.19039999996</v>
      </c>
      <c r="AB36" s="95">
        <f>AC36-AA36</f>
        <v>233217.12959999999</v>
      </c>
      <c r="AC36" s="97">
        <f>Z36*(1+AC37*'Guidance &amp; Assumptions'!$C$40)</f>
        <v>440032.31999999995</v>
      </c>
      <c r="AD36" s="95">
        <f>AF36*'Guidance &amp; Assumptions'!$C$37</f>
        <v>227496.70943999998</v>
      </c>
      <c r="AE36" s="95">
        <f>AF36-AD36</f>
        <v>256538.84255999999</v>
      </c>
      <c r="AF36" s="97">
        <f>AC36*(1+AF37*'Guidance &amp; Assumptions'!$C$40)</f>
        <v>484035.55199999997</v>
      </c>
    </row>
    <row r="37" spans="2:32" x14ac:dyDescent="0.3">
      <c r="B37" s="98" t="s">
        <v>300</v>
      </c>
      <c r="H37" s="55">
        <f>(H36-E36)/E36</f>
        <v>6.9182389937106917E-2</v>
      </c>
      <c r="K37" s="55">
        <f>(K36-H36)/H36</f>
        <v>-3.5294117647058823E-2</v>
      </c>
      <c r="N37" s="55">
        <f>(N36-K36)/K36</f>
        <v>-0.17682926829268292</v>
      </c>
      <c r="Q37" s="55">
        <f>(Q36-N36)/N36</f>
        <v>0.62222222222222223</v>
      </c>
      <c r="T37" s="70">
        <v>0.3</v>
      </c>
      <c r="W37" s="70">
        <v>0.2</v>
      </c>
      <c r="Z37" s="70">
        <v>0.15</v>
      </c>
      <c r="AC37" s="70">
        <v>0.12</v>
      </c>
      <c r="AF37" s="70">
        <v>0.1</v>
      </c>
    </row>
    <row r="38" spans="2:32" x14ac:dyDescent="0.3">
      <c r="B38" s="93" t="s">
        <v>301</v>
      </c>
      <c r="C38" s="99">
        <f>E38</f>
        <v>142000</v>
      </c>
      <c r="D38" s="99">
        <f>E38</f>
        <v>142000</v>
      </c>
      <c r="E38" s="94">
        <v>142000</v>
      </c>
      <c r="F38" s="99">
        <f>H38</f>
        <v>152000</v>
      </c>
      <c r="G38" s="99">
        <f>H38</f>
        <v>152000</v>
      </c>
      <c r="H38" s="94">
        <v>152000</v>
      </c>
      <c r="I38" s="99">
        <f>K38</f>
        <v>165000</v>
      </c>
      <c r="J38" s="99">
        <f>K38</f>
        <v>165000</v>
      </c>
      <c r="K38" s="94">
        <v>165000</v>
      </c>
      <c r="L38" s="99">
        <f>N38</f>
        <v>168000</v>
      </c>
      <c r="M38" s="99">
        <f>N38</f>
        <v>168000</v>
      </c>
      <c r="N38" s="94">
        <v>168000</v>
      </c>
      <c r="O38" s="99">
        <f>Q38</f>
        <v>175000</v>
      </c>
      <c r="P38" s="99">
        <f>Q38</f>
        <v>175000</v>
      </c>
      <c r="Q38" s="94">
        <v>175000</v>
      </c>
      <c r="R38" s="99">
        <f>T38</f>
        <v>180250</v>
      </c>
      <c r="S38" s="99">
        <f>T38</f>
        <v>180250</v>
      </c>
      <c r="T38" s="95">
        <f>Q38*(1+T39)</f>
        <v>180250</v>
      </c>
      <c r="U38" s="99">
        <f>W38</f>
        <v>185657.5</v>
      </c>
      <c r="V38" s="99">
        <f>W38</f>
        <v>185657.5</v>
      </c>
      <c r="W38" s="95">
        <f>T38*(1+W39)</f>
        <v>185657.5</v>
      </c>
      <c r="X38" s="99">
        <f>Z38</f>
        <v>191227.22500000001</v>
      </c>
      <c r="Y38" s="99">
        <f>Z38</f>
        <v>191227.22500000001</v>
      </c>
      <c r="Z38" s="95">
        <f>W38*(1+Z39)</f>
        <v>191227.22500000001</v>
      </c>
      <c r="AA38" s="99">
        <f>AC38</f>
        <v>196964.04175</v>
      </c>
      <c r="AB38" s="99">
        <f>AC38</f>
        <v>196964.04175</v>
      </c>
      <c r="AC38" s="95">
        <f>Z38*(1+AC39)</f>
        <v>196964.04175</v>
      </c>
      <c r="AD38" s="99">
        <f>AF38</f>
        <v>202872.96300250001</v>
      </c>
      <c r="AE38" s="99">
        <f>AF38</f>
        <v>202872.96300250001</v>
      </c>
      <c r="AF38" s="95">
        <f>AC38*(1+AF39)</f>
        <v>202872.96300250001</v>
      </c>
    </row>
    <row r="39" spans="2:32" x14ac:dyDescent="0.3">
      <c r="B39" s="98" t="s">
        <v>302</v>
      </c>
      <c r="H39" s="55">
        <f>(H38-E38)/E38</f>
        <v>7.0422535211267609E-2</v>
      </c>
      <c r="K39" s="55">
        <f>(K38-H38)/H38</f>
        <v>8.5526315789473686E-2</v>
      </c>
      <c r="N39" s="55">
        <f>(N38-K38)/K38</f>
        <v>1.8181818181818181E-2</v>
      </c>
      <c r="Q39" s="55">
        <f>(Q38-N38)/N38</f>
        <v>4.1666666666666664E-2</v>
      </c>
      <c r="T39" s="70">
        <v>0.03</v>
      </c>
      <c r="W39" s="70">
        <v>0.03</v>
      </c>
      <c r="Z39" s="70">
        <v>0.03</v>
      </c>
      <c r="AC39" s="70">
        <v>0.03</v>
      </c>
      <c r="AF39" s="70">
        <v>0.03</v>
      </c>
    </row>
    <row r="40" spans="2:32" x14ac:dyDescent="0.3">
      <c r="B40" s="100" t="s">
        <v>303</v>
      </c>
      <c r="C40" s="101">
        <f t="shared" ref="C40:AF40" si="4">C36*C38/10000000</f>
        <v>1083.7439999999999</v>
      </c>
      <c r="D40" s="101">
        <f t="shared" si="4"/>
        <v>1174.056</v>
      </c>
      <c r="E40" s="101">
        <f t="shared" si="4"/>
        <v>2257.8000000000002</v>
      </c>
      <c r="F40" s="101">
        <f t="shared" si="4"/>
        <v>1240.32</v>
      </c>
      <c r="G40" s="101">
        <f t="shared" si="4"/>
        <v>1343.68</v>
      </c>
      <c r="H40" s="101">
        <f t="shared" si="4"/>
        <v>2584</v>
      </c>
      <c r="I40" s="101">
        <f t="shared" si="4"/>
        <v>1308.087</v>
      </c>
      <c r="J40" s="101">
        <f t="shared" si="4"/>
        <v>1397.913</v>
      </c>
      <c r="K40" s="101">
        <f t="shared" si="4"/>
        <v>2706</v>
      </c>
      <c r="L40" s="101">
        <f t="shared" si="4"/>
        <v>1101.3407999999999</v>
      </c>
      <c r="M40" s="101">
        <f t="shared" si="4"/>
        <v>1166.6592000000001</v>
      </c>
      <c r="N40" s="101">
        <f t="shared" si="4"/>
        <v>2268</v>
      </c>
      <c r="O40" s="101">
        <f t="shared" si="4"/>
        <v>1782.4974999999999</v>
      </c>
      <c r="P40" s="101">
        <f t="shared" si="4"/>
        <v>2050.0025000000001</v>
      </c>
      <c r="Q40" s="101">
        <f t="shared" si="4"/>
        <v>3832.5</v>
      </c>
      <c r="R40" s="101">
        <f t="shared" si="4"/>
        <v>2411.9072249999999</v>
      </c>
      <c r="S40" s="101">
        <f t="shared" si="4"/>
        <v>2719.8102749999998</v>
      </c>
      <c r="T40" s="101">
        <f t="shared" si="4"/>
        <v>5131.7174999999997</v>
      </c>
      <c r="U40" s="101">
        <f t="shared" si="4"/>
        <v>2981.1173300999994</v>
      </c>
      <c r="V40" s="101">
        <f t="shared" si="4"/>
        <v>3361.6854999000002</v>
      </c>
      <c r="W40" s="101">
        <f t="shared" si="4"/>
        <v>6342.8028299999996</v>
      </c>
      <c r="X40" s="101">
        <f t="shared" si="4"/>
        <v>3531.1334775034493</v>
      </c>
      <c r="Y40" s="101">
        <f t="shared" si="4"/>
        <v>3981.91647463155</v>
      </c>
      <c r="Z40" s="101">
        <f t="shared" si="4"/>
        <v>7513.0499521349993</v>
      </c>
      <c r="AA40" s="101">
        <f t="shared" si="4"/>
        <v>4073.5155796479789</v>
      </c>
      <c r="AB40" s="101">
        <f t="shared" si="4"/>
        <v>4593.5388451349554</v>
      </c>
      <c r="AC40" s="101">
        <f t="shared" si="4"/>
        <v>8667.0544247829348</v>
      </c>
      <c r="AD40" s="101">
        <f t="shared" si="4"/>
        <v>4615.2931517411607</v>
      </c>
      <c r="AE40" s="101">
        <f t="shared" si="4"/>
        <v>5204.4795115379047</v>
      </c>
      <c r="AF40" s="101">
        <f t="shared" si="4"/>
        <v>9819.7726632790673</v>
      </c>
    </row>
    <row r="42" spans="2:32" x14ac:dyDescent="0.3">
      <c r="B42" s="29" t="s">
        <v>308</v>
      </c>
      <c r="C42" s="102">
        <f t="shared" ref="C42:AF42" si="5">C8+C15+C22+C29+C36</f>
        <v>1545600</v>
      </c>
      <c r="D42" s="102">
        <f t="shared" si="5"/>
        <v>1674400</v>
      </c>
      <c r="E42" s="102">
        <f t="shared" si="5"/>
        <v>3220000</v>
      </c>
      <c r="F42" s="102">
        <f t="shared" si="5"/>
        <v>1844160</v>
      </c>
      <c r="G42" s="102">
        <f t="shared" si="5"/>
        <v>1997840</v>
      </c>
      <c r="H42" s="102">
        <f t="shared" si="5"/>
        <v>3842000</v>
      </c>
      <c r="I42" s="102">
        <f t="shared" si="5"/>
        <v>2026897</v>
      </c>
      <c r="J42" s="102">
        <f t="shared" si="5"/>
        <v>2166103</v>
      </c>
      <c r="K42" s="102">
        <f t="shared" si="5"/>
        <v>4193000</v>
      </c>
      <c r="L42" s="102">
        <f t="shared" si="5"/>
        <v>2303687</v>
      </c>
      <c r="M42" s="102">
        <f t="shared" si="5"/>
        <v>2440313</v>
      </c>
      <c r="N42" s="102">
        <f t="shared" si="5"/>
        <v>4744000</v>
      </c>
      <c r="O42" s="102">
        <f t="shared" si="5"/>
        <v>2738974</v>
      </c>
      <c r="P42" s="102">
        <f t="shared" si="5"/>
        <v>3150026</v>
      </c>
      <c r="Q42" s="102">
        <f t="shared" si="5"/>
        <v>5889000</v>
      </c>
      <c r="R42" s="102">
        <f t="shared" si="5"/>
        <v>3268709</v>
      </c>
      <c r="S42" s="102">
        <f t="shared" si="5"/>
        <v>3685991</v>
      </c>
      <c r="T42" s="102">
        <f t="shared" si="5"/>
        <v>6954700</v>
      </c>
      <c r="U42" s="102">
        <f t="shared" si="5"/>
        <v>3736813.0199999996</v>
      </c>
      <c r="V42" s="102">
        <f t="shared" si="5"/>
        <v>4213852.9800000004</v>
      </c>
      <c r="W42" s="102">
        <f t="shared" si="5"/>
        <v>7950666</v>
      </c>
      <c r="X42" s="102">
        <f t="shared" si="5"/>
        <v>4169731.4488000004</v>
      </c>
      <c r="Y42" s="102">
        <f t="shared" si="5"/>
        <v>4702037.5911999997</v>
      </c>
      <c r="Z42" s="102">
        <f t="shared" si="5"/>
        <v>8871769.040000001</v>
      </c>
      <c r="AA42" s="102">
        <f t="shared" si="5"/>
        <v>4565496.9933000002</v>
      </c>
      <c r="AB42" s="102">
        <f t="shared" si="5"/>
        <v>5148326.3967000004</v>
      </c>
      <c r="AC42" s="102">
        <f t="shared" si="5"/>
        <v>9713823.3900000025</v>
      </c>
      <c r="AD42" s="102">
        <f t="shared" si="5"/>
        <v>4944214.6858056011</v>
      </c>
      <c r="AE42" s="102">
        <f t="shared" si="5"/>
        <v>5575391.0286744004</v>
      </c>
      <c r="AF42" s="102">
        <f t="shared" si="5"/>
        <v>10519605.714480001</v>
      </c>
    </row>
    <row r="43" spans="2:32" x14ac:dyDescent="0.3">
      <c r="B43" s="52" t="s">
        <v>300</v>
      </c>
      <c r="H43" s="55">
        <f>(H42-E42)/E42</f>
        <v>0.19316770186335402</v>
      </c>
      <c r="K43" s="55">
        <f>(K42-H42)/H42</f>
        <v>9.1358667360749615E-2</v>
      </c>
      <c r="N43" s="55">
        <f>(N42-K42)/K42</f>
        <v>0.13140949201049368</v>
      </c>
      <c r="Q43" s="55">
        <f>(Q42-N42)/N42</f>
        <v>0.24135750421585161</v>
      </c>
      <c r="T43" s="55">
        <f>(T42-Q42)/Q42</f>
        <v>0.18096451010358294</v>
      </c>
      <c r="W43" s="55">
        <f>(W42-T42)/T42</f>
        <v>0.14320761499417661</v>
      </c>
      <c r="Z43" s="55">
        <f>(Z42-W42)/W42</f>
        <v>0.11585231224654652</v>
      </c>
      <c r="AC43" s="55">
        <f>(AC42-Z42)/Z42</f>
        <v>9.4913916965539191E-2</v>
      </c>
      <c r="AF43" s="55">
        <f>(AF42-AC42)/AC42</f>
        <v>8.2952128335946493E-2</v>
      </c>
    </row>
    <row r="44" spans="2:32" x14ac:dyDescent="0.3">
      <c r="B44" s="32" t="s">
        <v>309</v>
      </c>
      <c r="C44" s="95">
        <f t="shared" ref="C44:AF44" si="6">C45*10000000/C42</f>
        <v>58021.583850931675</v>
      </c>
      <c r="D44" s="95">
        <f t="shared" si="6"/>
        <v>58021.583850931675</v>
      </c>
      <c r="E44" s="95">
        <f t="shared" si="6"/>
        <v>58021.583850931675</v>
      </c>
      <c r="F44" s="95">
        <f t="shared" si="6"/>
        <v>62652.524726704833</v>
      </c>
      <c r="G44" s="95">
        <f t="shared" si="6"/>
        <v>62652.52472670484</v>
      </c>
      <c r="H44" s="95">
        <f t="shared" si="6"/>
        <v>62652.52472670484</v>
      </c>
      <c r="I44" s="95">
        <f t="shared" si="6"/>
        <v>68497.273418432218</v>
      </c>
      <c r="J44" s="95">
        <f t="shared" si="6"/>
        <v>68497.242282569205</v>
      </c>
      <c r="K44" s="95">
        <f t="shared" si="6"/>
        <v>68497.257333651331</v>
      </c>
      <c r="L44" s="95">
        <f t="shared" si="6"/>
        <v>69298.589608744587</v>
      </c>
      <c r="M44" s="95">
        <f t="shared" si="6"/>
        <v>69298.585878123005</v>
      </c>
      <c r="N44" s="95">
        <f t="shared" si="6"/>
        <v>69298.587689713328</v>
      </c>
      <c r="O44" s="95">
        <f t="shared" si="6"/>
        <v>73003.06027001352</v>
      </c>
      <c r="P44" s="95">
        <f t="shared" si="6"/>
        <v>73003.053308131421</v>
      </c>
      <c r="Q44" s="95">
        <f t="shared" si="6"/>
        <v>73003.056546102904</v>
      </c>
      <c r="R44" s="95">
        <f t="shared" si="6"/>
        <v>76779.336419974978</v>
      </c>
      <c r="S44" s="95">
        <f t="shared" si="6"/>
        <v>76779.336419974978</v>
      </c>
      <c r="T44" s="95">
        <f t="shared" si="6"/>
        <v>76779.336419974978</v>
      </c>
      <c r="U44" s="95">
        <f t="shared" si="6"/>
        <v>79987.054886043508</v>
      </c>
      <c r="V44" s="95">
        <f t="shared" si="6"/>
        <v>79987.054886043508</v>
      </c>
      <c r="W44" s="95">
        <f t="shared" si="6"/>
        <v>79987.054886043523</v>
      </c>
      <c r="X44" s="95">
        <f t="shared" si="6"/>
        <v>82815.156421240594</v>
      </c>
      <c r="Y44" s="95">
        <f t="shared" si="6"/>
        <v>82815.156421240623</v>
      </c>
      <c r="Z44" s="95">
        <f t="shared" si="6"/>
        <v>82815.156421240594</v>
      </c>
      <c r="AA44" s="95">
        <f t="shared" si="6"/>
        <v>85637.424388163679</v>
      </c>
      <c r="AB44" s="95">
        <f t="shared" si="6"/>
        <v>85637.424388163679</v>
      </c>
      <c r="AC44" s="95">
        <f t="shared" si="6"/>
        <v>85637.424388163665</v>
      </c>
      <c r="AD44" s="95">
        <f t="shared" si="6"/>
        <v>88503.225592719406</v>
      </c>
      <c r="AE44" s="95">
        <f t="shared" si="6"/>
        <v>88503.22559271942</v>
      </c>
      <c r="AF44" s="95">
        <f t="shared" si="6"/>
        <v>88503.22559271942</v>
      </c>
    </row>
    <row r="45" spans="2:32" x14ac:dyDescent="0.3">
      <c r="B45" s="29" t="s">
        <v>310</v>
      </c>
      <c r="C45" s="103">
        <f t="shared" ref="C45:AF45" si="7">C12+C19+C26+C33+C40</f>
        <v>8967.8160000000007</v>
      </c>
      <c r="D45" s="103">
        <f t="shared" si="7"/>
        <v>9715.134</v>
      </c>
      <c r="E45" s="103">
        <f t="shared" si="7"/>
        <v>18682.95</v>
      </c>
      <c r="F45" s="103">
        <f t="shared" si="7"/>
        <v>11554.127999999999</v>
      </c>
      <c r="G45" s="103">
        <f t="shared" si="7"/>
        <v>12516.972</v>
      </c>
      <c r="H45" s="103">
        <f t="shared" si="7"/>
        <v>24071.1</v>
      </c>
      <c r="I45" s="103">
        <f t="shared" si="7"/>
        <v>13883.691800000001</v>
      </c>
      <c r="J45" s="103">
        <f t="shared" si="7"/>
        <v>14837.208200000001</v>
      </c>
      <c r="K45" s="103">
        <f t="shared" si="7"/>
        <v>28720.9</v>
      </c>
      <c r="L45" s="103">
        <f t="shared" si="7"/>
        <v>15964.226000000001</v>
      </c>
      <c r="M45" s="103">
        <f t="shared" si="7"/>
        <v>16911.023999999998</v>
      </c>
      <c r="N45" s="103">
        <f t="shared" si="7"/>
        <v>32875.25</v>
      </c>
      <c r="O45" s="103">
        <f t="shared" si="7"/>
        <v>19995.348399999999</v>
      </c>
      <c r="P45" s="103">
        <f t="shared" si="7"/>
        <v>22996.151600000001</v>
      </c>
      <c r="Q45" s="103">
        <f t="shared" si="7"/>
        <v>42991.5</v>
      </c>
      <c r="R45" s="103">
        <f t="shared" si="7"/>
        <v>25096.930796999997</v>
      </c>
      <c r="S45" s="103">
        <f t="shared" si="7"/>
        <v>28300.794302999999</v>
      </c>
      <c r="T45" s="103">
        <f t="shared" si="7"/>
        <v>53397.725099999996</v>
      </c>
      <c r="U45" s="103">
        <f t="shared" si="7"/>
        <v>29889.666812962194</v>
      </c>
      <c r="V45" s="103">
        <f t="shared" si="7"/>
        <v>33705.368959297804</v>
      </c>
      <c r="W45" s="103">
        <f t="shared" si="7"/>
        <v>63595.035772260009</v>
      </c>
      <c r="X45" s="103">
        <f t="shared" si="7"/>
        <v>34531.696216693817</v>
      </c>
      <c r="Y45" s="103">
        <f t="shared" si="7"/>
        <v>38939.997861378142</v>
      </c>
      <c r="Z45" s="103">
        <f t="shared" si="7"/>
        <v>73471.69407807196</v>
      </c>
      <c r="AA45" s="103">
        <f t="shared" si="7"/>
        <v>39097.740355811737</v>
      </c>
      <c r="AB45" s="103">
        <f t="shared" si="7"/>
        <v>44088.941252298348</v>
      </c>
      <c r="AC45" s="103">
        <f t="shared" si="7"/>
        <v>83186.681608110084</v>
      </c>
      <c r="AD45" s="103">
        <f t="shared" si="7"/>
        <v>43757.894771668936</v>
      </c>
      <c r="AE45" s="103">
        <f t="shared" si="7"/>
        <v>49344.008997839439</v>
      </c>
      <c r="AF45" s="103">
        <f t="shared" si="7"/>
        <v>93101.903769508383</v>
      </c>
    </row>
    <row r="47" spans="2:32" x14ac:dyDescent="0.3">
      <c r="B47" s="32" t="s">
        <v>311</v>
      </c>
      <c r="C47" s="104">
        <f t="shared" ref="C47:Q47" si="8">C51-C45</f>
        <v>1012.1839999999993</v>
      </c>
      <c r="D47" s="104">
        <f t="shared" si="8"/>
        <v>1095.866</v>
      </c>
      <c r="E47" s="104">
        <f t="shared" si="8"/>
        <v>2108.0499999999993</v>
      </c>
      <c r="F47" s="104">
        <f t="shared" si="8"/>
        <v>1106.8720000000012</v>
      </c>
      <c r="G47" s="104">
        <f t="shared" si="8"/>
        <v>1200.0280000000002</v>
      </c>
      <c r="H47" s="104">
        <f t="shared" si="8"/>
        <v>2306.9000000000015</v>
      </c>
      <c r="I47" s="104">
        <f t="shared" si="8"/>
        <v>1477.3081999999995</v>
      </c>
      <c r="J47" s="104">
        <f t="shared" si="8"/>
        <v>1577.7917999999991</v>
      </c>
      <c r="K47" s="104">
        <f t="shared" si="8"/>
        <v>3055.0999999999985</v>
      </c>
      <c r="L47" s="104">
        <f t="shared" si="8"/>
        <v>1638.7739999999994</v>
      </c>
      <c r="M47" s="104">
        <f t="shared" si="8"/>
        <v>1736.9760000000024</v>
      </c>
      <c r="N47" s="104">
        <f t="shared" si="8"/>
        <v>3375.75</v>
      </c>
      <c r="O47" s="104">
        <f t="shared" si="8"/>
        <v>1989.6516000000011</v>
      </c>
      <c r="P47" s="104">
        <f t="shared" si="8"/>
        <v>2288.8483999999989</v>
      </c>
      <c r="Q47" s="104">
        <f t="shared" si="8"/>
        <v>4278.5</v>
      </c>
      <c r="R47" s="104">
        <f>R45*'Guidance &amp; Assumptions'!$C$36</f>
        <v>2509.6930797</v>
      </c>
      <c r="S47" s="104">
        <f>S45*'Guidance &amp; Assumptions'!$C$36</f>
        <v>2830.0794303000002</v>
      </c>
      <c r="T47" s="104">
        <f>T45*'Guidance &amp; Assumptions'!$C$36</f>
        <v>5339.7725099999998</v>
      </c>
      <c r="U47" s="104">
        <f>U45*'Guidance &amp; Assumptions'!$C$36</f>
        <v>2988.9666812962196</v>
      </c>
      <c r="V47" s="104">
        <f>V45*'Guidance &amp; Assumptions'!$C$36</f>
        <v>3370.5368959297807</v>
      </c>
      <c r="W47" s="104">
        <f>W45*'Guidance &amp; Assumptions'!$C$36</f>
        <v>6359.5035772260017</v>
      </c>
      <c r="X47" s="104">
        <f>X45*'Guidance &amp; Assumptions'!$C$36</f>
        <v>3453.1696216693817</v>
      </c>
      <c r="Y47" s="104">
        <f>Y45*'Guidance &amp; Assumptions'!$C$36</f>
        <v>3893.9997861378142</v>
      </c>
      <c r="Z47" s="104">
        <f>Z45*'Guidance &amp; Assumptions'!$C$36</f>
        <v>7347.169407807196</v>
      </c>
      <c r="AA47" s="104">
        <f>AA45*'Guidance &amp; Assumptions'!$C$36</f>
        <v>3909.7740355811738</v>
      </c>
      <c r="AB47" s="104">
        <f>AB45*'Guidance &amp; Assumptions'!$C$36</f>
        <v>4408.8941252298346</v>
      </c>
      <c r="AC47" s="104">
        <f>AC45*'Guidance &amp; Assumptions'!$C$36</f>
        <v>8318.6681608110084</v>
      </c>
      <c r="AD47" s="104">
        <f>AD45*'Guidance &amp; Assumptions'!$C$36</f>
        <v>4375.7894771668934</v>
      </c>
      <c r="AE47" s="104">
        <f>AE45*'Guidance &amp; Assumptions'!$C$36</f>
        <v>4934.4008997839446</v>
      </c>
      <c r="AF47" s="104">
        <f>AF45*'Guidance &amp; Assumptions'!$C$36</f>
        <v>9310.190376950839</v>
      </c>
    </row>
    <row r="48" spans="2:32" x14ac:dyDescent="0.3">
      <c r="B48" s="52" t="s">
        <v>312</v>
      </c>
      <c r="C48" s="105">
        <f t="shared" ref="C48:AF48" si="9">C47/C45</f>
        <v>0.1128685066687362</v>
      </c>
      <c r="D48" s="105">
        <f t="shared" si="9"/>
        <v>0.11279988521002386</v>
      </c>
      <c r="E48" s="105">
        <f t="shared" si="9"/>
        <v>0.11283282351020578</v>
      </c>
      <c r="F48" s="105">
        <f t="shared" si="9"/>
        <v>9.5798834840673502E-2</v>
      </c>
      <c r="G48" s="105">
        <f t="shared" si="9"/>
        <v>9.5872068739947663E-2</v>
      </c>
      <c r="H48" s="105">
        <f t="shared" si="9"/>
        <v>9.5836916468296077E-2</v>
      </c>
      <c r="I48" s="105">
        <f t="shared" si="9"/>
        <v>0.10640600650613689</v>
      </c>
      <c r="J48" s="105">
        <f t="shared" si="9"/>
        <v>0.10634020758703103</v>
      </c>
      <c r="K48" s="105">
        <f t="shared" si="9"/>
        <v>0.10637201480454994</v>
      </c>
      <c r="L48" s="105">
        <f t="shared" si="9"/>
        <v>0.10265289403946044</v>
      </c>
      <c r="M48" s="105">
        <f t="shared" si="9"/>
        <v>0.10271264472216482</v>
      </c>
      <c r="N48" s="105">
        <f t="shared" si="9"/>
        <v>0.10268362978228303</v>
      </c>
      <c r="O48" s="105">
        <f t="shared" si="9"/>
        <v>9.9505723041064947E-2</v>
      </c>
      <c r="P48" s="105">
        <f t="shared" si="9"/>
        <v>9.9531801660239477E-2</v>
      </c>
      <c r="Q48" s="105">
        <f t="shared" si="9"/>
        <v>9.9519672493399852E-2</v>
      </c>
      <c r="R48" s="105">
        <f t="shared" si="9"/>
        <v>0.1</v>
      </c>
      <c r="S48" s="105">
        <f t="shared" si="9"/>
        <v>0.10000000000000002</v>
      </c>
      <c r="T48" s="105">
        <f t="shared" si="9"/>
        <v>0.1</v>
      </c>
      <c r="U48" s="105">
        <f t="shared" si="9"/>
        <v>0.1</v>
      </c>
      <c r="V48" s="105">
        <f t="shared" si="9"/>
        <v>0.1</v>
      </c>
      <c r="W48" s="105">
        <f t="shared" si="9"/>
        <v>0.1</v>
      </c>
      <c r="X48" s="105">
        <f t="shared" si="9"/>
        <v>0.1</v>
      </c>
      <c r="Y48" s="105">
        <f t="shared" si="9"/>
        <v>0.1</v>
      </c>
      <c r="Z48" s="105">
        <f t="shared" si="9"/>
        <v>0.1</v>
      </c>
      <c r="AA48" s="105">
        <f t="shared" si="9"/>
        <v>0.1</v>
      </c>
      <c r="AB48" s="105">
        <f t="shared" si="9"/>
        <v>9.9999999999999992E-2</v>
      </c>
      <c r="AC48" s="105">
        <f t="shared" si="9"/>
        <v>0.1</v>
      </c>
      <c r="AD48" s="105">
        <f t="shared" si="9"/>
        <v>9.9999999999999992E-2</v>
      </c>
      <c r="AE48" s="105">
        <f t="shared" si="9"/>
        <v>0.10000000000000002</v>
      </c>
      <c r="AF48" s="105">
        <f t="shared" si="9"/>
        <v>0.1</v>
      </c>
    </row>
    <row r="50" spans="2:32" x14ac:dyDescent="0.3">
      <c r="B50" s="29" t="s">
        <v>313</v>
      </c>
      <c r="C50" s="106">
        <f t="shared" ref="C50:AF50" si="10">C45+C47</f>
        <v>9980</v>
      </c>
      <c r="D50" s="106">
        <f t="shared" si="10"/>
        <v>10811</v>
      </c>
      <c r="E50" s="106">
        <f t="shared" si="10"/>
        <v>20791</v>
      </c>
      <c r="F50" s="106">
        <f t="shared" si="10"/>
        <v>12661</v>
      </c>
      <c r="G50" s="106">
        <f t="shared" si="10"/>
        <v>13717</v>
      </c>
      <c r="H50" s="106">
        <f t="shared" si="10"/>
        <v>26378</v>
      </c>
      <c r="I50" s="106">
        <f t="shared" si="10"/>
        <v>15361</v>
      </c>
      <c r="J50" s="106">
        <f t="shared" si="10"/>
        <v>16415</v>
      </c>
      <c r="K50" s="106">
        <f t="shared" si="10"/>
        <v>31776</v>
      </c>
      <c r="L50" s="106">
        <f t="shared" si="10"/>
        <v>17603</v>
      </c>
      <c r="M50" s="106">
        <f t="shared" si="10"/>
        <v>18648</v>
      </c>
      <c r="N50" s="106">
        <f t="shared" si="10"/>
        <v>36251</v>
      </c>
      <c r="O50" s="106">
        <f t="shared" si="10"/>
        <v>21985</v>
      </c>
      <c r="P50" s="106">
        <f t="shared" si="10"/>
        <v>25285</v>
      </c>
      <c r="Q50" s="106">
        <f t="shared" si="10"/>
        <v>47270</v>
      </c>
      <c r="R50" s="106">
        <f t="shared" si="10"/>
        <v>27606.623876699996</v>
      </c>
      <c r="S50" s="106">
        <f t="shared" si="10"/>
        <v>31130.873733299999</v>
      </c>
      <c r="T50" s="106">
        <f t="shared" si="10"/>
        <v>58737.497609999999</v>
      </c>
      <c r="U50" s="106">
        <f t="shared" si="10"/>
        <v>32878.633494258414</v>
      </c>
      <c r="V50" s="106">
        <f t="shared" si="10"/>
        <v>37075.905855227582</v>
      </c>
      <c r="W50" s="106">
        <f t="shared" si="10"/>
        <v>69954.539349486004</v>
      </c>
      <c r="X50" s="106">
        <f t="shared" si="10"/>
        <v>37984.865838363199</v>
      </c>
      <c r="Y50" s="106">
        <f t="shared" si="10"/>
        <v>42833.997647515956</v>
      </c>
      <c r="Z50" s="106">
        <f t="shared" si="10"/>
        <v>80818.863485879148</v>
      </c>
      <c r="AA50" s="106">
        <f t="shared" si="10"/>
        <v>43007.514391392913</v>
      </c>
      <c r="AB50" s="106">
        <f t="shared" si="10"/>
        <v>48497.835377528179</v>
      </c>
      <c r="AC50" s="106">
        <f t="shared" si="10"/>
        <v>91505.349768921093</v>
      </c>
      <c r="AD50" s="106">
        <f t="shared" si="10"/>
        <v>48133.684248835831</v>
      </c>
      <c r="AE50" s="106">
        <f t="shared" si="10"/>
        <v>54278.40989762338</v>
      </c>
      <c r="AF50" s="106">
        <f t="shared" si="10"/>
        <v>102412.09414645922</v>
      </c>
    </row>
    <row r="51" spans="2:32" x14ac:dyDescent="0.3">
      <c r="B51" s="52" t="s">
        <v>314</v>
      </c>
      <c r="C51" s="107">
        <v>9980</v>
      </c>
      <c r="D51" s="107">
        <f>E51-C51</f>
        <v>10811</v>
      </c>
      <c r="E51" s="107">
        <v>20791</v>
      </c>
      <c r="F51" s="107">
        <v>12661</v>
      </c>
      <c r="G51" s="107">
        <f>H51-F51</f>
        <v>13717</v>
      </c>
      <c r="H51" s="107">
        <v>26378</v>
      </c>
      <c r="I51" s="107">
        <v>15361</v>
      </c>
      <c r="J51" s="107">
        <f>K51-I51</f>
        <v>16415</v>
      </c>
      <c r="K51" s="107">
        <v>31776</v>
      </c>
      <c r="L51" s="107">
        <v>17603</v>
      </c>
      <c r="M51" s="107">
        <f>N51-L51</f>
        <v>18648</v>
      </c>
      <c r="N51" s="107">
        <v>36251</v>
      </c>
      <c r="O51" s="107">
        <v>21985</v>
      </c>
      <c r="P51" s="107">
        <f>Q51-O51</f>
        <v>25285</v>
      </c>
      <c r="Q51" s="107">
        <v>47270</v>
      </c>
    </row>
    <row r="52" spans="2:32" x14ac:dyDescent="0.3">
      <c r="B52" s="108" t="s">
        <v>315</v>
      </c>
      <c r="C52" s="109">
        <f t="shared" ref="C52:Q52" si="11">C50-C51</f>
        <v>0</v>
      </c>
      <c r="D52" s="109">
        <f t="shared" si="11"/>
        <v>0</v>
      </c>
      <c r="E52" s="109">
        <f t="shared" si="11"/>
        <v>0</v>
      </c>
      <c r="F52" s="109">
        <f t="shared" si="11"/>
        <v>0</v>
      </c>
      <c r="G52" s="109">
        <f t="shared" si="11"/>
        <v>0</v>
      </c>
      <c r="H52" s="109">
        <f t="shared" si="11"/>
        <v>0</v>
      </c>
      <c r="I52" s="109">
        <f t="shared" si="11"/>
        <v>0</v>
      </c>
      <c r="J52" s="109">
        <f t="shared" si="11"/>
        <v>0</v>
      </c>
      <c r="K52" s="109">
        <f t="shared" si="11"/>
        <v>0</v>
      </c>
      <c r="L52" s="109">
        <f t="shared" si="11"/>
        <v>0</v>
      </c>
      <c r="M52" s="109">
        <f t="shared" si="11"/>
        <v>0</v>
      </c>
      <c r="N52" s="109">
        <f t="shared" si="11"/>
        <v>0</v>
      </c>
      <c r="O52" s="109">
        <f t="shared" si="11"/>
        <v>0</v>
      </c>
      <c r="P52" s="109">
        <f t="shared" si="11"/>
        <v>0</v>
      </c>
      <c r="Q52" s="109">
        <f t="shared" si="11"/>
        <v>0</v>
      </c>
    </row>
    <row r="54" spans="2:32" x14ac:dyDescent="0.3">
      <c r="B54" s="52" t="s">
        <v>316</v>
      </c>
      <c r="F54" s="55">
        <f t="shared" ref="F54:AF54" si="12">(F50-C50)/C50</f>
        <v>0.26863727454909819</v>
      </c>
      <c r="G54" s="55">
        <f t="shared" si="12"/>
        <v>0.26880029599482008</v>
      </c>
      <c r="H54" s="55">
        <f t="shared" si="12"/>
        <v>0.26872204319176568</v>
      </c>
      <c r="I54" s="55">
        <f t="shared" si="12"/>
        <v>0.21325329752784139</v>
      </c>
      <c r="J54" s="55">
        <f t="shared" si="12"/>
        <v>0.19669023839031857</v>
      </c>
      <c r="K54" s="55">
        <f t="shared" si="12"/>
        <v>0.20464023049510957</v>
      </c>
      <c r="L54" s="55">
        <f t="shared" si="12"/>
        <v>0.1459540394505566</v>
      </c>
      <c r="M54" s="55">
        <f t="shared" si="12"/>
        <v>0.13603411513859276</v>
      </c>
      <c r="N54" s="55">
        <f t="shared" si="12"/>
        <v>0.14082955689828802</v>
      </c>
      <c r="O54" s="55">
        <f t="shared" si="12"/>
        <v>0.24893484065216157</v>
      </c>
      <c r="P54" s="55">
        <f t="shared" si="12"/>
        <v>0.35590948090948094</v>
      </c>
      <c r="Q54" s="55">
        <f t="shared" si="12"/>
        <v>0.30396402857852195</v>
      </c>
      <c r="R54" s="55">
        <f t="shared" si="12"/>
        <v>0.25570270078235141</v>
      </c>
      <c r="S54" s="55">
        <f t="shared" si="12"/>
        <v>0.23119927756772787</v>
      </c>
      <c r="T54" s="55">
        <f t="shared" si="12"/>
        <v>0.24259567611592972</v>
      </c>
      <c r="U54" s="55">
        <f t="shared" si="12"/>
        <v>0.19096900950673643</v>
      </c>
      <c r="V54" s="55">
        <f t="shared" si="12"/>
        <v>0.19096900950673656</v>
      </c>
      <c r="W54" s="55">
        <f t="shared" si="12"/>
        <v>0.19096900950673654</v>
      </c>
      <c r="X54" s="55">
        <f t="shared" si="12"/>
        <v>0.15530549178683123</v>
      </c>
      <c r="Y54" s="55">
        <f t="shared" si="12"/>
        <v>0.1553054917868312</v>
      </c>
      <c r="Z54" s="55">
        <f t="shared" si="12"/>
        <v>0.15530549178683101</v>
      </c>
      <c r="AA54" s="55">
        <f t="shared" si="12"/>
        <v>0.1322276238753235</v>
      </c>
      <c r="AB54" s="55">
        <f t="shared" si="12"/>
        <v>0.1322276238753233</v>
      </c>
      <c r="AC54" s="55">
        <f t="shared" si="12"/>
        <v>0.1322276238753235</v>
      </c>
      <c r="AD54" s="55">
        <f t="shared" si="12"/>
        <v>0.11919242323078352</v>
      </c>
      <c r="AE54" s="55">
        <f t="shared" si="12"/>
        <v>0.11919242323078344</v>
      </c>
      <c r="AF54" s="55">
        <f t="shared" si="12"/>
        <v>0.11919242323078355</v>
      </c>
    </row>
    <row r="56" spans="2:32" ht="16.5" customHeight="1" x14ac:dyDescent="0.3">
      <c r="B56" s="10" t="s">
        <v>317</v>
      </c>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row>
    <row r="57" spans="2:32" x14ac:dyDescent="0.3">
      <c r="B57" s="32" t="s">
        <v>318</v>
      </c>
      <c r="C57" s="95">
        <v>504000</v>
      </c>
      <c r="D57" s="95">
        <f>E57-C57</f>
        <v>546000</v>
      </c>
      <c r="E57" s="97">
        <v>1050000</v>
      </c>
      <c r="F57" s="95">
        <v>465600</v>
      </c>
      <c r="G57" s="95">
        <f>H57-F57</f>
        <v>504400</v>
      </c>
      <c r="H57" s="97">
        <v>970000</v>
      </c>
      <c r="I57" s="95">
        <v>435060</v>
      </c>
      <c r="J57" s="95">
        <f>K57-I57</f>
        <v>464940</v>
      </c>
      <c r="K57" s="97">
        <v>900000</v>
      </c>
      <c r="L57" s="95">
        <v>580292</v>
      </c>
      <c r="M57" s="95">
        <f>N57-L57</f>
        <v>614708</v>
      </c>
      <c r="N57" s="97">
        <v>1195000</v>
      </c>
      <c r="O57" s="95">
        <v>737184</v>
      </c>
      <c r="P57" s="95">
        <f>Q57-O57</f>
        <v>847816</v>
      </c>
      <c r="Q57" s="97">
        <v>1585000</v>
      </c>
      <c r="R57" s="95">
        <f>T57*'Guidance &amp; Assumptions'!$C$37</f>
        <v>931582.06499999983</v>
      </c>
      <c r="S57" s="95">
        <f>T57-R57</f>
        <v>1050507.4350000001</v>
      </c>
      <c r="T57" s="97">
        <f>T42*T58</f>
        <v>1982089.4999999998</v>
      </c>
      <c r="U57" s="95">
        <f>W57*'Guidance &amp; Assumptions'!$C$37</f>
        <v>1121043.906</v>
      </c>
      <c r="V57" s="95">
        <f>W57-U57</f>
        <v>1264155.8939999999</v>
      </c>
      <c r="W57" s="97">
        <f>W42*W58</f>
        <v>2385199.7999999998</v>
      </c>
      <c r="X57" s="95">
        <f>Z57*'Guidance &amp; Assumptions'!$C$37</f>
        <v>1292616.7491280001</v>
      </c>
      <c r="Y57" s="95">
        <f>Z57-X57</f>
        <v>1457631.6532720004</v>
      </c>
      <c r="Z57" s="97">
        <f>Z42*Z58</f>
        <v>2750248.4024000005</v>
      </c>
      <c r="AA57" s="95">
        <f>AC57*'Guidance &amp; Assumptions'!$C$37</f>
        <v>1438131.5528895003</v>
      </c>
      <c r="AB57" s="95">
        <f>AC57-AA57</f>
        <v>1621722.8149605007</v>
      </c>
      <c r="AC57" s="97">
        <f>AC42*AC58</f>
        <v>3059854.367850001</v>
      </c>
      <c r="AD57" s="95">
        <f>AF57*'Guidance &amp; Assumptions'!$C$37</f>
        <v>1582148.6994577921</v>
      </c>
      <c r="AE57" s="95">
        <f>AF57-AD57</f>
        <v>1784125.1291758083</v>
      </c>
      <c r="AF57" s="97">
        <f>AF42*AF58</f>
        <v>3366273.8286336004</v>
      </c>
    </row>
    <row r="58" spans="2:32" x14ac:dyDescent="0.3">
      <c r="B58" s="32" t="s">
        <v>319</v>
      </c>
      <c r="C58" s="110">
        <f t="shared" ref="C58:S58" si="13">C57/C42</f>
        <v>0.32608695652173914</v>
      </c>
      <c r="D58" s="110">
        <f t="shared" si="13"/>
        <v>0.32608695652173914</v>
      </c>
      <c r="E58" s="110">
        <f t="shared" si="13"/>
        <v>0.32608695652173914</v>
      </c>
      <c r="F58" s="110">
        <f t="shared" si="13"/>
        <v>0.25247267048412286</v>
      </c>
      <c r="G58" s="110">
        <f t="shared" si="13"/>
        <v>0.25247267048412286</v>
      </c>
      <c r="H58" s="110">
        <f t="shared" si="13"/>
        <v>0.25247267048412286</v>
      </c>
      <c r="I58" s="110">
        <f t="shared" si="13"/>
        <v>0.21464336865662142</v>
      </c>
      <c r="J58" s="110">
        <f t="shared" si="13"/>
        <v>0.2146435326482628</v>
      </c>
      <c r="K58" s="110">
        <f t="shared" si="13"/>
        <v>0.21464345337467208</v>
      </c>
      <c r="L58" s="110">
        <f t="shared" si="13"/>
        <v>0.25189706761378605</v>
      </c>
      <c r="M58" s="110">
        <f t="shared" si="13"/>
        <v>0.25189719515488385</v>
      </c>
      <c r="N58" s="110">
        <f t="shared" si="13"/>
        <v>0.25189713322091062</v>
      </c>
      <c r="O58" s="110">
        <f t="shared" si="13"/>
        <v>0.26914603789594205</v>
      </c>
      <c r="P58" s="110">
        <f t="shared" si="13"/>
        <v>0.26914571498774931</v>
      </c>
      <c r="Q58" s="110">
        <f t="shared" si="13"/>
        <v>0.26914586517235523</v>
      </c>
      <c r="R58" s="110">
        <f t="shared" si="13"/>
        <v>0.28499999999999992</v>
      </c>
      <c r="S58" s="110">
        <f t="shared" si="13"/>
        <v>0.28500000000000003</v>
      </c>
      <c r="T58" s="70">
        <v>0.28499999999999998</v>
      </c>
      <c r="U58" s="110">
        <f>U57/U42</f>
        <v>0.30000000000000004</v>
      </c>
      <c r="V58" s="110">
        <f>V57/V42</f>
        <v>0.29999999999999993</v>
      </c>
      <c r="W58" s="70">
        <v>0.3</v>
      </c>
      <c r="X58" s="110">
        <f>X57/X42</f>
        <v>0.31</v>
      </c>
      <c r="Y58" s="110">
        <f>Y57/Y42</f>
        <v>0.31000000000000011</v>
      </c>
      <c r="Z58" s="70">
        <v>0.31</v>
      </c>
      <c r="AA58" s="110">
        <f>AA57/AA42</f>
        <v>0.31500000000000006</v>
      </c>
      <c r="AB58" s="110">
        <f>AB57/AB42</f>
        <v>0.31500000000000011</v>
      </c>
      <c r="AC58" s="70">
        <v>0.315</v>
      </c>
      <c r="AD58" s="110">
        <f>AD57/AD42</f>
        <v>0.31999999999999995</v>
      </c>
      <c r="AE58" s="110">
        <f>AE57/AE42</f>
        <v>0.32</v>
      </c>
      <c r="AF58" s="70">
        <v>0.32</v>
      </c>
    </row>
    <row r="59" spans="2:32" x14ac:dyDescent="0.3">
      <c r="B59" s="52" t="s">
        <v>320</v>
      </c>
      <c r="H59" s="55">
        <f>(H57-E57)/E57</f>
        <v>-7.6190476190476197E-2</v>
      </c>
      <c r="K59" s="55">
        <f>(K57-H57)/H57</f>
        <v>-7.2164948453608241E-2</v>
      </c>
      <c r="N59" s="55">
        <f>(N57-K57)/K57</f>
        <v>0.32777777777777778</v>
      </c>
      <c r="Q59" s="55">
        <f>(Q57-N57)/N57</f>
        <v>0.32635983263598328</v>
      </c>
      <c r="T59" s="55">
        <f>(T57-Q57)/Q57</f>
        <v>0.25052965299684526</v>
      </c>
      <c r="W59" s="55">
        <f>(W57-T57)/T57</f>
        <v>0.20337643683597542</v>
      </c>
      <c r="Z59" s="55">
        <f>(Z57-W57)/W57</f>
        <v>0.15304738932143155</v>
      </c>
      <c r="AC59" s="55">
        <f>(AC57-Z57)/Z57</f>
        <v>0.11257381885208015</v>
      </c>
      <c r="AF59" s="55">
        <f>(AF57-AC57)/AC57</f>
        <v>0.1001418446587392</v>
      </c>
    </row>
    <row r="60" spans="2:32" x14ac:dyDescent="0.3">
      <c r="B60" s="32" t="s">
        <v>321</v>
      </c>
      <c r="C60" s="95">
        <f t="shared" ref="C60:AF60" si="14">C42-C57</f>
        <v>1041600</v>
      </c>
      <c r="D60" s="95">
        <f t="shared" si="14"/>
        <v>1128400</v>
      </c>
      <c r="E60" s="95">
        <f t="shared" si="14"/>
        <v>2170000</v>
      </c>
      <c r="F60" s="95">
        <f t="shared" si="14"/>
        <v>1378560</v>
      </c>
      <c r="G60" s="95">
        <f t="shared" si="14"/>
        <v>1493440</v>
      </c>
      <c r="H60" s="95">
        <f t="shared" si="14"/>
        <v>2872000</v>
      </c>
      <c r="I60" s="95">
        <f t="shared" si="14"/>
        <v>1591837</v>
      </c>
      <c r="J60" s="95">
        <f t="shared" si="14"/>
        <v>1701163</v>
      </c>
      <c r="K60" s="95">
        <f t="shared" si="14"/>
        <v>3293000</v>
      </c>
      <c r="L60" s="95">
        <f t="shared" si="14"/>
        <v>1723395</v>
      </c>
      <c r="M60" s="95">
        <f t="shared" si="14"/>
        <v>1825605</v>
      </c>
      <c r="N60" s="95">
        <f t="shared" si="14"/>
        <v>3549000</v>
      </c>
      <c r="O60" s="95">
        <f t="shared" si="14"/>
        <v>2001790</v>
      </c>
      <c r="P60" s="95">
        <f t="shared" si="14"/>
        <v>2302210</v>
      </c>
      <c r="Q60" s="95">
        <f t="shared" si="14"/>
        <v>4304000</v>
      </c>
      <c r="R60" s="95">
        <f t="shared" si="14"/>
        <v>2337126.9350000001</v>
      </c>
      <c r="S60" s="95">
        <f t="shared" si="14"/>
        <v>2635483.5649999999</v>
      </c>
      <c r="T60" s="95">
        <f t="shared" si="14"/>
        <v>4972610.5</v>
      </c>
      <c r="U60" s="95">
        <f t="shared" si="14"/>
        <v>2615769.1139999996</v>
      </c>
      <c r="V60" s="95">
        <f t="shared" si="14"/>
        <v>2949697.0860000006</v>
      </c>
      <c r="W60" s="95">
        <f t="shared" si="14"/>
        <v>5565466.2000000002</v>
      </c>
      <c r="X60" s="95">
        <f t="shared" si="14"/>
        <v>2877114.6996720005</v>
      </c>
      <c r="Y60" s="95">
        <f t="shared" si="14"/>
        <v>3244405.9379279995</v>
      </c>
      <c r="Z60" s="95">
        <f t="shared" si="14"/>
        <v>6121520.6376000009</v>
      </c>
      <c r="AA60" s="95">
        <f t="shared" si="14"/>
        <v>3127365.4404104999</v>
      </c>
      <c r="AB60" s="95">
        <f t="shared" si="14"/>
        <v>3526603.5817394997</v>
      </c>
      <c r="AC60" s="95">
        <f t="shared" si="14"/>
        <v>6653969.0221500015</v>
      </c>
      <c r="AD60" s="95">
        <f t="shared" si="14"/>
        <v>3362065.986347809</v>
      </c>
      <c r="AE60" s="95">
        <f t="shared" si="14"/>
        <v>3791265.8994985921</v>
      </c>
      <c r="AF60" s="95">
        <f t="shared" si="14"/>
        <v>7153331.8858464006</v>
      </c>
    </row>
    <row r="61" spans="2:32" x14ac:dyDescent="0.3">
      <c r="B61" s="32" t="s">
        <v>322</v>
      </c>
      <c r="C61" s="110">
        <f t="shared" ref="C61:AF61" si="15">1-C58</f>
        <v>0.67391304347826086</v>
      </c>
      <c r="D61" s="110">
        <f t="shared" si="15"/>
        <v>0.67391304347826086</v>
      </c>
      <c r="E61" s="110">
        <f t="shared" si="15"/>
        <v>0.67391304347826086</v>
      </c>
      <c r="F61" s="110">
        <f t="shared" si="15"/>
        <v>0.74752732951587708</v>
      </c>
      <c r="G61" s="110">
        <f t="shared" si="15"/>
        <v>0.74752732951587708</v>
      </c>
      <c r="H61" s="110">
        <f t="shared" si="15"/>
        <v>0.74752732951587708</v>
      </c>
      <c r="I61" s="110">
        <f t="shared" si="15"/>
        <v>0.78535663134337863</v>
      </c>
      <c r="J61" s="110">
        <f t="shared" si="15"/>
        <v>0.78535646735173725</v>
      </c>
      <c r="K61" s="110">
        <f t="shared" si="15"/>
        <v>0.78535654662532794</v>
      </c>
      <c r="L61" s="110">
        <f t="shared" si="15"/>
        <v>0.74810293238621395</v>
      </c>
      <c r="M61" s="110">
        <f t="shared" si="15"/>
        <v>0.74810280484511615</v>
      </c>
      <c r="N61" s="110">
        <f t="shared" si="15"/>
        <v>0.74810286677908944</v>
      </c>
      <c r="O61" s="110">
        <f t="shared" si="15"/>
        <v>0.73085396210405795</v>
      </c>
      <c r="P61" s="110">
        <f t="shared" si="15"/>
        <v>0.73085428501225069</v>
      </c>
      <c r="Q61" s="110">
        <f t="shared" si="15"/>
        <v>0.73085413482764472</v>
      </c>
      <c r="R61" s="110">
        <f t="shared" si="15"/>
        <v>0.71500000000000008</v>
      </c>
      <c r="S61" s="110">
        <f t="shared" si="15"/>
        <v>0.71499999999999997</v>
      </c>
      <c r="T61" s="110">
        <f t="shared" si="15"/>
        <v>0.71500000000000008</v>
      </c>
      <c r="U61" s="110">
        <f t="shared" si="15"/>
        <v>0.7</v>
      </c>
      <c r="V61" s="110">
        <f t="shared" si="15"/>
        <v>0.70000000000000007</v>
      </c>
      <c r="W61" s="110">
        <f t="shared" si="15"/>
        <v>0.7</v>
      </c>
      <c r="X61" s="110">
        <f t="shared" si="15"/>
        <v>0.69</v>
      </c>
      <c r="Y61" s="110">
        <f t="shared" si="15"/>
        <v>0.69</v>
      </c>
      <c r="Z61" s="110">
        <f t="shared" si="15"/>
        <v>0.69</v>
      </c>
      <c r="AA61" s="110">
        <f t="shared" si="15"/>
        <v>0.68499999999999994</v>
      </c>
      <c r="AB61" s="110">
        <f t="shared" si="15"/>
        <v>0.68499999999999983</v>
      </c>
      <c r="AC61" s="110">
        <f t="shared" si="15"/>
        <v>0.68500000000000005</v>
      </c>
      <c r="AD61" s="110">
        <f t="shared" si="15"/>
        <v>0.68</v>
      </c>
      <c r="AE61" s="110">
        <f t="shared" si="15"/>
        <v>0.67999999999999994</v>
      </c>
      <c r="AF61" s="110">
        <f t="shared" si="15"/>
        <v>0.67999999999999994</v>
      </c>
    </row>
    <row r="63" spans="2:32" x14ac:dyDescent="0.3">
      <c r="B63" s="29" t="s">
        <v>323</v>
      </c>
      <c r="C63" s="111">
        <f t="shared" ref="C63:AF63" si="16">C57*C44/10000000</f>
        <v>2924.2878260869566</v>
      </c>
      <c r="D63" s="111">
        <f t="shared" si="16"/>
        <v>3167.9784782608695</v>
      </c>
      <c r="E63" s="111">
        <f t="shared" si="16"/>
        <v>6092.266304347826</v>
      </c>
      <c r="F63" s="111">
        <f t="shared" si="16"/>
        <v>2917.101551275377</v>
      </c>
      <c r="G63" s="111">
        <f t="shared" si="16"/>
        <v>3160.1933472149922</v>
      </c>
      <c r="H63" s="111">
        <f t="shared" si="16"/>
        <v>6077.2948984903696</v>
      </c>
      <c r="I63" s="111">
        <f t="shared" si="16"/>
        <v>2980.0423773423122</v>
      </c>
      <c r="J63" s="111">
        <f t="shared" si="16"/>
        <v>3184.7107826857728</v>
      </c>
      <c r="K63" s="111">
        <f t="shared" si="16"/>
        <v>6164.7531600286193</v>
      </c>
      <c r="L63" s="111">
        <f t="shared" si="16"/>
        <v>4021.3417161237617</v>
      </c>
      <c r="M63" s="111">
        <f t="shared" si="16"/>
        <v>4259.8395127969243</v>
      </c>
      <c r="N63" s="111">
        <f t="shared" si="16"/>
        <v>8281.1812289207428</v>
      </c>
      <c r="O63" s="111">
        <f t="shared" si="16"/>
        <v>5381.6687982089643</v>
      </c>
      <c r="P63" s="111">
        <f t="shared" si="16"/>
        <v>6189.3156643486745</v>
      </c>
      <c r="Q63" s="111">
        <f t="shared" si="16"/>
        <v>11570.98446255731</v>
      </c>
      <c r="R63" s="111">
        <f t="shared" si="16"/>
        <v>7152.6252771449981</v>
      </c>
      <c r="S63" s="111">
        <f t="shared" si="16"/>
        <v>8065.726376355</v>
      </c>
      <c r="T63" s="111">
        <f t="shared" si="16"/>
        <v>15218.351653499996</v>
      </c>
      <c r="U63" s="111">
        <f t="shared" si="16"/>
        <v>8966.9000438886596</v>
      </c>
      <c r="V63" s="111">
        <f t="shared" si="16"/>
        <v>10111.610687789338</v>
      </c>
      <c r="W63" s="111">
        <f t="shared" si="16"/>
        <v>19078.510731678001</v>
      </c>
      <c r="X63" s="111">
        <f t="shared" si="16"/>
        <v>10704.825827175084</v>
      </c>
      <c r="Y63" s="111">
        <f t="shared" si="16"/>
        <v>12071.399337027229</v>
      </c>
      <c r="Z63" s="111">
        <f t="shared" si="16"/>
        <v>22776.225164202307</v>
      </c>
      <c r="AA63" s="111">
        <f t="shared" si="16"/>
        <v>12315.788212080699</v>
      </c>
      <c r="AB63" s="111">
        <f t="shared" si="16"/>
        <v>13888.016494473984</v>
      </c>
      <c r="AC63" s="111">
        <f t="shared" si="16"/>
        <v>26203.804706554678</v>
      </c>
      <c r="AD63" s="111">
        <f t="shared" si="16"/>
        <v>14002.526326934058</v>
      </c>
      <c r="AE63" s="111">
        <f t="shared" si="16"/>
        <v>15790.082879308624</v>
      </c>
      <c r="AF63" s="111">
        <f t="shared" si="16"/>
        <v>29792.609206242683</v>
      </c>
    </row>
    <row r="64" spans="2:32" x14ac:dyDescent="0.3">
      <c r="B64" s="29" t="s">
        <v>324</v>
      </c>
      <c r="C64" s="111">
        <f t="shared" ref="C64:AF64" si="17">C45-C63</f>
        <v>6043.5281739130442</v>
      </c>
      <c r="D64" s="111">
        <f t="shared" si="17"/>
        <v>6547.1555217391306</v>
      </c>
      <c r="E64" s="111">
        <f t="shared" si="17"/>
        <v>12590.683695652175</v>
      </c>
      <c r="F64" s="111">
        <f t="shared" si="17"/>
        <v>8637.0264487246222</v>
      </c>
      <c r="G64" s="111">
        <f t="shared" si="17"/>
        <v>9356.7786527850076</v>
      </c>
      <c r="H64" s="111">
        <f t="shared" si="17"/>
        <v>17993.805101509628</v>
      </c>
      <c r="I64" s="111">
        <f t="shared" si="17"/>
        <v>10903.649422657689</v>
      </c>
      <c r="J64" s="111">
        <f t="shared" si="17"/>
        <v>11652.497417314229</v>
      </c>
      <c r="K64" s="111">
        <f t="shared" si="17"/>
        <v>22556.146839971381</v>
      </c>
      <c r="L64" s="111">
        <f t="shared" si="17"/>
        <v>11942.884283876239</v>
      </c>
      <c r="M64" s="111">
        <f t="shared" si="17"/>
        <v>12651.184487203074</v>
      </c>
      <c r="N64" s="111">
        <f t="shared" si="17"/>
        <v>24594.068771079255</v>
      </c>
      <c r="O64" s="111">
        <f t="shared" si="17"/>
        <v>14613.679601791035</v>
      </c>
      <c r="P64" s="111">
        <f t="shared" si="17"/>
        <v>16806.835935651325</v>
      </c>
      <c r="Q64" s="111">
        <f t="shared" si="17"/>
        <v>31420.51553744269</v>
      </c>
      <c r="R64" s="111">
        <f t="shared" si="17"/>
        <v>17944.305519854999</v>
      </c>
      <c r="S64" s="111">
        <f t="shared" si="17"/>
        <v>20235.067926644999</v>
      </c>
      <c r="T64" s="111">
        <f t="shared" si="17"/>
        <v>38179.373446500002</v>
      </c>
      <c r="U64" s="111">
        <f t="shared" si="17"/>
        <v>20922.766769073532</v>
      </c>
      <c r="V64" s="111">
        <f t="shared" si="17"/>
        <v>23593.758271508465</v>
      </c>
      <c r="W64" s="111">
        <f t="shared" si="17"/>
        <v>44516.525040582012</v>
      </c>
      <c r="X64" s="111">
        <f t="shared" si="17"/>
        <v>23826.870389518735</v>
      </c>
      <c r="Y64" s="111">
        <f t="shared" si="17"/>
        <v>26868.598524350913</v>
      </c>
      <c r="Z64" s="111">
        <f t="shared" si="17"/>
        <v>50695.468913869656</v>
      </c>
      <c r="AA64" s="111">
        <f t="shared" si="17"/>
        <v>26781.95214373104</v>
      </c>
      <c r="AB64" s="111">
        <f t="shared" si="17"/>
        <v>30200.924757824363</v>
      </c>
      <c r="AC64" s="111">
        <f t="shared" si="17"/>
        <v>56982.876901555406</v>
      </c>
      <c r="AD64" s="111">
        <f t="shared" si="17"/>
        <v>29755.368444734879</v>
      </c>
      <c r="AE64" s="111">
        <f t="shared" si="17"/>
        <v>33553.926118530813</v>
      </c>
      <c r="AF64" s="111">
        <f t="shared" si="17"/>
        <v>63309.294563265699</v>
      </c>
    </row>
    <row r="66" spans="2:32" ht="16.5" customHeight="1" x14ac:dyDescent="0.3">
      <c r="B66" s="10" t="s">
        <v>325</v>
      </c>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row>
    <row r="67" spans="2:32" x14ac:dyDescent="0.3">
      <c r="B67" s="32" t="s">
        <v>326</v>
      </c>
      <c r="E67" s="95">
        <v>4200000</v>
      </c>
      <c r="H67" s="95">
        <v>4800000</v>
      </c>
      <c r="K67" s="95">
        <v>5400000</v>
      </c>
      <c r="N67" s="95">
        <v>6000000</v>
      </c>
      <c r="Q67" s="95">
        <v>6600000</v>
      </c>
      <c r="T67" s="112">
        <v>7400000</v>
      </c>
      <c r="W67" s="112">
        <v>8400000</v>
      </c>
      <c r="Z67" s="112">
        <v>9400000</v>
      </c>
      <c r="AC67" s="112">
        <v>10300000</v>
      </c>
      <c r="AF67" s="112">
        <v>11200000</v>
      </c>
    </row>
    <row r="68" spans="2:32" x14ac:dyDescent="0.3">
      <c r="B68" s="32" t="s">
        <v>327</v>
      </c>
      <c r="E68" s="110">
        <f>(E8+E15+E22+E29)/E67</f>
        <v>0.7288095238095238</v>
      </c>
      <c r="H68" s="110">
        <f>(H8+H15+H22+H29)/H67</f>
        <v>0.76500000000000001</v>
      </c>
      <c r="K68" s="110">
        <f>(K8+K15+K22+K29)/K67</f>
        <v>0.74611111111111106</v>
      </c>
      <c r="N68" s="110">
        <f>(N8+N15+N22+N29)/N67</f>
        <v>0.76816666666666666</v>
      </c>
      <c r="Q68" s="110">
        <f>(Q8+Q15+Q22+Q29)/Q67</f>
        <v>0.85909090909090913</v>
      </c>
      <c r="T68" s="110">
        <f>(T8+T15+T22+T29)/T67</f>
        <v>0.90135135135135136</v>
      </c>
      <c r="W68" s="110">
        <f>(W8+W15+W22+W29)/W67</f>
        <v>0.90583642857142854</v>
      </c>
      <c r="Z68" s="110">
        <f>(Z8+Z15+Z22+Z29)/Z67</f>
        <v>0.90200883404255328</v>
      </c>
      <c r="AC68" s="110">
        <f>(AC8+AC15+AC22+AC29)/AC67</f>
        <v>0.90036806504854394</v>
      </c>
      <c r="AF68" s="110">
        <f>(AF8+AF15+AF22+AF29)/AF67</f>
        <v>0.89603305022142876</v>
      </c>
    </row>
    <row r="70" spans="2:32" x14ac:dyDescent="0.3">
      <c r="B70" s="32" t="s">
        <v>328</v>
      </c>
      <c r="E70" s="99">
        <f>E22</f>
        <v>16000</v>
      </c>
      <c r="H70" s="99">
        <f>H22</f>
        <v>93000</v>
      </c>
      <c r="K70" s="99">
        <f>K22</f>
        <v>185000</v>
      </c>
      <c r="N70" s="99">
        <f>N22</f>
        <v>278000</v>
      </c>
      <c r="Q70" s="99">
        <f>Q22</f>
        <v>370000</v>
      </c>
      <c r="T70" s="99">
        <f>T22</f>
        <v>629000</v>
      </c>
      <c r="W70" s="99">
        <f>W22</f>
        <v>912050</v>
      </c>
      <c r="Z70" s="99">
        <f>Z22</f>
        <v>1203906</v>
      </c>
      <c r="AC70" s="99">
        <f>AC22</f>
        <v>1504882.5</v>
      </c>
      <c r="AF70" s="99">
        <f>AF22</f>
        <v>1805859</v>
      </c>
    </row>
    <row r="71" spans="2:32" x14ac:dyDescent="0.3">
      <c r="B71" s="29" t="s">
        <v>329</v>
      </c>
      <c r="E71" s="113">
        <f>E70/(E8+E15+E22+E29)</f>
        <v>5.2270499836654686E-3</v>
      </c>
      <c r="H71" s="113">
        <f>H70/(H8+H15+H22+H29)</f>
        <v>2.5326797385620915E-2</v>
      </c>
      <c r="K71" s="113">
        <f>K70/(K8+K15+K22+K29)</f>
        <v>4.5917101017622239E-2</v>
      </c>
      <c r="N71" s="113">
        <f>N70/(N8+N15+N22+N29)</f>
        <v>6.0316771533955302E-2</v>
      </c>
      <c r="Q71" s="113">
        <f>Q70/(Q8+Q15+Q22+Q29)</f>
        <v>6.5255731922398585E-2</v>
      </c>
      <c r="T71" s="113">
        <f>T70/(T8+T15+T22+T29)</f>
        <v>9.4302848575712139E-2</v>
      </c>
      <c r="W71" s="113">
        <f>W70/(W8+W15+W22+W29)</f>
        <v>0.11986422440927394</v>
      </c>
      <c r="Z71" s="113">
        <f>Z70/(Z8+Z15+Z22+Z29)</f>
        <v>0.14198874949925006</v>
      </c>
      <c r="AC71" s="113">
        <f>AC70/(AC8+AC15+AC22+AC29)</f>
        <v>0.16227263355847843</v>
      </c>
      <c r="AF71" s="113">
        <f>AF70/(AF8+AF15+AF22+AF29)</f>
        <v>0.17994582975978457</v>
      </c>
    </row>
    <row r="72" spans="2:32" x14ac:dyDescent="0.3">
      <c r="B72" s="29" t="s">
        <v>330</v>
      </c>
      <c r="E72" s="113">
        <f>E26/E50</f>
        <v>7.3108556586984749E-3</v>
      </c>
      <c r="H72" s="113">
        <f>H26/H50</f>
        <v>3.560921980438244E-2</v>
      </c>
      <c r="K72" s="113">
        <f>K26/K50</f>
        <v>5.9966641490433029E-2</v>
      </c>
      <c r="N72" s="113">
        <f>N26/N50</f>
        <v>7.9755041240241645E-2</v>
      </c>
      <c r="Q72" s="113">
        <f>Q26/Q50</f>
        <v>8.2187433890416758E-2</v>
      </c>
      <c r="T72" s="113">
        <f>T26/T50</f>
        <v>0.11019213046791559</v>
      </c>
      <c r="W72" s="113">
        <f>W26/W50</f>
        <v>0.13214610043126418</v>
      </c>
      <c r="Z72" s="113">
        <f>Z26/Z50</f>
        <v>0.14947433840766278</v>
      </c>
      <c r="AC72" s="113">
        <f>AC26/AC50</f>
        <v>0.16502240280100502</v>
      </c>
      <c r="AF72" s="113">
        <f>AF26/AF50</f>
        <v>0.17870667102753923</v>
      </c>
    </row>
    <row r="74" spans="2:32" ht="12.75" customHeight="1" x14ac:dyDescent="0.3">
      <c r="B74" s="74"/>
    </row>
    <row r="75" spans="2:32" ht="12.75" customHeight="1" x14ac:dyDescent="0.3">
      <c r="B75" s="74"/>
    </row>
    <row r="76" spans="2:32" ht="12.75" customHeight="1" x14ac:dyDescent="0.3">
      <c r="B76" s="74"/>
    </row>
    <row r="124" spans="33:43" x14ac:dyDescent="0.3">
      <c r="AG124" s="51" t="s">
        <v>331</v>
      </c>
    </row>
    <row r="125" spans="33:43" x14ac:dyDescent="0.3">
      <c r="AG125" s="52" t="s">
        <v>211</v>
      </c>
      <c r="AH125" s="114" t="s">
        <v>212</v>
      </c>
      <c r="AI125" s="114" t="s">
        <v>213</v>
      </c>
      <c r="AJ125" s="114" t="s">
        <v>214</v>
      </c>
      <c r="AK125" s="114" t="s">
        <v>215</v>
      </c>
      <c r="AL125" s="114" t="s">
        <v>216</v>
      </c>
      <c r="AM125" s="114" t="s">
        <v>189</v>
      </c>
      <c r="AN125" s="114" t="s">
        <v>190</v>
      </c>
      <c r="AO125" s="114" t="s">
        <v>191</v>
      </c>
      <c r="AP125" s="114" t="s">
        <v>192</v>
      </c>
      <c r="AQ125" s="114" t="s">
        <v>193</v>
      </c>
    </row>
    <row r="126" spans="33:43" x14ac:dyDescent="0.3">
      <c r="AG126" s="24" t="s">
        <v>217</v>
      </c>
      <c r="AH126" s="104">
        <f>E12</f>
        <v>8810.2000000000007</v>
      </c>
      <c r="AI126" s="104">
        <f>H12</f>
        <v>11129</v>
      </c>
      <c r="AJ126" s="104">
        <f>K12</f>
        <v>13243.5</v>
      </c>
      <c r="AK126" s="104">
        <f>N12</f>
        <v>15104.25</v>
      </c>
      <c r="AL126" s="104">
        <f>Q12</f>
        <v>19080</v>
      </c>
      <c r="AM126" s="104">
        <f>T12</f>
        <v>23189.831999999999</v>
      </c>
      <c r="AN126" s="104">
        <f>W12</f>
        <v>27229.500734400008</v>
      </c>
      <c r="AO126" s="104">
        <f>Z12</f>
        <v>31131.488189639531</v>
      </c>
      <c r="AP126" s="104">
        <f>AC12</f>
        <v>34951.321790508307</v>
      </c>
      <c r="AQ126" s="104">
        <f>AF12</f>
        <v>38879.850359761447</v>
      </c>
    </row>
    <row r="127" spans="33:43" x14ac:dyDescent="0.3">
      <c r="AG127" s="24" t="s">
        <v>218</v>
      </c>
      <c r="AH127" s="104">
        <f>E19</f>
        <v>6136.45</v>
      </c>
      <c r="AI127" s="104">
        <f>H19</f>
        <v>8031.3</v>
      </c>
      <c r="AJ127" s="104">
        <f>K19</f>
        <v>9594</v>
      </c>
      <c r="AK127" s="104">
        <f>N19</f>
        <v>11251.8</v>
      </c>
      <c r="AL127" s="104">
        <f>Q19</f>
        <v>13926</v>
      </c>
      <c r="AM127" s="104">
        <f>T19</f>
        <v>16221.004800000001</v>
      </c>
      <c r="AN127" s="104">
        <f>W19</f>
        <v>18299.72656512</v>
      </c>
      <c r="AO127" s="104">
        <f>Z19</f>
        <v>20168.128647418751</v>
      </c>
      <c r="AP127" s="104">
        <f>AC19</f>
        <v>21811.831132183379</v>
      </c>
      <c r="AQ127" s="104">
        <f>AF19</f>
        <v>23364.833508794836</v>
      </c>
    </row>
    <row r="128" spans="33:43" x14ac:dyDescent="0.3">
      <c r="AG128" s="24" t="s">
        <v>219</v>
      </c>
      <c r="AH128" s="104">
        <f>E26</f>
        <v>152</v>
      </c>
      <c r="AI128" s="104">
        <f>H26</f>
        <v>939.3</v>
      </c>
      <c r="AJ128" s="104">
        <f>K26</f>
        <v>1905.5</v>
      </c>
      <c r="AK128" s="104">
        <f>N26</f>
        <v>2891.2</v>
      </c>
      <c r="AL128" s="104">
        <f>Q26</f>
        <v>3885</v>
      </c>
      <c r="AM128" s="104">
        <f>T26</f>
        <v>6472.41</v>
      </c>
      <c r="AN128" s="104">
        <f>W26</f>
        <v>9244.2195824999999</v>
      </c>
      <c r="AO128" s="104">
        <f>Z26</f>
        <v>12080.346150411</v>
      </c>
      <c r="AP128" s="104">
        <f>AC26</f>
        <v>15100.432688013749</v>
      </c>
      <c r="AQ128" s="104">
        <f>AF26</f>
        <v>18301.724417872665</v>
      </c>
    </row>
    <row r="129" spans="33:43" x14ac:dyDescent="0.3">
      <c r="AG129" s="24" t="s">
        <v>220</v>
      </c>
      <c r="AH129" s="104">
        <f>E33</f>
        <v>1326.5</v>
      </c>
      <c r="AI129" s="104">
        <f>H33</f>
        <v>1387.5</v>
      </c>
      <c r="AJ129" s="104">
        <f>K33</f>
        <v>1271.9000000000001</v>
      </c>
      <c r="AK129" s="104">
        <f>N33</f>
        <v>1360</v>
      </c>
      <c r="AL129" s="104">
        <f>Q33</f>
        <v>2268</v>
      </c>
      <c r="AM129" s="104">
        <f>T33</f>
        <v>2382.7608</v>
      </c>
      <c r="AN129" s="104">
        <f>W33</f>
        <v>2478.7860602400001</v>
      </c>
      <c r="AO129" s="104">
        <f>Z33</f>
        <v>2578.6811384676726</v>
      </c>
      <c r="AP129" s="104">
        <f>AC33</f>
        <v>2656.0415726217025</v>
      </c>
      <c r="AQ129" s="104">
        <f>AF33</f>
        <v>2735.7228198003536</v>
      </c>
    </row>
    <row r="130" spans="33:43" x14ac:dyDescent="0.3">
      <c r="AG130" s="24" t="s">
        <v>221</v>
      </c>
      <c r="AH130" s="104">
        <f>E40</f>
        <v>2257.8000000000002</v>
      </c>
      <c r="AI130" s="104">
        <f>H40</f>
        <v>2584</v>
      </c>
      <c r="AJ130" s="104">
        <f>K40</f>
        <v>2706</v>
      </c>
      <c r="AK130" s="104">
        <f>N40</f>
        <v>2268</v>
      </c>
      <c r="AL130" s="104">
        <f>Q40</f>
        <v>3832.5</v>
      </c>
      <c r="AM130" s="104">
        <f>T40</f>
        <v>5131.7174999999997</v>
      </c>
      <c r="AN130" s="104">
        <f>W40</f>
        <v>6342.8028299999996</v>
      </c>
      <c r="AO130" s="104">
        <f>Z40</f>
        <v>7513.0499521349993</v>
      </c>
      <c r="AP130" s="104">
        <f>AC40</f>
        <v>8667.0544247829348</v>
      </c>
      <c r="AQ130" s="104">
        <f>AF40</f>
        <v>9819.7726632790673</v>
      </c>
    </row>
    <row r="131" spans="33:43" x14ac:dyDescent="0.3">
      <c r="AG131" s="24" t="s">
        <v>332</v>
      </c>
      <c r="AH131" s="115">
        <f>E42/100000</f>
        <v>32.200000000000003</v>
      </c>
      <c r="AI131" s="115">
        <f>H42/100000</f>
        <v>38.42</v>
      </c>
      <c r="AJ131" s="115">
        <f>K42/100000</f>
        <v>41.93</v>
      </c>
      <c r="AK131" s="115">
        <f>N42/100000</f>
        <v>47.44</v>
      </c>
      <c r="AL131" s="115">
        <f>Q42/100000</f>
        <v>58.89</v>
      </c>
      <c r="AM131" s="115">
        <f>T42/100000</f>
        <v>69.546999999999997</v>
      </c>
      <c r="AN131" s="115">
        <f>W42/100000</f>
        <v>79.506659999999997</v>
      </c>
      <c r="AO131" s="115">
        <f>Z42/100000</f>
        <v>88.717690400000009</v>
      </c>
      <c r="AP131" s="115">
        <f>AC42/100000</f>
        <v>97.138233900000031</v>
      </c>
      <c r="AQ131" s="115">
        <f>AF42/100000</f>
        <v>105.19605714480001</v>
      </c>
    </row>
    <row r="132" spans="33:43" x14ac:dyDescent="0.3">
      <c r="AG132" s="24" t="s">
        <v>333</v>
      </c>
      <c r="AH132" s="95">
        <f>E44</f>
        <v>58021.583850931675</v>
      </c>
      <c r="AI132" s="95">
        <f>H44</f>
        <v>62652.52472670484</v>
      </c>
      <c r="AJ132" s="95">
        <f>K44</f>
        <v>68497.257333651331</v>
      </c>
      <c r="AK132" s="95">
        <f>N44</f>
        <v>69298.587689713328</v>
      </c>
      <c r="AL132" s="95">
        <f>Q44</f>
        <v>73003.056546102904</v>
      </c>
      <c r="AM132" s="95">
        <f>T44</f>
        <v>76779.336419974978</v>
      </c>
      <c r="AN132" s="95">
        <f>W44</f>
        <v>79987.054886043523</v>
      </c>
      <c r="AO132" s="95">
        <f>Z44</f>
        <v>82815.156421240594</v>
      </c>
      <c r="AP132" s="95">
        <f>AC44</f>
        <v>85637.424388163665</v>
      </c>
      <c r="AQ132" s="95">
        <f>AF44</f>
        <v>88503.22559271942</v>
      </c>
    </row>
    <row r="133" spans="33:43" x14ac:dyDescent="0.3">
      <c r="AG133" s="24" t="s">
        <v>246</v>
      </c>
      <c r="AH133" s="104">
        <f>E64</f>
        <v>12590.683695652175</v>
      </c>
      <c r="AI133" s="104">
        <f>H64</f>
        <v>17993.805101509628</v>
      </c>
      <c r="AJ133" s="104">
        <f>K64</f>
        <v>22556.146839971381</v>
      </c>
      <c r="AK133" s="104">
        <f>N64</f>
        <v>24594.068771079255</v>
      </c>
      <c r="AL133" s="104">
        <f>Q64</f>
        <v>31420.51553744269</v>
      </c>
      <c r="AM133" s="104">
        <f>T64</f>
        <v>38179.373446500002</v>
      </c>
      <c r="AN133" s="104">
        <f>W64</f>
        <v>44516.525040582012</v>
      </c>
      <c r="AO133" s="104">
        <f>Z64</f>
        <v>50695.468913869656</v>
      </c>
      <c r="AP133" s="104">
        <f>AC64</f>
        <v>56982.876901555406</v>
      </c>
      <c r="AQ133" s="104">
        <f>AF64</f>
        <v>63309.294563265699</v>
      </c>
    </row>
    <row r="134" spans="33:43" x14ac:dyDescent="0.3">
      <c r="AG134" s="24" t="s">
        <v>247</v>
      </c>
      <c r="AH134" s="104">
        <f>E63</f>
        <v>6092.266304347826</v>
      </c>
      <c r="AI134" s="104">
        <f>H63</f>
        <v>6077.2948984903696</v>
      </c>
      <c r="AJ134" s="104">
        <f>K63</f>
        <v>6164.7531600286193</v>
      </c>
      <c r="AK134" s="104">
        <f>N63</f>
        <v>8281.1812289207428</v>
      </c>
      <c r="AL134" s="104">
        <f>Q63</f>
        <v>11570.98446255731</v>
      </c>
      <c r="AM134" s="104">
        <f>T63</f>
        <v>15218.351653499996</v>
      </c>
      <c r="AN134" s="104">
        <f>W63</f>
        <v>19078.510731678001</v>
      </c>
      <c r="AO134" s="104">
        <f>Z63</f>
        <v>22776.225164202307</v>
      </c>
      <c r="AP134" s="104">
        <f>AC63</f>
        <v>26203.804706554678</v>
      </c>
      <c r="AQ134" s="104">
        <f>AF63</f>
        <v>29792.609206242683</v>
      </c>
    </row>
    <row r="135" spans="33:43" x14ac:dyDescent="0.3">
      <c r="AG135" s="24" t="s">
        <v>248</v>
      </c>
      <c r="AH135" s="110">
        <f>E58</f>
        <v>0.32608695652173914</v>
      </c>
      <c r="AI135" s="110">
        <f>H58</f>
        <v>0.25247267048412286</v>
      </c>
      <c r="AJ135" s="110">
        <f>K58</f>
        <v>0.21464345337467208</v>
      </c>
      <c r="AK135" s="110">
        <f>N58</f>
        <v>0.25189713322091062</v>
      </c>
      <c r="AL135" s="110">
        <f>Q58</f>
        <v>0.26914586517235523</v>
      </c>
      <c r="AM135" s="110">
        <f>T58</f>
        <v>0.28499999999999998</v>
      </c>
      <c r="AN135" s="110">
        <f>W58</f>
        <v>0.3</v>
      </c>
      <c r="AO135" s="110">
        <f>Z58</f>
        <v>0.31</v>
      </c>
      <c r="AP135" s="110">
        <f>AC58</f>
        <v>0.315</v>
      </c>
      <c r="AQ135" s="110">
        <f>AF58</f>
        <v>0.32</v>
      </c>
    </row>
  </sheetData>
  <mergeCells count="4">
    <mergeCell ref="B1:AF1"/>
    <mergeCell ref="B5:AF5"/>
    <mergeCell ref="B56:AF56"/>
    <mergeCell ref="B66:AF66"/>
  </mergeCells>
  <printOptions horizontalCentered="1"/>
  <pageMargins left="0.75" right="0.75" top="1" bottom="1" header="0.511811023622047" footer="0.511811023622047"/>
  <pageSetup orientation="landscape" horizontalDpi="300" verticalDpi="300"/>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13A44"/>
  </sheetPr>
  <dimension ref="B1:L100"/>
  <sheetViews>
    <sheetView showGridLines="0" zoomScale="90" zoomScaleNormal="90" workbookViewId="0">
      <pane xSplit="2" ySplit="3" topLeftCell="C4" activePane="bottomRight" state="frozen"/>
      <selection pane="topRight" activeCell="C1" sqref="C1"/>
      <selection pane="bottomLeft" activeCell="A4" sqref="A4"/>
      <selection pane="bottomRight"/>
    </sheetView>
  </sheetViews>
  <sheetFormatPr defaultColWidth="8.6640625" defaultRowHeight="14.4" x14ac:dyDescent="0.3"/>
  <cols>
    <col min="1" max="1" width="2" customWidth="1"/>
    <col min="2" max="2" width="52" customWidth="1"/>
    <col min="3" max="12" width="11.44140625" customWidth="1"/>
  </cols>
  <sheetData>
    <row r="1" spans="2:12" ht="24" customHeight="1" x14ac:dyDescent="0.3">
      <c r="B1" s="5" t="s">
        <v>0</v>
      </c>
      <c r="C1" s="5"/>
      <c r="D1" s="5"/>
      <c r="E1" s="5"/>
      <c r="F1" s="5"/>
      <c r="G1" s="5"/>
      <c r="H1" s="5"/>
      <c r="I1" s="5"/>
      <c r="J1" s="5"/>
      <c r="K1" s="5"/>
      <c r="L1" s="5"/>
    </row>
    <row r="2" spans="2:12" ht="15" customHeight="1" x14ac:dyDescent="0.3">
      <c r="B2" s="26" t="s">
        <v>72</v>
      </c>
      <c r="C2" s="116" t="s">
        <v>334</v>
      </c>
      <c r="D2" s="116" t="s">
        <v>334</v>
      </c>
      <c r="E2" s="116" t="s">
        <v>334</v>
      </c>
      <c r="F2" s="116" t="s">
        <v>334</v>
      </c>
      <c r="G2" s="116" t="s">
        <v>334</v>
      </c>
      <c r="H2" s="116" t="s">
        <v>335</v>
      </c>
      <c r="I2" s="116" t="s">
        <v>335</v>
      </c>
      <c r="J2" s="116" t="s">
        <v>335</v>
      </c>
      <c r="K2" s="116" t="s">
        <v>335</v>
      </c>
      <c r="L2" s="116" t="s">
        <v>335</v>
      </c>
    </row>
    <row r="3" spans="2:12" ht="13.5" customHeight="1" x14ac:dyDescent="0.3">
      <c r="B3" s="27" t="s">
        <v>336</v>
      </c>
      <c r="C3" s="45" t="s">
        <v>212</v>
      </c>
      <c r="D3" s="45" t="s">
        <v>213</v>
      </c>
      <c r="E3" s="45" t="s">
        <v>214</v>
      </c>
      <c r="F3" s="45" t="s">
        <v>215</v>
      </c>
      <c r="G3" s="45" t="s">
        <v>216</v>
      </c>
      <c r="H3" s="92" t="s">
        <v>189</v>
      </c>
      <c r="I3" s="92" t="s">
        <v>190</v>
      </c>
      <c r="J3" s="92" t="s">
        <v>191</v>
      </c>
      <c r="K3" s="92" t="s">
        <v>192</v>
      </c>
      <c r="L3" s="92" t="s">
        <v>193</v>
      </c>
    </row>
    <row r="5" spans="2:12" ht="16.5" customHeight="1" x14ac:dyDescent="0.3">
      <c r="B5" s="10" t="s">
        <v>337</v>
      </c>
      <c r="C5" s="10"/>
      <c r="D5" s="10"/>
      <c r="E5" s="10"/>
      <c r="F5" s="10"/>
      <c r="G5" s="10"/>
      <c r="H5" s="10"/>
      <c r="I5" s="10"/>
      <c r="J5" s="10"/>
      <c r="K5" s="10"/>
      <c r="L5" s="10"/>
    </row>
    <row r="6" spans="2:12" x14ac:dyDescent="0.3">
      <c r="B6" s="29" t="s">
        <v>338</v>
      </c>
      <c r="C6" s="111">
        <f>'Income Statement'!E7</f>
        <v>20791</v>
      </c>
      <c r="D6" s="111">
        <f>'Income Statement'!H7</f>
        <v>26378</v>
      </c>
      <c r="E6" s="111">
        <f>'Income Statement'!K7</f>
        <v>31776</v>
      </c>
      <c r="F6" s="111">
        <f>'Income Statement'!N7</f>
        <v>36251</v>
      </c>
      <c r="G6" s="111">
        <f>'Income Statement'!Q7</f>
        <v>47270</v>
      </c>
      <c r="H6" s="111">
        <f>'Income Statement'!T7</f>
        <v>58737.497609999999</v>
      </c>
      <c r="I6" s="111">
        <f>'Income Statement'!W7</f>
        <v>69954.539349486004</v>
      </c>
      <c r="J6" s="111">
        <f>'Income Statement'!Z7</f>
        <v>80818.863485879148</v>
      </c>
      <c r="K6" s="111">
        <f>'Income Statement'!AC7</f>
        <v>91505.349768921093</v>
      </c>
      <c r="L6" s="111">
        <f>'Income Statement'!AF7</f>
        <v>102412.09414645922</v>
      </c>
    </row>
    <row r="7" spans="2:12" x14ac:dyDescent="0.3">
      <c r="B7" s="32" t="s">
        <v>339</v>
      </c>
      <c r="C7" s="104">
        <f>'Income Statement'!E10</f>
        <v>15489</v>
      </c>
      <c r="D7" s="104">
        <f>'Income Statement'!H10</f>
        <v>19520</v>
      </c>
      <c r="E7" s="104">
        <f>'Income Statement'!K10</f>
        <v>23165</v>
      </c>
      <c r="F7" s="104">
        <f>'Income Statement'!N10</f>
        <v>26064</v>
      </c>
      <c r="G7" s="104">
        <f>'Income Statement'!Q10</f>
        <v>33845</v>
      </c>
      <c r="H7" s="104">
        <f>'Income Statement'!T10</f>
        <v>41821.098298319994</v>
      </c>
      <c r="I7" s="104">
        <f>'Income Statement'!W10</f>
        <v>49527.813859436086</v>
      </c>
      <c r="J7" s="104">
        <f>'Income Statement'!Z10</f>
        <v>56977.298757544799</v>
      </c>
      <c r="K7" s="104">
        <f>'Income Statement'!AC10</f>
        <v>64328.260887551522</v>
      </c>
      <c r="L7" s="104">
        <f>'Income Statement'!AF10</f>
        <v>71790.877996667914</v>
      </c>
    </row>
    <row r="8" spans="2:12" x14ac:dyDescent="0.3">
      <c r="B8" s="52" t="s">
        <v>340</v>
      </c>
      <c r="C8" s="105">
        <f t="shared" ref="C8:L8" si="0">C7/C6</f>
        <v>0.74498581116829399</v>
      </c>
      <c r="D8" s="105">
        <f t="shared" si="0"/>
        <v>0.74001061490636133</v>
      </c>
      <c r="E8" s="105">
        <f t="shared" si="0"/>
        <v>0.72900931520644507</v>
      </c>
      <c r="F8" s="105">
        <f t="shared" si="0"/>
        <v>0.71898706242586408</v>
      </c>
      <c r="G8" s="105">
        <f t="shared" si="0"/>
        <v>0.71599323037867568</v>
      </c>
      <c r="H8" s="105">
        <f t="shared" si="0"/>
        <v>0.71199999999999997</v>
      </c>
      <c r="I8" s="105">
        <f t="shared" si="0"/>
        <v>0.70799999999999996</v>
      </c>
      <c r="J8" s="105">
        <f t="shared" si="0"/>
        <v>0.70499999999999996</v>
      </c>
      <c r="K8" s="105">
        <f t="shared" si="0"/>
        <v>0.70299999999999996</v>
      </c>
      <c r="L8" s="105">
        <f t="shared" si="0"/>
        <v>0.70100000000000007</v>
      </c>
    </row>
    <row r="9" spans="2:12" x14ac:dyDescent="0.3">
      <c r="B9" s="32" t="s">
        <v>341</v>
      </c>
      <c r="C9" s="104">
        <f>'Income Statement'!E12</f>
        <v>1206</v>
      </c>
      <c r="D9" s="104">
        <f>'Income Statement'!H12</f>
        <v>1451</v>
      </c>
      <c r="E9" s="104">
        <f>'Income Statement'!K12</f>
        <v>1748</v>
      </c>
      <c r="F9" s="104">
        <f>'Income Statement'!N12</f>
        <v>2030</v>
      </c>
      <c r="G9" s="104">
        <f>'Income Statement'!Q12</f>
        <v>2553</v>
      </c>
      <c r="H9" s="104">
        <f>'Income Statement'!T12</f>
        <v>3171.82487094</v>
      </c>
      <c r="I9" s="104">
        <f>'Income Statement'!W12</f>
        <v>3777.5451248722443</v>
      </c>
      <c r="J9" s="104">
        <f>'Income Statement'!Z12</f>
        <v>4364.2186282374741</v>
      </c>
      <c r="K9" s="104">
        <f>'Income Statement'!AC12</f>
        <v>4941.2888875217386</v>
      </c>
      <c r="L9" s="104">
        <f>'Income Statement'!AF12</f>
        <v>5530.2530839087976</v>
      </c>
    </row>
    <row r="10" spans="2:12" x14ac:dyDescent="0.3">
      <c r="B10" s="52" t="s">
        <v>340</v>
      </c>
      <c r="C10" s="105">
        <f t="shared" ref="C10:L10" si="1">C9/C6</f>
        <v>5.8005867923620801E-2</v>
      </c>
      <c r="D10" s="105">
        <f t="shared" si="1"/>
        <v>5.5007961179771019E-2</v>
      </c>
      <c r="E10" s="105">
        <f t="shared" si="1"/>
        <v>5.5010070493454181E-2</v>
      </c>
      <c r="F10" s="105">
        <f t="shared" si="1"/>
        <v>5.5998455215028553E-2</v>
      </c>
      <c r="G10" s="105">
        <f t="shared" si="1"/>
        <v>5.4008885127988154E-2</v>
      </c>
      <c r="H10" s="105">
        <f t="shared" si="1"/>
        <v>5.3999999999999999E-2</v>
      </c>
      <c r="I10" s="105">
        <f t="shared" si="1"/>
        <v>5.3999999999999999E-2</v>
      </c>
      <c r="J10" s="105">
        <f t="shared" si="1"/>
        <v>5.3999999999999999E-2</v>
      </c>
      <c r="K10" s="105">
        <f t="shared" si="1"/>
        <v>5.3999999999999992E-2</v>
      </c>
      <c r="L10" s="105">
        <f t="shared" si="1"/>
        <v>5.3999999999999999E-2</v>
      </c>
    </row>
    <row r="11" spans="2:12" x14ac:dyDescent="0.3">
      <c r="B11" s="32" t="s">
        <v>251</v>
      </c>
      <c r="C11" s="104">
        <f>'Income Statement'!E14</f>
        <v>2134</v>
      </c>
      <c r="D11" s="104">
        <f>'Income Statement'!H14</f>
        <v>2732</v>
      </c>
      <c r="E11" s="104">
        <f>'Income Statement'!K14</f>
        <v>3350</v>
      </c>
      <c r="F11" s="104">
        <f>'Income Statement'!N14</f>
        <v>3694</v>
      </c>
      <c r="G11" s="104">
        <f>'Income Statement'!Q14</f>
        <v>4793</v>
      </c>
      <c r="H11" s="104">
        <f>'Income Statement'!T14</f>
        <v>5873.749761</v>
      </c>
      <c r="I11" s="104">
        <f>'Income Statement'!W14</f>
        <v>6995.4539349486004</v>
      </c>
      <c r="J11" s="104">
        <f>'Income Statement'!Z14</f>
        <v>8081.8863485879156</v>
      </c>
      <c r="K11" s="104">
        <f>'Income Statement'!AC14</f>
        <v>9150.5349768921096</v>
      </c>
      <c r="L11" s="104">
        <f>'Income Statement'!AF14</f>
        <v>10241.209414645922</v>
      </c>
    </row>
    <row r="12" spans="2:12" x14ac:dyDescent="0.3">
      <c r="B12" s="52" t="s">
        <v>340</v>
      </c>
      <c r="C12" s="105">
        <f t="shared" ref="C12:L12" si="2">C11/C6</f>
        <v>0.10264056562935886</v>
      </c>
      <c r="D12" s="105">
        <f t="shared" si="2"/>
        <v>0.10357115778300098</v>
      </c>
      <c r="E12" s="105">
        <f t="shared" si="2"/>
        <v>0.10542547834843907</v>
      </c>
      <c r="F12" s="105">
        <f t="shared" si="2"/>
        <v>0.10190063722380072</v>
      </c>
      <c r="G12" s="105">
        <f t="shared" si="2"/>
        <v>0.10139623439813836</v>
      </c>
      <c r="H12" s="105">
        <f t="shared" si="2"/>
        <v>0.1</v>
      </c>
      <c r="I12" s="105">
        <f t="shared" si="2"/>
        <v>0.1</v>
      </c>
      <c r="J12" s="105">
        <f t="shared" si="2"/>
        <v>0.1</v>
      </c>
      <c r="K12" s="105">
        <f t="shared" si="2"/>
        <v>0.1</v>
      </c>
      <c r="L12" s="105">
        <f t="shared" si="2"/>
        <v>0.1</v>
      </c>
    </row>
    <row r="13" spans="2:12" x14ac:dyDescent="0.3">
      <c r="B13" s="29" t="s">
        <v>342</v>
      </c>
      <c r="C13" s="103">
        <f t="shared" ref="C13:L13" si="3">C7+C9+C11</f>
        <v>18829</v>
      </c>
      <c r="D13" s="103">
        <f t="shared" si="3"/>
        <v>23703</v>
      </c>
      <c r="E13" s="103">
        <f t="shared" si="3"/>
        <v>28263</v>
      </c>
      <c r="F13" s="103">
        <f t="shared" si="3"/>
        <v>31788</v>
      </c>
      <c r="G13" s="103">
        <f t="shared" si="3"/>
        <v>41191</v>
      </c>
      <c r="H13" s="103">
        <f t="shared" si="3"/>
        <v>50866.672930259992</v>
      </c>
      <c r="I13" s="103">
        <f t="shared" si="3"/>
        <v>60300.812919256932</v>
      </c>
      <c r="J13" s="103">
        <f t="shared" si="3"/>
        <v>69423.403734370193</v>
      </c>
      <c r="K13" s="103">
        <f t="shared" si="3"/>
        <v>78420.084751965376</v>
      </c>
      <c r="L13" s="103">
        <f t="shared" si="3"/>
        <v>87562.340495222641</v>
      </c>
    </row>
    <row r="14" spans="2:12" x14ac:dyDescent="0.3">
      <c r="B14" s="52" t="s">
        <v>340</v>
      </c>
      <c r="C14" s="105">
        <f t="shared" ref="C14:L14" si="4">C13/C6</f>
        <v>0.90563224472127368</v>
      </c>
      <c r="D14" s="105">
        <f t="shared" si="4"/>
        <v>0.89858973386913332</v>
      </c>
      <c r="E14" s="105">
        <f t="shared" si="4"/>
        <v>0.88944486404833834</v>
      </c>
      <c r="F14" s="105">
        <f t="shared" si="4"/>
        <v>0.87688615486469335</v>
      </c>
      <c r="G14" s="105">
        <f t="shared" si="4"/>
        <v>0.87139834990480225</v>
      </c>
      <c r="H14" s="105">
        <f t="shared" si="4"/>
        <v>0.86599999999999988</v>
      </c>
      <c r="I14" s="105">
        <f t="shared" si="4"/>
        <v>0.86199999999999999</v>
      </c>
      <c r="J14" s="105">
        <f t="shared" si="4"/>
        <v>0.8590000000000001</v>
      </c>
      <c r="K14" s="105">
        <f t="shared" si="4"/>
        <v>0.85699999999999998</v>
      </c>
      <c r="L14" s="105">
        <f t="shared" si="4"/>
        <v>0.85500000000000009</v>
      </c>
    </row>
    <row r="15" spans="2:12" x14ac:dyDescent="0.3">
      <c r="B15" s="29" t="s">
        <v>223</v>
      </c>
      <c r="C15" s="103">
        <f t="shared" ref="C15:L15" si="5">C6-C13</f>
        <v>1962</v>
      </c>
      <c r="D15" s="103">
        <f t="shared" si="5"/>
        <v>2675</v>
      </c>
      <c r="E15" s="103">
        <f t="shared" si="5"/>
        <v>3513</v>
      </c>
      <c r="F15" s="103">
        <f t="shared" si="5"/>
        <v>4463</v>
      </c>
      <c r="G15" s="103">
        <f t="shared" si="5"/>
        <v>6079</v>
      </c>
      <c r="H15" s="103">
        <f t="shared" si="5"/>
        <v>7870.8246797400061</v>
      </c>
      <c r="I15" s="103">
        <f t="shared" si="5"/>
        <v>9653.7264302290714</v>
      </c>
      <c r="J15" s="103">
        <f t="shared" si="5"/>
        <v>11395.459751508955</v>
      </c>
      <c r="K15" s="103">
        <f t="shared" si="5"/>
        <v>13085.265016955716</v>
      </c>
      <c r="L15" s="103">
        <f t="shared" si="5"/>
        <v>14849.753651236577</v>
      </c>
    </row>
    <row r="16" spans="2:12" x14ac:dyDescent="0.3">
      <c r="B16" s="29" t="s">
        <v>224</v>
      </c>
      <c r="C16" s="113">
        <f t="shared" ref="C16:L16" si="6">C15/C6</f>
        <v>9.4367755278726373E-2</v>
      </c>
      <c r="D16" s="113">
        <f t="shared" si="6"/>
        <v>0.10141026613086664</v>
      </c>
      <c r="E16" s="113">
        <f t="shared" si="6"/>
        <v>0.11055513595166164</v>
      </c>
      <c r="F16" s="113">
        <f t="shared" si="6"/>
        <v>0.12311384513530661</v>
      </c>
      <c r="G16" s="113">
        <f t="shared" si="6"/>
        <v>0.12860165009519781</v>
      </c>
      <c r="H16" s="113">
        <f t="shared" si="6"/>
        <v>0.13400000000000012</v>
      </c>
      <c r="I16" s="113">
        <f t="shared" si="6"/>
        <v>0.13800000000000004</v>
      </c>
      <c r="J16" s="113">
        <f t="shared" si="6"/>
        <v>0.14099999999999993</v>
      </c>
      <c r="K16" s="113">
        <f t="shared" si="6"/>
        <v>0.14299999999999999</v>
      </c>
      <c r="L16" s="113">
        <f t="shared" si="6"/>
        <v>0.14499999999999991</v>
      </c>
    </row>
    <row r="18" spans="2:12" ht="16.5" customHeight="1" x14ac:dyDescent="0.3">
      <c r="B18" s="10" t="s">
        <v>343</v>
      </c>
      <c r="C18" s="10"/>
      <c r="D18" s="10"/>
      <c r="E18" s="10"/>
      <c r="F18" s="10"/>
      <c r="G18" s="10"/>
      <c r="H18" s="10"/>
      <c r="I18" s="10"/>
      <c r="J18" s="10"/>
      <c r="K18" s="10"/>
      <c r="L18" s="10"/>
    </row>
    <row r="19" spans="2:12" x14ac:dyDescent="0.3">
      <c r="B19" s="32" t="s">
        <v>344</v>
      </c>
      <c r="C19" s="95">
        <f>'Revenue Segments'!E42</f>
        <v>3220000</v>
      </c>
      <c r="D19" s="95">
        <f>'Revenue Segments'!H42</f>
        <v>3842000</v>
      </c>
      <c r="E19" s="95">
        <f>'Revenue Segments'!K42</f>
        <v>4193000</v>
      </c>
      <c r="F19" s="95">
        <f>'Revenue Segments'!N42</f>
        <v>4744000</v>
      </c>
      <c r="G19" s="95">
        <f>'Revenue Segments'!Q42</f>
        <v>5889000</v>
      </c>
      <c r="H19" s="95">
        <f>'Revenue Segments'!T42</f>
        <v>6954700</v>
      </c>
      <c r="I19" s="95">
        <f>'Revenue Segments'!W42</f>
        <v>7950666</v>
      </c>
      <c r="J19" s="95">
        <f>'Revenue Segments'!Z42</f>
        <v>8871769.040000001</v>
      </c>
      <c r="K19" s="95">
        <f>'Revenue Segments'!AC42</f>
        <v>9713823.3900000025</v>
      </c>
      <c r="L19" s="95">
        <f>'Revenue Segments'!AF42</f>
        <v>10519605.714480001</v>
      </c>
    </row>
    <row r="20" spans="2:12" x14ac:dyDescent="0.3">
      <c r="B20" s="32" t="s">
        <v>345</v>
      </c>
      <c r="C20" s="95">
        <f t="shared" ref="C20:L20" si="7">C6*10000000/C19</f>
        <v>64568.322981366458</v>
      </c>
      <c r="D20" s="95">
        <f t="shared" si="7"/>
        <v>68656.949505465906</v>
      </c>
      <c r="E20" s="95">
        <f t="shared" si="7"/>
        <v>75783.448604817546</v>
      </c>
      <c r="F20" s="95">
        <f t="shared" si="7"/>
        <v>76414.418212478922</v>
      </c>
      <c r="G20" s="95">
        <f t="shared" si="7"/>
        <v>80268.296824588222</v>
      </c>
      <c r="H20" s="95">
        <f t="shared" si="7"/>
        <v>84457.270061972478</v>
      </c>
      <c r="I20" s="95">
        <f t="shared" si="7"/>
        <v>87985.760374647856</v>
      </c>
      <c r="J20" s="95">
        <f t="shared" si="7"/>
        <v>91096.672063364647</v>
      </c>
      <c r="K20" s="95">
        <f t="shared" si="7"/>
        <v>94201.166826980028</v>
      </c>
      <c r="L20" s="95">
        <f t="shared" si="7"/>
        <v>97353.548151991345</v>
      </c>
    </row>
    <row r="21" spans="2:12" x14ac:dyDescent="0.3">
      <c r="B21" s="32" t="s">
        <v>346</v>
      </c>
      <c r="C21" s="95">
        <f t="shared" ref="C21:L21" si="8">C7*10000000/C19</f>
        <v>48102.484472049691</v>
      </c>
      <c r="D21" s="95">
        <f t="shared" si="8"/>
        <v>50806.871421134827</v>
      </c>
      <c r="E21" s="95">
        <f t="shared" si="8"/>
        <v>55246.839971380876</v>
      </c>
      <c r="F21" s="95">
        <f t="shared" si="8"/>
        <v>54940.978077571672</v>
      </c>
      <c r="G21" s="95">
        <f t="shared" si="8"/>
        <v>57471.557140431316</v>
      </c>
      <c r="H21" s="95">
        <f t="shared" si="8"/>
        <v>60133.5762841244</v>
      </c>
      <c r="I21" s="95">
        <f t="shared" si="8"/>
        <v>62293.918345250677</v>
      </c>
      <c r="J21" s="95">
        <f t="shared" si="8"/>
        <v>64223.153804672074</v>
      </c>
      <c r="K21" s="95">
        <f t="shared" si="8"/>
        <v>66223.420279366954</v>
      </c>
      <c r="L21" s="95">
        <f t="shared" si="8"/>
        <v>68244.837254545942</v>
      </c>
    </row>
    <row r="22" spans="2:12" x14ac:dyDescent="0.3">
      <c r="B22" s="29" t="s">
        <v>252</v>
      </c>
      <c r="C22" s="102">
        <f t="shared" ref="C22:L22" si="9">C20-C21</f>
        <v>16465.838509316767</v>
      </c>
      <c r="D22" s="102">
        <f t="shared" si="9"/>
        <v>17850.078084331079</v>
      </c>
      <c r="E22" s="102">
        <f t="shared" si="9"/>
        <v>20536.60863343667</v>
      </c>
      <c r="F22" s="102">
        <f t="shared" si="9"/>
        <v>21473.44013490725</v>
      </c>
      <c r="G22" s="102">
        <f t="shared" si="9"/>
        <v>22796.739684156906</v>
      </c>
      <c r="H22" s="102">
        <f t="shared" si="9"/>
        <v>24323.693777848079</v>
      </c>
      <c r="I22" s="102">
        <f t="shared" si="9"/>
        <v>25691.842029397179</v>
      </c>
      <c r="J22" s="102">
        <f t="shared" si="9"/>
        <v>26873.518258692573</v>
      </c>
      <c r="K22" s="102">
        <f t="shared" si="9"/>
        <v>27977.746547613075</v>
      </c>
      <c r="L22" s="102">
        <f t="shared" si="9"/>
        <v>29108.710897445402</v>
      </c>
    </row>
    <row r="23" spans="2:12" x14ac:dyDescent="0.3">
      <c r="B23" s="32" t="s">
        <v>347</v>
      </c>
      <c r="C23" s="110">
        <f t="shared" ref="C23:L23" si="10">C22/C20</f>
        <v>0.25501418883170596</v>
      </c>
      <c r="D23" s="110">
        <f t="shared" si="10"/>
        <v>0.25998938509363867</v>
      </c>
      <c r="E23" s="110">
        <f t="shared" si="10"/>
        <v>0.27099068479355476</v>
      </c>
      <c r="F23" s="110">
        <f t="shared" si="10"/>
        <v>0.28101293757413587</v>
      </c>
      <c r="G23" s="110">
        <f t="shared" si="10"/>
        <v>0.28400676962132432</v>
      </c>
      <c r="H23" s="110">
        <f t="shared" si="10"/>
        <v>0.28800000000000003</v>
      </c>
      <c r="I23" s="110">
        <f t="shared" si="10"/>
        <v>0.29200000000000004</v>
      </c>
      <c r="J23" s="110">
        <f t="shared" si="10"/>
        <v>0.29500000000000004</v>
      </c>
      <c r="K23" s="110">
        <f t="shared" si="10"/>
        <v>0.29700000000000004</v>
      </c>
      <c r="L23" s="110">
        <f t="shared" si="10"/>
        <v>0.29899999999999988</v>
      </c>
    </row>
    <row r="24" spans="2:12" x14ac:dyDescent="0.3">
      <c r="B24" s="32" t="s">
        <v>348</v>
      </c>
      <c r="C24" s="95">
        <f t="shared" ref="C24:L24" si="11">(C9+C11)*10000000/C19</f>
        <v>10372.670807453416</v>
      </c>
      <c r="D24" s="95">
        <f t="shared" si="11"/>
        <v>10887.558563248309</v>
      </c>
      <c r="E24" s="95">
        <f t="shared" si="11"/>
        <v>12158.359170045314</v>
      </c>
      <c r="F24" s="95">
        <f t="shared" si="11"/>
        <v>12065.767284991569</v>
      </c>
      <c r="G24" s="95">
        <f t="shared" si="11"/>
        <v>12474.104262183733</v>
      </c>
      <c r="H24" s="95">
        <f t="shared" si="11"/>
        <v>13006.419589543762</v>
      </c>
      <c r="I24" s="95">
        <f t="shared" si="11"/>
        <v>13549.80709769577</v>
      </c>
      <c r="J24" s="95">
        <f t="shared" si="11"/>
        <v>14028.887497758158</v>
      </c>
      <c r="K24" s="95">
        <f t="shared" si="11"/>
        <v>14506.979691354922</v>
      </c>
      <c r="L24" s="95">
        <f t="shared" si="11"/>
        <v>14992.44641540667</v>
      </c>
    </row>
    <row r="25" spans="2:12" x14ac:dyDescent="0.3">
      <c r="B25" s="29" t="s">
        <v>253</v>
      </c>
      <c r="C25" s="102">
        <f t="shared" ref="C25:L25" si="12">C15*10000000/C19</f>
        <v>6093.1677018633536</v>
      </c>
      <c r="D25" s="102">
        <f t="shared" si="12"/>
        <v>6962.5195210827696</v>
      </c>
      <c r="E25" s="102">
        <f t="shared" si="12"/>
        <v>8378.2494633913666</v>
      </c>
      <c r="F25" s="102">
        <f t="shared" si="12"/>
        <v>9407.6728499156834</v>
      </c>
      <c r="G25" s="102">
        <f t="shared" si="12"/>
        <v>10322.635421973171</v>
      </c>
      <c r="H25" s="102">
        <f t="shared" si="12"/>
        <v>11317.27418830432</v>
      </c>
      <c r="I25" s="102">
        <f t="shared" si="12"/>
        <v>12142.034931701408</v>
      </c>
      <c r="J25" s="102">
        <f t="shared" si="12"/>
        <v>12844.630760934409</v>
      </c>
      <c r="K25" s="102">
        <f t="shared" si="12"/>
        <v>13470.766856258144</v>
      </c>
      <c r="L25" s="102">
        <f t="shared" si="12"/>
        <v>14116.264482038738</v>
      </c>
    </row>
    <row r="26" spans="2:12" ht="12.75" customHeight="1" x14ac:dyDescent="0.3">
      <c r="B26" s="74"/>
    </row>
    <row r="28" spans="2:12" ht="16.5" customHeight="1" x14ac:dyDescent="0.3">
      <c r="B28" s="10" t="s">
        <v>349</v>
      </c>
      <c r="C28" s="10"/>
      <c r="D28" s="10"/>
      <c r="E28" s="10"/>
      <c r="F28" s="10"/>
      <c r="G28" s="10"/>
      <c r="H28" s="10"/>
      <c r="I28" s="10"/>
      <c r="J28" s="10"/>
      <c r="K28" s="10"/>
      <c r="L28" s="10"/>
    </row>
    <row r="29" spans="2:12" ht="25.5" customHeight="1" x14ac:dyDescent="0.3">
      <c r="B29" s="28" t="s">
        <v>179</v>
      </c>
      <c r="C29" s="28" t="s">
        <v>350</v>
      </c>
      <c r="D29" s="28" t="s">
        <v>351</v>
      </c>
      <c r="E29" s="4" t="s">
        <v>352</v>
      </c>
      <c r="F29" s="4"/>
      <c r="G29" s="4"/>
      <c r="H29" s="117"/>
    </row>
    <row r="30" spans="2:12" ht="21.75" customHeight="1" x14ac:dyDescent="0.3">
      <c r="B30" s="118" t="s">
        <v>353</v>
      </c>
      <c r="C30" s="119">
        <v>0.255</v>
      </c>
      <c r="D30" s="120">
        <f t="shared" ref="D30:D37" si="13">$C30*$G$7</f>
        <v>8630.4750000000004</v>
      </c>
      <c r="E30" s="3" t="s">
        <v>354</v>
      </c>
      <c r="F30" s="3"/>
      <c r="G30" s="3"/>
      <c r="H30" s="31"/>
    </row>
    <row r="31" spans="2:12" ht="21.75" customHeight="1" x14ac:dyDescent="0.3">
      <c r="B31" s="13" t="s">
        <v>355</v>
      </c>
      <c r="C31" s="70">
        <v>0.14499999999999999</v>
      </c>
      <c r="D31" s="104">
        <f t="shared" si="13"/>
        <v>4907.5249999999996</v>
      </c>
      <c r="E31" s="2" t="s">
        <v>356</v>
      </c>
      <c r="F31" s="2"/>
      <c r="G31" s="2"/>
      <c r="H31" s="31"/>
    </row>
    <row r="32" spans="2:12" ht="21.75" customHeight="1" x14ac:dyDescent="0.3">
      <c r="B32" s="118" t="s">
        <v>357</v>
      </c>
      <c r="C32" s="119">
        <v>0.115</v>
      </c>
      <c r="D32" s="120">
        <f t="shared" si="13"/>
        <v>3892.1750000000002</v>
      </c>
      <c r="E32" s="3" t="s">
        <v>358</v>
      </c>
      <c r="F32" s="3"/>
      <c r="G32" s="3"/>
      <c r="H32" s="31"/>
    </row>
    <row r="33" spans="2:12" ht="21.75" customHeight="1" x14ac:dyDescent="0.3">
      <c r="B33" s="13" t="s">
        <v>359</v>
      </c>
      <c r="C33" s="70">
        <v>7.4999999999999997E-2</v>
      </c>
      <c r="D33" s="104">
        <f t="shared" si="13"/>
        <v>2538.375</v>
      </c>
      <c r="E33" s="2" t="s">
        <v>360</v>
      </c>
      <c r="F33" s="2"/>
      <c r="G33" s="2"/>
      <c r="H33" s="31"/>
    </row>
    <row r="34" spans="2:12" ht="21.75" customHeight="1" x14ac:dyDescent="0.3">
      <c r="B34" s="118" t="s">
        <v>361</v>
      </c>
      <c r="C34" s="119">
        <v>0.13</v>
      </c>
      <c r="D34" s="120">
        <f t="shared" si="13"/>
        <v>4399.8500000000004</v>
      </c>
      <c r="E34" s="3" t="s">
        <v>362</v>
      </c>
      <c r="F34" s="3"/>
      <c r="G34" s="3"/>
      <c r="H34" s="31"/>
    </row>
    <row r="35" spans="2:12" ht="21.75" customHeight="1" x14ac:dyDescent="0.3">
      <c r="B35" s="13" t="s">
        <v>363</v>
      </c>
      <c r="C35" s="70">
        <v>9.5000000000000001E-2</v>
      </c>
      <c r="D35" s="104">
        <f t="shared" si="13"/>
        <v>3215.2750000000001</v>
      </c>
      <c r="E35" s="2" t="s">
        <v>364</v>
      </c>
      <c r="F35" s="2"/>
      <c r="G35" s="2"/>
      <c r="H35" s="31"/>
    </row>
    <row r="36" spans="2:12" ht="21.75" customHeight="1" x14ac:dyDescent="0.3">
      <c r="B36" s="118" t="s">
        <v>365</v>
      </c>
      <c r="C36" s="119">
        <v>0.03</v>
      </c>
      <c r="D36" s="120">
        <f t="shared" si="13"/>
        <v>1015.3499999999999</v>
      </c>
      <c r="E36" s="3" t="s">
        <v>366</v>
      </c>
      <c r="F36" s="3"/>
      <c r="G36" s="3"/>
      <c r="H36" s="31"/>
    </row>
    <row r="37" spans="2:12" ht="21.75" customHeight="1" x14ac:dyDescent="0.3">
      <c r="B37" s="13" t="s">
        <v>367</v>
      </c>
      <c r="C37" s="70">
        <v>0.155</v>
      </c>
      <c r="D37" s="104">
        <f t="shared" si="13"/>
        <v>5245.9750000000004</v>
      </c>
      <c r="E37" s="2" t="s">
        <v>368</v>
      </c>
      <c r="F37" s="2"/>
      <c r="G37" s="2"/>
      <c r="H37" s="31"/>
    </row>
    <row r="38" spans="2:12" x14ac:dyDescent="0.3">
      <c r="B38" s="36" t="s">
        <v>369</v>
      </c>
      <c r="C38" s="122">
        <f>SUM(C30:C37)</f>
        <v>1</v>
      </c>
      <c r="D38" s="103">
        <f>SUM(D30:D37)</f>
        <v>33845</v>
      </c>
    </row>
    <row r="39" spans="2:12" x14ac:dyDescent="0.3">
      <c r="B39" s="108" t="s">
        <v>370</v>
      </c>
      <c r="D39" s="109">
        <f>D38-G7</f>
        <v>0</v>
      </c>
    </row>
    <row r="40" spans="2:12" ht="12.75" customHeight="1" x14ac:dyDescent="0.3">
      <c r="B40" s="74"/>
    </row>
    <row r="42" spans="2:12" ht="16.5" customHeight="1" x14ac:dyDescent="0.3">
      <c r="B42" s="10" t="s">
        <v>371</v>
      </c>
      <c r="C42" s="10"/>
      <c r="D42" s="10"/>
      <c r="E42" s="10"/>
      <c r="F42" s="10"/>
      <c r="G42" s="10"/>
      <c r="H42" s="10"/>
      <c r="I42" s="10"/>
      <c r="J42" s="10"/>
      <c r="K42" s="10"/>
      <c r="L42" s="10"/>
    </row>
    <row r="43" spans="2:12" ht="25.5" customHeight="1" x14ac:dyDescent="0.3">
      <c r="B43" s="28" t="s">
        <v>179</v>
      </c>
      <c r="C43" s="28" t="s">
        <v>372</v>
      </c>
      <c r="D43" s="28" t="s">
        <v>373</v>
      </c>
      <c r="E43" s="28" t="s">
        <v>374</v>
      </c>
      <c r="F43" s="28" t="s">
        <v>375</v>
      </c>
    </row>
    <row r="44" spans="2:12" x14ac:dyDescent="0.3">
      <c r="B44" s="13" t="s">
        <v>353</v>
      </c>
      <c r="C44" s="123">
        <f t="shared" ref="C44:C51" si="14">C30</f>
        <v>0.255</v>
      </c>
      <c r="D44" s="104">
        <f t="shared" ref="D44:D51" si="15">-C30*$H$7*0.1</f>
        <v>-1066.4380066071599</v>
      </c>
      <c r="E44" s="95">
        <f t="shared" ref="E44:E51" si="16">D44/$H$6*10000</f>
        <v>-181.55999999999997</v>
      </c>
      <c r="F44" s="115">
        <f>D44*(1-'Debt &amp; Cost of Capital'!$C$30)/('Debt &amp; Cost of Capital'!$C$57-'Debt &amp; Cost of Capital'!$C$64)/47.5087</f>
        <v>-203.47415262774228</v>
      </c>
    </row>
    <row r="45" spans="2:12" x14ac:dyDescent="0.3">
      <c r="B45" s="13" t="s">
        <v>355</v>
      </c>
      <c r="C45" s="123">
        <f t="shared" si="14"/>
        <v>0.14499999999999999</v>
      </c>
      <c r="D45" s="104">
        <f t="shared" si="15"/>
        <v>-606.40592532563994</v>
      </c>
      <c r="E45" s="95">
        <f t="shared" si="16"/>
        <v>-103.24</v>
      </c>
      <c r="F45" s="115">
        <f>D45*(1-'Debt &amp; Cost of Capital'!$C$30)/('Debt &amp; Cost of Capital'!$C$57-'Debt &amp; Cost of Capital'!$C$64)/47.5087</f>
        <v>-115.70098874910838</v>
      </c>
    </row>
    <row r="46" spans="2:12" x14ac:dyDescent="0.3">
      <c r="B46" s="13" t="s">
        <v>357</v>
      </c>
      <c r="C46" s="123">
        <f t="shared" si="14"/>
        <v>0.115</v>
      </c>
      <c r="D46" s="104">
        <f t="shared" si="15"/>
        <v>-480.94263043067997</v>
      </c>
      <c r="E46" s="95">
        <f t="shared" si="16"/>
        <v>-81.88</v>
      </c>
      <c r="F46" s="115">
        <f>D46*(1-'Debt &amp; Cost of Capital'!$C$30)/('Debt &amp; Cost of Capital'!$C$57-'Debt &amp; Cost of Capital'!$C$64)/47.5087</f>
        <v>-91.762853145844559</v>
      </c>
    </row>
    <row r="47" spans="2:12" x14ac:dyDescent="0.3">
      <c r="B47" s="13" t="s">
        <v>359</v>
      </c>
      <c r="C47" s="123">
        <f t="shared" si="14"/>
        <v>7.4999999999999997E-2</v>
      </c>
      <c r="D47" s="104">
        <f t="shared" si="15"/>
        <v>-313.65823723739999</v>
      </c>
      <c r="E47" s="95">
        <f t="shared" si="16"/>
        <v>-53.4</v>
      </c>
      <c r="F47" s="115">
        <f>D47*(1-'Debt &amp; Cost of Capital'!$C$30)/('Debt &amp; Cost of Capital'!$C$57-'Debt &amp; Cost of Capital'!$C$64)/47.5087</f>
        <v>-59.845339008159499</v>
      </c>
    </row>
    <row r="48" spans="2:12" x14ac:dyDescent="0.3">
      <c r="B48" s="13" t="s">
        <v>361</v>
      </c>
      <c r="C48" s="123">
        <f t="shared" si="14"/>
        <v>0.13</v>
      </c>
      <c r="D48" s="104">
        <f t="shared" si="15"/>
        <v>-543.67427787815996</v>
      </c>
      <c r="E48" s="95">
        <f t="shared" si="16"/>
        <v>-92.56</v>
      </c>
      <c r="F48" s="115">
        <f>D48*(1-'Debt &amp; Cost of Capital'!$C$30)/('Debt &amp; Cost of Capital'!$C$57-'Debt &amp; Cost of Capital'!$C$64)/47.5087</f>
        <v>-103.73192094747645</v>
      </c>
    </row>
    <row r="49" spans="2:12" x14ac:dyDescent="0.3">
      <c r="B49" s="13" t="s">
        <v>363</v>
      </c>
      <c r="C49" s="123">
        <f t="shared" si="14"/>
        <v>9.5000000000000001E-2</v>
      </c>
      <c r="D49" s="104">
        <f t="shared" si="15"/>
        <v>-397.30043383403995</v>
      </c>
      <c r="E49" s="95">
        <f t="shared" si="16"/>
        <v>-67.639999999999986</v>
      </c>
      <c r="F49" s="115">
        <f>D49*(1-'Debt &amp; Cost of Capital'!$C$30)/('Debt &amp; Cost of Capital'!$C$57-'Debt &amp; Cost of Capital'!$C$64)/47.5087</f>
        <v>-75.804096077002029</v>
      </c>
    </row>
    <row r="50" spans="2:12" x14ac:dyDescent="0.3">
      <c r="B50" s="13" t="s">
        <v>365</v>
      </c>
      <c r="C50" s="123">
        <f t="shared" si="14"/>
        <v>0.03</v>
      </c>
      <c r="D50" s="104">
        <f t="shared" si="15"/>
        <v>-125.46329489495997</v>
      </c>
      <c r="E50" s="95">
        <f t="shared" si="16"/>
        <v>-21.359999999999996</v>
      </c>
      <c r="F50" s="115">
        <f>D50*(1-'Debt &amp; Cost of Capital'!$C$30)/('Debt &amp; Cost of Capital'!$C$57-'Debt &amp; Cost of Capital'!$C$64)/47.5087</f>
        <v>-23.938135603263799</v>
      </c>
    </row>
    <row r="51" spans="2:12" x14ac:dyDescent="0.3">
      <c r="B51" s="13" t="s">
        <v>367</v>
      </c>
      <c r="C51" s="123">
        <f t="shared" si="14"/>
        <v>0.155</v>
      </c>
      <c r="D51" s="104">
        <f t="shared" si="15"/>
        <v>-648.22702362396001</v>
      </c>
      <c r="E51" s="95">
        <f t="shared" si="16"/>
        <v>-110.36000000000001</v>
      </c>
      <c r="F51" s="115">
        <f>D51*(1-'Debt &amp; Cost of Capital'!$C$30)/('Debt &amp; Cost of Capital'!$C$57-'Debt &amp; Cost of Capital'!$C$64)/47.5087</f>
        <v>-123.68036728352963</v>
      </c>
    </row>
    <row r="52" spans="2:12" x14ac:dyDescent="0.3">
      <c r="B52" s="36" t="s">
        <v>376</v>
      </c>
      <c r="C52" s="124">
        <f>SUM(C44:C51)</f>
        <v>1</v>
      </c>
      <c r="D52" s="103">
        <f>SUM(D44:D51)</f>
        <v>-4182.1098298320003</v>
      </c>
      <c r="E52" s="102">
        <f>SUM(E44:E51)</f>
        <v>-711.99999999999989</v>
      </c>
      <c r="F52" s="125">
        <f>SUM(F44:F51)</f>
        <v>-797.93785344212665</v>
      </c>
    </row>
    <row r="54" spans="2:12" x14ac:dyDescent="0.3">
      <c r="B54" s="32" t="s">
        <v>377</v>
      </c>
      <c r="C54" s="123">
        <f>'Guidance &amp; Assumptions'!C27</f>
        <v>0.7</v>
      </c>
    </row>
    <row r="55" spans="2:12" x14ac:dyDescent="0.3">
      <c r="B55" s="29" t="s">
        <v>378</v>
      </c>
      <c r="D55" s="111">
        <f>D52*(1-C54)</f>
        <v>-1254.6329489496002</v>
      </c>
    </row>
    <row r="56" spans="2:12" x14ac:dyDescent="0.3">
      <c r="B56" s="29" t="s">
        <v>379</v>
      </c>
      <c r="F56" s="126">
        <f>F52*(1-C54)</f>
        <v>-239.38135603263802</v>
      </c>
    </row>
    <row r="57" spans="2:12" ht="12.75" customHeight="1" x14ac:dyDescent="0.3">
      <c r="B57" s="74"/>
    </row>
    <row r="59" spans="2:12" ht="16.5" customHeight="1" x14ac:dyDescent="0.3">
      <c r="B59" s="10" t="s">
        <v>380</v>
      </c>
      <c r="C59" s="10"/>
      <c r="D59" s="10"/>
      <c r="E59" s="10"/>
      <c r="F59" s="10"/>
      <c r="G59" s="10"/>
      <c r="H59" s="10"/>
      <c r="I59" s="10"/>
      <c r="J59" s="10"/>
      <c r="K59" s="10"/>
      <c r="L59" s="10"/>
    </row>
    <row r="60" spans="2:12" x14ac:dyDescent="0.3">
      <c r="B60" s="13" t="s">
        <v>381</v>
      </c>
      <c r="C60" s="110">
        <f t="shared" ref="C60:L60" si="17">C8</f>
        <v>0.74498581116829399</v>
      </c>
      <c r="D60" s="110">
        <f t="shared" si="17"/>
        <v>0.74001061490636133</v>
      </c>
      <c r="E60" s="110">
        <f t="shared" si="17"/>
        <v>0.72900931520644507</v>
      </c>
      <c r="F60" s="110">
        <f t="shared" si="17"/>
        <v>0.71898706242586408</v>
      </c>
      <c r="G60" s="110">
        <f t="shared" si="17"/>
        <v>0.71599323037867568</v>
      </c>
      <c r="H60" s="110">
        <f t="shared" si="17"/>
        <v>0.71199999999999997</v>
      </c>
      <c r="I60" s="110">
        <f t="shared" si="17"/>
        <v>0.70799999999999996</v>
      </c>
      <c r="J60" s="110">
        <f t="shared" si="17"/>
        <v>0.70499999999999996</v>
      </c>
      <c r="K60" s="110">
        <f t="shared" si="17"/>
        <v>0.70299999999999996</v>
      </c>
      <c r="L60" s="110">
        <f t="shared" si="17"/>
        <v>0.70100000000000007</v>
      </c>
    </row>
    <row r="61" spans="2:12" x14ac:dyDescent="0.3">
      <c r="B61" s="13" t="s">
        <v>382</v>
      </c>
      <c r="D61" s="127">
        <f t="shared" ref="D61:L61" si="18">(D60-C60)*10000</f>
        <v>-49.751962619326576</v>
      </c>
      <c r="E61" s="127">
        <f t="shared" si="18"/>
        <v>-110.01299699916257</v>
      </c>
      <c r="F61" s="127">
        <f t="shared" si="18"/>
        <v>-100.22252780580997</v>
      </c>
      <c r="G61" s="127">
        <f t="shared" si="18"/>
        <v>-29.938320471883941</v>
      </c>
      <c r="H61" s="127">
        <f t="shared" si="18"/>
        <v>-39.93230378675716</v>
      </c>
      <c r="I61" s="127">
        <f t="shared" si="18"/>
        <v>-40.000000000000036</v>
      </c>
      <c r="J61" s="127">
        <f t="shared" si="18"/>
        <v>-30.000000000000028</v>
      </c>
      <c r="K61" s="127">
        <f t="shared" si="18"/>
        <v>-20.000000000000018</v>
      </c>
      <c r="L61" s="127">
        <f t="shared" si="18"/>
        <v>-19.999999999998906</v>
      </c>
    </row>
    <row r="62" spans="2:12" x14ac:dyDescent="0.3">
      <c r="B62" s="13" t="s">
        <v>383</v>
      </c>
      <c r="C62" s="110">
        <f t="shared" ref="C62:L62" si="19">1-C8</f>
        <v>0.25501418883170601</v>
      </c>
      <c r="D62" s="110">
        <f t="shared" si="19"/>
        <v>0.25998938509363867</v>
      </c>
      <c r="E62" s="110">
        <f t="shared" si="19"/>
        <v>0.27099068479355493</v>
      </c>
      <c r="F62" s="110">
        <f t="shared" si="19"/>
        <v>0.28101293757413592</v>
      </c>
      <c r="G62" s="110">
        <f t="shared" si="19"/>
        <v>0.28400676962132432</v>
      </c>
      <c r="H62" s="110">
        <f t="shared" si="19"/>
        <v>0.28800000000000003</v>
      </c>
      <c r="I62" s="110">
        <f t="shared" si="19"/>
        <v>0.29200000000000004</v>
      </c>
      <c r="J62" s="110">
        <f t="shared" si="19"/>
        <v>0.29500000000000004</v>
      </c>
      <c r="K62" s="110">
        <f t="shared" si="19"/>
        <v>0.29700000000000004</v>
      </c>
      <c r="L62" s="110">
        <f t="shared" si="19"/>
        <v>0.29899999999999993</v>
      </c>
    </row>
    <row r="63" spans="2:12" x14ac:dyDescent="0.3">
      <c r="B63" s="13" t="s">
        <v>384</v>
      </c>
      <c r="C63" s="95">
        <f t="shared" ref="C63:L63" si="20">C20</f>
        <v>64568.322981366458</v>
      </c>
      <c r="D63" s="95">
        <f t="shared" si="20"/>
        <v>68656.949505465906</v>
      </c>
      <c r="E63" s="95">
        <f t="shared" si="20"/>
        <v>75783.448604817546</v>
      </c>
      <c r="F63" s="95">
        <f t="shared" si="20"/>
        <v>76414.418212478922</v>
      </c>
      <c r="G63" s="95">
        <f t="shared" si="20"/>
        <v>80268.296824588222</v>
      </c>
      <c r="H63" s="95">
        <f t="shared" si="20"/>
        <v>84457.270061972478</v>
      </c>
      <c r="I63" s="95">
        <f t="shared" si="20"/>
        <v>87985.760374647856</v>
      </c>
      <c r="J63" s="95">
        <f t="shared" si="20"/>
        <v>91096.672063364647</v>
      </c>
      <c r="K63" s="95">
        <f t="shared" si="20"/>
        <v>94201.166826980028</v>
      </c>
      <c r="L63" s="95">
        <f t="shared" si="20"/>
        <v>97353.548151991345</v>
      </c>
    </row>
    <row r="64" spans="2:12" x14ac:dyDescent="0.3">
      <c r="B64" s="13" t="s">
        <v>385</v>
      </c>
      <c r="C64" s="95">
        <f t="shared" ref="C64:L64" si="21">C21</f>
        <v>48102.484472049691</v>
      </c>
      <c r="D64" s="95">
        <f t="shared" si="21"/>
        <v>50806.871421134827</v>
      </c>
      <c r="E64" s="95">
        <f t="shared" si="21"/>
        <v>55246.839971380876</v>
      </c>
      <c r="F64" s="95">
        <f t="shared" si="21"/>
        <v>54940.978077571672</v>
      </c>
      <c r="G64" s="95">
        <f t="shared" si="21"/>
        <v>57471.557140431316</v>
      </c>
      <c r="H64" s="95">
        <f t="shared" si="21"/>
        <v>60133.5762841244</v>
      </c>
      <c r="I64" s="95">
        <f t="shared" si="21"/>
        <v>62293.918345250677</v>
      </c>
      <c r="J64" s="95">
        <f t="shared" si="21"/>
        <v>64223.153804672074</v>
      </c>
      <c r="K64" s="95">
        <f t="shared" si="21"/>
        <v>66223.420279366954</v>
      </c>
      <c r="L64" s="95">
        <f t="shared" si="21"/>
        <v>68244.837254545942</v>
      </c>
    </row>
    <row r="65" spans="2:12" x14ac:dyDescent="0.3">
      <c r="B65" s="13" t="s">
        <v>386</v>
      </c>
      <c r="C65" s="95">
        <f t="shared" ref="C65:L65" si="22">C22</f>
        <v>16465.838509316767</v>
      </c>
      <c r="D65" s="95">
        <f t="shared" si="22"/>
        <v>17850.078084331079</v>
      </c>
      <c r="E65" s="95">
        <f t="shared" si="22"/>
        <v>20536.60863343667</v>
      </c>
      <c r="F65" s="95">
        <f t="shared" si="22"/>
        <v>21473.44013490725</v>
      </c>
      <c r="G65" s="95">
        <f t="shared" si="22"/>
        <v>22796.739684156906</v>
      </c>
      <c r="H65" s="95">
        <f t="shared" si="22"/>
        <v>24323.693777848079</v>
      </c>
      <c r="I65" s="95">
        <f t="shared" si="22"/>
        <v>25691.842029397179</v>
      </c>
      <c r="J65" s="95">
        <f t="shared" si="22"/>
        <v>26873.518258692573</v>
      </c>
      <c r="K65" s="95">
        <f t="shared" si="22"/>
        <v>27977.746547613075</v>
      </c>
      <c r="L65" s="95">
        <f t="shared" si="22"/>
        <v>29108.710897445402</v>
      </c>
    </row>
    <row r="66" spans="2:12" ht="12.75" customHeight="1" x14ac:dyDescent="0.3">
      <c r="B66" s="74"/>
    </row>
    <row r="68" spans="2:12" ht="16.5" customHeight="1" x14ac:dyDescent="0.3">
      <c r="B68" s="10" t="s">
        <v>387</v>
      </c>
      <c r="C68" s="10"/>
      <c r="D68" s="10"/>
      <c r="E68" s="10"/>
      <c r="F68" s="10"/>
      <c r="G68" s="10"/>
      <c r="H68" s="10"/>
      <c r="I68" s="10"/>
      <c r="J68" s="10"/>
      <c r="K68" s="10"/>
      <c r="L68" s="10"/>
    </row>
    <row r="69" spans="2:12" x14ac:dyDescent="0.3">
      <c r="B69" s="32" t="s">
        <v>388</v>
      </c>
      <c r="C69" s="104">
        <f>'Revenue Segments'!E63</f>
        <v>6092.266304347826</v>
      </c>
      <c r="D69" s="104">
        <f>'Revenue Segments'!H63</f>
        <v>6077.2948984903696</v>
      </c>
      <c r="E69" s="104">
        <f>'Revenue Segments'!K63</f>
        <v>6164.7531600286193</v>
      </c>
      <c r="F69" s="104">
        <f>'Revenue Segments'!N63</f>
        <v>8281.1812289207428</v>
      </c>
      <c r="G69" s="104">
        <f>'Revenue Segments'!Q63</f>
        <v>11570.98446255731</v>
      </c>
      <c r="H69" s="104">
        <f>'Revenue Segments'!T63</f>
        <v>15218.351653499996</v>
      </c>
      <c r="I69" s="104">
        <f>'Revenue Segments'!W63</f>
        <v>19078.510731678001</v>
      </c>
      <c r="J69" s="104">
        <f>'Revenue Segments'!Z63</f>
        <v>22776.225164202307</v>
      </c>
      <c r="K69" s="104">
        <f>'Revenue Segments'!AC63</f>
        <v>26203.804706554678</v>
      </c>
      <c r="L69" s="104">
        <f>'Revenue Segments'!AF63</f>
        <v>29792.609206242683</v>
      </c>
    </row>
    <row r="70" spans="2:12" x14ac:dyDescent="0.3">
      <c r="B70" s="32" t="s">
        <v>389</v>
      </c>
      <c r="C70" s="110">
        <f t="shared" ref="C70:L70" si="23">C69/C6</f>
        <v>0.29302420779894311</v>
      </c>
      <c r="D70" s="110">
        <f t="shared" si="23"/>
        <v>0.23039255813520243</v>
      </c>
      <c r="E70" s="110">
        <f t="shared" si="23"/>
        <v>0.19400658232718465</v>
      </c>
      <c r="F70" s="110">
        <f t="shared" si="23"/>
        <v>0.22844007693362231</v>
      </c>
      <c r="G70" s="110">
        <f t="shared" si="23"/>
        <v>0.24478494737798412</v>
      </c>
      <c r="H70" s="110">
        <f t="shared" si="23"/>
        <v>0.25909090909090904</v>
      </c>
      <c r="I70" s="110">
        <f t="shared" si="23"/>
        <v>0.27272727272727271</v>
      </c>
      <c r="J70" s="110">
        <f t="shared" si="23"/>
        <v>0.28181818181818186</v>
      </c>
      <c r="K70" s="110">
        <f t="shared" si="23"/>
        <v>0.28636363636363638</v>
      </c>
      <c r="L70" s="110">
        <f t="shared" si="23"/>
        <v>0.29090909090909095</v>
      </c>
    </row>
    <row r="71" spans="2:12" x14ac:dyDescent="0.3">
      <c r="B71" s="32" t="s">
        <v>390</v>
      </c>
      <c r="C71" s="70">
        <v>0.22</v>
      </c>
      <c r="D71" s="70">
        <v>0.22</v>
      </c>
      <c r="E71" s="70">
        <v>0.22</v>
      </c>
      <c r="F71" s="70">
        <v>0.22</v>
      </c>
      <c r="G71" s="70">
        <v>0.22</v>
      </c>
      <c r="H71" s="70">
        <v>0.22</v>
      </c>
      <c r="I71" s="70">
        <v>0.22</v>
      </c>
      <c r="J71" s="70">
        <v>0.22</v>
      </c>
      <c r="K71" s="70">
        <v>0.22</v>
      </c>
      <c r="L71" s="70">
        <v>0.22</v>
      </c>
    </row>
    <row r="72" spans="2:12" x14ac:dyDescent="0.3">
      <c r="B72" s="32" t="s">
        <v>391</v>
      </c>
      <c r="C72" s="104">
        <f t="shared" ref="C72:L72" si="24">C71*C7</f>
        <v>3407.58</v>
      </c>
      <c r="D72" s="104">
        <f t="shared" si="24"/>
        <v>4294.3999999999996</v>
      </c>
      <c r="E72" s="104">
        <f t="shared" si="24"/>
        <v>5096.3</v>
      </c>
      <c r="F72" s="104">
        <f t="shared" si="24"/>
        <v>5734.08</v>
      </c>
      <c r="G72" s="104">
        <f t="shared" si="24"/>
        <v>7445.9</v>
      </c>
      <c r="H72" s="104">
        <f t="shared" si="24"/>
        <v>9200.6416256303983</v>
      </c>
      <c r="I72" s="104">
        <f t="shared" si="24"/>
        <v>10896.119049075938</v>
      </c>
      <c r="J72" s="104">
        <f t="shared" si="24"/>
        <v>12535.005726659856</v>
      </c>
      <c r="K72" s="104">
        <f t="shared" si="24"/>
        <v>14152.217395261336</v>
      </c>
      <c r="L72" s="104">
        <f t="shared" si="24"/>
        <v>15793.993159266942</v>
      </c>
    </row>
    <row r="73" spans="2:12" x14ac:dyDescent="0.3">
      <c r="B73" s="29" t="s">
        <v>392</v>
      </c>
      <c r="C73" s="103">
        <f t="shared" ref="C73:L73" si="25">C69-C72</f>
        <v>2684.6863043478261</v>
      </c>
      <c r="D73" s="103">
        <f t="shared" si="25"/>
        <v>1782.89489849037</v>
      </c>
      <c r="E73" s="103">
        <f t="shared" si="25"/>
        <v>1068.4531600286191</v>
      </c>
      <c r="F73" s="103">
        <f t="shared" si="25"/>
        <v>2547.1012289207429</v>
      </c>
      <c r="G73" s="103">
        <f t="shared" si="25"/>
        <v>4125.08446255731</v>
      </c>
      <c r="H73" s="103">
        <f t="shared" si="25"/>
        <v>6017.710027869598</v>
      </c>
      <c r="I73" s="103">
        <f t="shared" si="25"/>
        <v>8182.3916826020632</v>
      </c>
      <c r="J73" s="103">
        <f t="shared" si="25"/>
        <v>10241.219437542451</v>
      </c>
      <c r="K73" s="103">
        <f t="shared" si="25"/>
        <v>12051.587311293342</v>
      </c>
      <c r="L73" s="103">
        <f t="shared" si="25"/>
        <v>13998.616046975741</v>
      </c>
    </row>
    <row r="74" spans="2:12" x14ac:dyDescent="0.3">
      <c r="B74" s="32" t="s">
        <v>393</v>
      </c>
      <c r="C74" s="110">
        <f t="shared" ref="C74:L74" si="26">C73/C6</f>
        <v>0.12912732934191842</v>
      </c>
      <c r="D74" s="110">
        <f t="shared" si="26"/>
        <v>6.7590222855802948E-2</v>
      </c>
      <c r="E74" s="110">
        <f t="shared" si="26"/>
        <v>3.3624532981766715E-2</v>
      </c>
      <c r="F74" s="110">
        <f t="shared" si="26"/>
        <v>7.0262923199932215E-2</v>
      </c>
      <c r="G74" s="110">
        <f t="shared" si="26"/>
        <v>8.7266436694675487E-2</v>
      </c>
      <c r="H74" s="110">
        <f t="shared" si="26"/>
        <v>0.10245090909090906</v>
      </c>
      <c r="I74" s="110">
        <f t="shared" si="26"/>
        <v>0.11696727272727275</v>
      </c>
      <c r="J74" s="110">
        <f t="shared" si="26"/>
        <v>0.12671818181818184</v>
      </c>
      <c r="K74" s="110">
        <f t="shared" si="26"/>
        <v>0.13170363636363638</v>
      </c>
      <c r="L74" s="110">
        <f t="shared" si="26"/>
        <v>0.13668909090909093</v>
      </c>
    </row>
    <row r="76" spans="2:12" x14ac:dyDescent="0.3">
      <c r="B76" s="32" t="s">
        <v>394</v>
      </c>
      <c r="C76" s="128">
        <f>'Guidance &amp; Assumptions'!C25</f>
        <v>88.5</v>
      </c>
    </row>
    <row r="77" spans="2:12" x14ac:dyDescent="0.3">
      <c r="B77" s="32" t="s">
        <v>395</v>
      </c>
      <c r="C77" s="62">
        <f>H73/$C$76</f>
        <v>67.996723478752514</v>
      </c>
    </row>
    <row r="78" spans="2:12" x14ac:dyDescent="0.3">
      <c r="B78" s="32" t="s">
        <v>396</v>
      </c>
      <c r="C78" s="129">
        <f>C77/H6*10000</f>
        <v>11.576373908577294</v>
      </c>
    </row>
    <row r="79" spans="2:12" ht="12.75" customHeight="1" x14ac:dyDescent="0.3">
      <c r="B79" s="74"/>
    </row>
    <row r="81" spans="2:12" ht="16.5" customHeight="1" x14ac:dyDescent="0.3">
      <c r="B81" s="10" t="s">
        <v>397</v>
      </c>
      <c r="C81" s="10"/>
      <c r="D81" s="10"/>
      <c r="E81" s="10"/>
      <c r="F81" s="10"/>
      <c r="G81" s="10"/>
      <c r="H81" s="10"/>
      <c r="I81" s="10"/>
      <c r="J81" s="10"/>
      <c r="K81" s="10"/>
      <c r="L81" s="10"/>
    </row>
    <row r="82" spans="2:12" ht="25.5" customHeight="1" x14ac:dyDescent="0.3">
      <c r="B82" s="28" t="s">
        <v>398</v>
      </c>
      <c r="C82" s="28" t="s">
        <v>399</v>
      </c>
      <c r="D82" s="4" t="s">
        <v>400</v>
      </c>
      <c r="E82" s="4"/>
      <c r="F82" s="4"/>
      <c r="G82" s="4"/>
      <c r="H82" s="117"/>
    </row>
    <row r="83" spans="2:12" ht="25.5" customHeight="1" x14ac:dyDescent="0.3">
      <c r="B83" s="118" t="s">
        <v>401</v>
      </c>
      <c r="C83" s="119">
        <v>0.6</v>
      </c>
      <c r="D83" s="3" t="s">
        <v>402</v>
      </c>
      <c r="E83" s="3"/>
      <c r="F83" s="3"/>
      <c r="G83" s="3"/>
      <c r="H83" s="31"/>
    </row>
    <row r="84" spans="2:12" ht="25.5" customHeight="1" x14ac:dyDescent="0.3">
      <c r="B84" s="13" t="s">
        <v>403</v>
      </c>
      <c r="C84" s="70">
        <v>0.55000000000000004</v>
      </c>
      <c r="D84" s="2" t="s">
        <v>404</v>
      </c>
      <c r="E84" s="2"/>
      <c r="F84" s="2"/>
      <c r="G84" s="2"/>
      <c r="H84" s="31"/>
    </row>
    <row r="85" spans="2:12" ht="25.5" customHeight="1" x14ac:dyDescent="0.3">
      <c r="B85" s="118" t="s">
        <v>405</v>
      </c>
      <c r="C85" s="59" t="s">
        <v>406</v>
      </c>
      <c r="D85" s="3" t="s">
        <v>407</v>
      </c>
      <c r="E85" s="3"/>
      <c r="F85" s="3"/>
      <c r="G85" s="3"/>
      <c r="H85" s="31"/>
    </row>
    <row r="86" spans="2:12" ht="25.5" customHeight="1" x14ac:dyDescent="0.3">
      <c r="B86" s="13" t="s">
        <v>408</v>
      </c>
      <c r="C86" s="70">
        <v>0.5</v>
      </c>
      <c r="D86" s="2" t="s">
        <v>409</v>
      </c>
      <c r="E86" s="2"/>
      <c r="F86" s="2"/>
      <c r="G86" s="2"/>
      <c r="H86" s="31"/>
    </row>
    <row r="87" spans="2:12" ht="25.5" customHeight="1" x14ac:dyDescent="0.3">
      <c r="B87" s="118" t="s">
        <v>410</v>
      </c>
      <c r="C87" s="119">
        <v>0.35</v>
      </c>
      <c r="D87" s="3" t="s">
        <v>411</v>
      </c>
      <c r="E87" s="3"/>
      <c r="F87" s="3"/>
      <c r="G87" s="3"/>
      <c r="H87" s="31"/>
    </row>
    <row r="88" spans="2:12" ht="25.5" customHeight="1" x14ac:dyDescent="0.3">
      <c r="B88" s="13" t="s">
        <v>412</v>
      </c>
      <c r="C88" s="63" t="s">
        <v>406</v>
      </c>
      <c r="D88" s="2" t="s">
        <v>413</v>
      </c>
      <c r="E88" s="2"/>
      <c r="F88" s="2"/>
      <c r="G88" s="2"/>
      <c r="H88" s="31"/>
    </row>
    <row r="89" spans="2:12" ht="25.5" customHeight="1" x14ac:dyDescent="0.3">
      <c r="B89" s="118" t="s">
        <v>414</v>
      </c>
      <c r="C89" s="119">
        <v>0.85</v>
      </c>
      <c r="D89" s="3" t="s">
        <v>415</v>
      </c>
      <c r="E89" s="3"/>
      <c r="F89" s="3"/>
      <c r="G89" s="3"/>
      <c r="H89" s="31"/>
    </row>
    <row r="91" spans="2:12" ht="12.75" customHeight="1" x14ac:dyDescent="0.3">
      <c r="B91" s="74"/>
    </row>
    <row r="92" spans="2:12" ht="12.75" customHeight="1" x14ac:dyDescent="0.3">
      <c r="B92" s="74"/>
    </row>
    <row r="94" spans="2:12" ht="16.5" customHeight="1" x14ac:dyDescent="0.3">
      <c r="B94" s="10" t="s">
        <v>416</v>
      </c>
      <c r="C94" s="10"/>
      <c r="D94" s="10"/>
      <c r="E94" s="10"/>
      <c r="F94" s="10"/>
      <c r="G94" s="10"/>
      <c r="H94" s="10"/>
      <c r="I94" s="10"/>
      <c r="J94" s="10"/>
      <c r="K94" s="10"/>
      <c r="L94" s="10"/>
    </row>
    <row r="95" spans="2:12" x14ac:dyDescent="0.3">
      <c r="B95" s="32" t="s">
        <v>417</v>
      </c>
      <c r="C95" s="130">
        <v>430</v>
      </c>
      <c r="D95" s="130">
        <v>520</v>
      </c>
      <c r="E95" s="130">
        <v>640</v>
      </c>
      <c r="F95" s="130">
        <v>760</v>
      </c>
      <c r="G95" s="130">
        <v>985</v>
      </c>
      <c r="H95" s="104">
        <f>H6*0.021</f>
        <v>1233.48744981</v>
      </c>
      <c r="I95" s="104">
        <f>I6*0.021</f>
        <v>1469.0453263392062</v>
      </c>
      <c r="J95" s="104">
        <f>J6*0.021</f>
        <v>1697.1961332034623</v>
      </c>
      <c r="K95" s="104">
        <f>K6*0.021</f>
        <v>1921.6123451473431</v>
      </c>
      <c r="L95" s="104">
        <f>L6*0.021</f>
        <v>2150.6539770756435</v>
      </c>
    </row>
    <row r="96" spans="2:12" x14ac:dyDescent="0.3">
      <c r="B96" s="32" t="s">
        <v>418</v>
      </c>
      <c r="C96" s="130">
        <v>180</v>
      </c>
      <c r="D96" s="130">
        <v>230</v>
      </c>
      <c r="E96" s="130">
        <v>300</v>
      </c>
      <c r="F96" s="130">
        <v>380</v>
      </c>
      <c r="G96" s="130">
        <v>470</v>
      </c>
      <c r="H96" s="104">
        <f>H6*0.01</f>
        <v>587.37497610000003</v>
      </c>
      <c r="I96" s="104">
        <f>I6*0.01</f>
        <v>699.54539349486004</v>
      </c>
      <c r="J96" s="104">
        <f>J6*0.01</f>
        <v>808.18863485879149</v>
      </c>
      <c r="K96" s="104">
        <f>K6*0.01</f>
        <v>915.05349768921099</v>
      </c>
      <c r="L96" s="104">
        <f>L6*0.01</f>
        <v>1024.1209414645923</v>
      </c>
    </row>
    <row r="97" spans="2:12" x14ac:dyDescent="0.3">
      <c r="B97" s="29" t="s">
        <v>419</v>
      </c>
      <c r="C97" s="103">
        <f t="shared" ref="C97:L97" si="27">C95+C96</f>
        <v>610</v>
      </c>
      <c r="D97" s="103">
        <f t="shared" si="27"/>
        <v>750</v>
      </c>
      <c r="E97" s="103">
        <f t="shared" si="27"/>
        <v>940</v>
      </c>
      <c r="F97" s="103">
        <f t="shared" si="27"/>
        <v>1140</v>
      </c>
      <c r="G97" s="103">
        <f t="shared" si="27"/>
        <v>1455</v>
      </c>
      <c r="H97" s="103">
        <f t="shared" si="27"/>
        <v>1820.8624259100002</v>
      </c>
      <c r="I97" s="103">
        <f t="shared" si="27"/>
        <v>2168.5907198340665</v>
      </c>
      <c r="J97" s="103">
        <f t="shared" si="27"/>
        <v>2505.3847680622539</v>
      </c>
      <c r="K97" s="103">
        <f t="shared" si="27"/>
        <v>2836.665842836554</v>
      </c>
      <c r="L97" s="103">
        <f t="shared" si="27"/>
        <v>3174.7749185402358</v>
      </c>
    </row>
    <row r="98" spans="2:12" x14ac:dyDescent="0.3">
      <c r="B98" s="29" t="s">
        <v>420</v>
      </c>
      <c r="C98" s="113">
        <f t="shared" ref="C98:L98" si="28">C97/C6</f>
        <v>2.9339618103987303E-2</v>
      </c>
      <c r="D98" s="113">
        <f t="shared" si="28"/>
        <v>2.8432784896504661E-2</v>
      </c>
      <c r="E98" s="113">
        <f t="shared" si="28"/>
        <v>2.9582074521651562E-2</v>
      </c>
      <c r="F98" s="113">
        <f t="shared" si="28"/>
        <v>3.1447408347355932E-2</v>
      </c>
      <c r="G98" s="113">
        <f t="shared" si="28"/>
        <v>3.078062195895917E-2</v>
      </c>
      <c r="H98" s="113">
        <f t="shared" si="28"/>
        <v>3.1000000000000003E-2</v>
      </c>
      <c r="I98" s="113">
        <f t="shared" si="28"/>
        <v>3.1000000000000007E-2</v>
      </c>
      <c r="J98" s="113">
        <f t="shared" si="28"/>
        <v>3.1000000000000003E-2</v>
      </c>
      <c r="K98" s="113">
        <f t="shared" si="28"/>
        <v>3.1000000000000003E-2</v>
      </c>
      <c r="L98" s="113">
        <f t="shared" si="28"/>
        <v>3.1E-2</v>
      </c>
    </row>
    <row r="99" spans="2:12" x14ac:dyDescent="0.3">
      <c r="B99" s="32" t="s">
        <v>421</v>
      </c>
      <c r="C99" s="95">
        <f t="shared" ref="C99:L99" si="29">C97*10000000/C19</f>
        <v>1894.4099378881988</v>
      </c>
      <c r="D99" s="95">
        <f t="shared" si="29"/>
        <v>1952.1082769390941</v>
      </c>
      <c r="E99" s="95">
        <f t="shared" si="29"/>
        <v>2241.8316241354637</v>
      </c>
      <c r="F99" s="95">
        <f t="shared" si="29"/>
        <v>2403.0354131534568</v>
      </c>
      <c r="G99" s="95">
        <f t="shared" si="29"/>
        <v>2470.7080998471729</v>
      </c>
      <c r="H99" s="95">
        <f t="shared" si="29"/>
        <v>2618.175371921147</v>
      </c>
      <c r="I99" s="95">
        <f t="shared" si="29"/>
        <v>2727.558571614084</v>
      </c>
      <c r="J99" s="95">
        <f t="shared" si="29"/>
        <v>2823.9968339643046</v>
      </c>
      <c r="K99" s="95">
        <f t="shared" si="29"/>
        <v>2920.2361716363812</v>
      </c>
      <c r="L99" s="95">
        <f t="shared" si="29"/>
        <v>3017.959992711732</v>
      </c>
    </row>
    <row r="100" spans="2:12" x14ac:dyDescent="0.3">
      <c r="B100" s="32" t="s">
        <v>422</v>
      </c>
      <c r="C100" s="131">
        <f>'Balance Sheet'!C21</f>
        <v>424</v>
      </c>
      <c r="D100" s="131">
        <f>'Balance Sheet'!D21</f>
        <v>628</v>
      </c>
      <c r="E100" s="131">
        <f>'Balance Sheet'!E21</f>
        <v>930</v>
      </c>
      <c r="F100" s="131">
        <f>'Balance Sheet'!F21</f>
        <v>1239</v>
      </c>
      <c r="G100" s="131">
        <f>'Balance Sheet'!G21</f>
        <v>1360</v>
      </c>
      <c r="H100" s="131">
        <f>'Balance Sheet'!H21</f>
        <v>1360</v>
      </c>
      <c r="I100" s="131">
        <f>'Balance Sheet'!I21</f>
        <v>1360</v>
      </c>
      <c r="J100" s="131">
        <f>'Balance Sheet'!J21</f>
        <v>1360</v>
      </c>
      <c r="K100" s="131">
        <f>'Balance Sheet'!K21</f>
        <v>1360</v>
      </c>
      <c r="L100" s="131">
        <f>'Balance Sheet'!L21</f>
        <v>1360</v>
      </c>
    </row>
  </sheetData>
  <mergeCells count="26">
    <mergeCell ref="B94:L94"/>
    <mergeCell ref="D85:G85"/>
    <mergeCell ref="D86:G86"/>
    <mergeCell ref="D87:G87"/>
    <mergeCell ref="D88:G88"/>
    <mergeCell ref="D89:G89"/>
    <mergeCell ref="B68:L68"/>
    <mergeCell ref="B81:L81"/>
    <mergeCell ref="D82:G82"/>
    <mergeCell ref="D83:G83"/>
    <mergeCell ref="D84:G84"/>
    <mergeCell ref="E35:G35"/>
    <mergeCell ref="E36:G36"/>
    <mergeCell ref="E37:G37"/>
    <mergeCell ref="B42:L42"/>
    <mergeCell ref="B59:L59"/>
    <mergeCell ref="E30:G30"/>
    <mergeCell ref="E31:G31"/>
    <mergeCell ref="E32:G32"/>
    <mergeCell ref="E33:G33"/>
    <mergeCell ref="E34:G34"/>
    <mergeCell ref="B1:L1"/>
    <mergeCell ref="B5:L5"/>
    <mergeCell ref="B18:L18"/>
    <mergeCell ref="B28:L28"/>
    <mergeCell ref="E29:G29"/>
  </mergeCells>
  <printOptions horizontalCentered="1"/>
  <pageMargins left="0.75" right="0.75" top="1" bottom="1" header="0.511811023622047" footer="0.511811023622047"/>
  <pageSetup orientation="landscape" horizontalDpi="300" verticalDpi="300"/>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13A44"/>
  </sheetPr>
  <dimension ref="B1:H77"/>
  <sheetViews>
    <sheetView showGridLines="0" zoomScale="90" zoomScaleNormal="90" workbookViewId="0">
      <pane xSplit="2" ySplit="5" topLeftCell="C6" activePane="bottomRight" state="frozen"/>
      <selection pane="topRight" activeCell="C1" sqref="C1"/>
      <selection pane="bottomLeft" activeCell="A6" sqref="A6"/>
      <selection pane="bottomRight"/>
    </sheetView>
  </sheetViews>
  <sheetFormatPr defaultColWidth="8.6640625" defaultRowHeight="14.4" x14ac:dyDescent="0.3"/>
  <cols>
    <col min="1" max="1" width="2" customWidth="1"/>
    <col min="2" max="2" width="58" customWidth="1"/>
    <col min="3" max="4" width="14" customWidth="1"/>
    <col min="5" max="5" width="15" customWidth="1"/>
    <col min="6" max="6" width="20" customWidth="1"/>
    <col min="7" max="9" width="2" customWidth="1"/>
  </cols>
  <sheetData>
    <row r="1" spans="2:8" ht="24" customHeight="1" x14ac:dyDescent="0.3">
      <c r="B1" s="5" t="s">
        <v>0</v>
      </c>
      <c r="C1" s="5"/>
      <c r="D1" s="5"/>
      <c r="E1" s="5"/>
      <c r="F1" s="5"/>
      <c r="G1" s="5"/>
      <c r="H1" s="5"/>
    </row>
    <row r="2" spans="2:8" ht="15" customHeight="1" x14ac:dyDescent="0.3">
      <c r="B2" s="26" t="s">
        <v>72</v>
      </c>
    </row>
    <row r="3" spans="2:8" ht="13.5" customHeight="1" x14ac:dyDescent="0.3">
      <c r="B3" s="27" t="s">
        <v>533</v>
      </c>
    </row>
    <row r="5" spans="2:8" ht="16.5" customHeight="1" x14ac:dyDescent="0.3">
      <c r="B5" s="10" t="s">
        <v>534</v>
      </c>
      <c r="C5" s="10"/>
      <c r="D5" s="10"/>
      <c r="E5" s="10"/>
      <c r="F5" s="10"/>
      <c r="G5" s="10"/>
      <c r="H5" s="10"/>
    </row>
    <row r="6" spans="2:8" ht="25.5" customHeight="1" x14ac:dyDescent="0.3">
      <c r="B6" s="28" t="s">
        <v>535</v>
      </c>
      <c r="C6" s="28" t="s">
        <v>536</v>
      </c>
      <c r="D6" s="28" t="s">
        <v>537</v>
      </c>
      <c r="E6" s="28" t="s">
        <v>538</v>
      </c>
      <c r="F6" s="28" t="s">
        <v>539</v>
      </c>
      <c r="H6" s="56"/>
    </row>
    <row r="7" spans="2:8" x14ac:dyDescent="0.3">
      <c r="B7" s="118" t="s">
        <v>540</v>
      </c>
      <c r="C7" s="68">
        <v>1000</v>
      </c>
      <c r="D7" s="146">
        <v>7.2800000000000004E-2</v>
      </c>
      <c r="E7" s="147" t="s">
        <v>541</v>
      </c>
      <c r="F7" s="147" t="s">
        <v>542</v>
      </c>
      <c r="G7" s="60"/>
      <c r="H7" s="61"/>
    </row>
    <row r="8" spans="2:8" x14ac:dyDescent="0.3">
      <c r="B8" s="13" t="s">
        <v>543</v>
      </c>
      <c r="C8" s="148">
        <v>900</v>
      </c>
      <c r="D8" s="149">
        <v>7.6499999999999999E-2</v>
      </c>
      <c r="E8" s="150" t="s">
        <v>544</v>
      </c>
      <c r="F8" s="150" t="s">
        <v>545</v>
      </c>
      <c r="H8" s="52"/>
    </row>
    <row r="9" spans="2:8" x14ac:dyDescent="0.3">
      <c r="B9" s="118" t="s">
        <v>546</v>
      </c>
      <c r="C9" s="68">
        <v>850</v>
      </c>
      <c r="D9" s="146">
        <v>7.9000000000000001E-2</v>
      </c>
      <c r="E9" s="147" t="s">
        <v>547</v>
      </c>
      <c r="F9" s="147" t="s">
        <v>548</v>
      </c>
      <c r="G9" s="60"/>
      <c r="H9" s="61"/>
    </row>
    <row r="10" spans="2:8" x14ac:dyDescent="0.3">
      <c r="B10" s="13" t="s">
        <v>549</v>
      </c>
      <c r="C10" s="148">
        <v>600</v>
      </c>
      <c r="D10" s="149">
        <v>6.2E-2</v>
      </c>
      <c r="E10" s="150" t="s">
        <v>550</v>
      </c>
      <c r="F10" s="150" t="s">
        <v>166</v>
      </c>
      <c r="H10" s="52"/>
    </row>
    <row r="11" spans="2:8" x14ac:dyDescent="0.3">
      <c r="B11" s="118" t="s">
        <v>551</v>
      </c>
      <c r="C11" s="68">
        <v>383</v>
      </c>
      <c r="D11" s="146">
        <v>7.4999999999999997E-2</v>
      </c>
      <c r="E11" s="147" t="s">
        <v>552</v>
      </c>
      <c r="F11" s="147" t="s">
        <v>553</v>
      </c>
      <c r="G11" s="60"/>
      <c r="H11" s="61"/>
    </row>
    <row r="12" spans="2:8" x14ac:dyDescent="0.3">
      <c r="B12" s="13" t="s">
        <v>554</v>
      </c>
      <c r="C12" s="148">
        <v>0</v>
      </c>
      <c r="D12" s="149">
        <v>0.06</v>
      </c>
      <c r="E12" s="150" t="s">
        <v>555</v>
      </c>
      <c r="F12" s="150" t="s">
        <v>166</v>
      </c>
      <c r="H12" s="52"/>
    </row>
    <row r="13" spans="2:8" x14ac:dyDescent="0.3">
      <c r="B13" s="36" t="s">
        <v>556</v>
      </c>
      <c r="C13" s="151">
        <f>SUM(C7:C12)</f>
        <v>3733</v>
      </c>
      <c r="D13" s="152">
        <f>SUMPRODUCT(C7:C12,D7:D12)/C13</f>
        <v>7.3593624430752749E-2</v>
      </c>
      <c r="E13" s="153" t="s">
        <v>557</v>
      </c>
    </row>
    <row r="14" spans="2:8" x14ac:dyDescent="0.3">
      <c r="B14" s="52" t="s">
        <v>558</v>
      </c>
      <c r="C14" s="154">
        <f>'Balance Sheet'!G13</f>
        <v>3733</v>
      </c>
    </row>
    <row r="15" spans="2:8" x14ac:dyDescent="0.3">
      <c r="B15" s="108" t="s">
        <v>559</v>
      </c>
      <c r="C15" s="155">
        <f>C13-C14</f>
        <v>0</v>
      </c>
    </row>
    <row r="16" spans="2:8" ht="12.75" customHeight="1" x14ac:dyDescent="0.3">
      <c r="B16" s="74"/>
    </row>
    <row r="18" spans="2:8" ht="16.5" customHeight="1" x14ac:dyDescent="0.3">
      <c r="B18" s="10" t="s">
        <v>560</v>
      </c>
      <c r="C18" s="10"/>
      <c r="D18" s="10"/>
      <c r="E18" s="10"/>
      <c r="F18" s="10"/>
      <c r="G18" s="10"/>
      <c r="H18" s="10"/>
    </row>
    <row r="19" spans="2:8" x14ac:dyDescent="0.3">
      <c r="B19" s="13" t="s">
        <v>561</v>
      </c>
      <c r="C19" s="1" t="s">
        <v>562</v>
      </c>
      <c r="D19" s="1"/>
      <c r="E19" s="1"/>
      <c r="H19" s="52"/>
    </row>
    <row r="20" spans="2:8" x14ac:dyDescent="0.3">
      <c r="B20" s="13" t="s">
        <v>563</v>
      </c>
      <c r="C20" s="1" t="s">
        <v>564</v>
      </c>
      <c r="D20" s="1"/>
      <c r="E20" s="1"/>
      <c r="H20" s="52"/>
    </row>
    <row r="21" spans="2:8" x14ac:dyDescent="0.3">
      <c r="B21" s="13" t="s">
        <v>565</v>
      </c>
      <c r="C21" s="1" t="s">
        <v>542</v>
      </c>
      <c r="D21" s="1"/>
      <c r="E21" s="1"/>
      <c r="H21" s="52"/>
    </row>
    <row r="22" spans="2:8" x14ac:dyDescent="0.3">
      <c r="B22" s="13" t="s">
        <v>566</v>
      </c>
      <c r="C22" s="1" t="s">
        <v>567</v>
      </c>
      <c r="D22" s="1"/>
      <c r="E22" s="1"/>
      <c r="H22" s="52"/>
    </row>
    <row r="23" spans="2:8" ht="12.75" customHeight="1" x14ac:dyDescent="0.3">
      <c r="B23" s="74"/>
    </row>
    <row r="25" spans="2:8" ht="16.5" customHeight="1" x14ac:dyDescent="0.3">
      <c r="B25" s="10" t="s">
        <v>568</v>
      </c>
      <c r="C25" s="10"/>
      <c r="D25" s="10"/>
      <c r="E25" s="10"/>
      <c r="F25" s="10"/>
      <c r="G25" s="10"/>
      <c r="H25" s="10"/>
    </row>
    <row r="26" spans="2:8" x14ac:dyDescent="0.3">
      <c r="B26" s="32" t="s">
        <v>569</v>
      </c>
      <c r="C26" s="69">
        <v>7.2800000000000004E-2</v>
      </c>
    </row>
    <row r="27" spans="2:8" x14ac:dyDescent="0.3">
      <c r="B27" s="32" t="s">
        <v>570</v>
      </c>
      <c r="C27" s="149">
        <f>D13</f>
        <v>7.3593624430752749E-2</v>
      </c>
    </row>
    <row r="28" spans="2:8" x14ac:dyDescent="0.3">
      <c r="B28" s="32" t="s">
        <v>571</v>
      </c>
      <c r="C28" s="149">
        <f>'Balance Sheet'!G55</f>
        <v>7.0710571923743498E-2</v>
      </c>
    </row>
    <row r="29" spans="2:8" x14ac:dyDescent="0.3">
      <c r="B29" s="32" t="s">
        <v>572</v>
      </c>
      <c r="C29" s="129">
        <f>(C26-C38)*10000</f>
        <v>50.000000000000043</v>
      </c>
    </row>
    <row r="30" spans="2:8" x14ac:dyDescent="0.3">
      <c r="B30" s="32" t="s">
        <v>573</v>
      </c>
      <c r="C30" s="69">
        <v>0.25169999999999998</v>
      </c>
    </row>
    <row r="31" spans="2:8" x14ac:dyDescent="0.3">
      <c r="B31" s="36" t="s">
        <v>574</v>
      </c>
      <c r="C31" s="152">
        <f>C26*(1-C30)</f>
        <v>5.4476240000000002E-2</v>
      </c>
    </row>
    <row r="33" spans="2:8" ht="16.5" customHeight="1" x14ac:dyDescent="0.3">
      <c r="B33" s="10" t="s">
        <v>575</v>
      </c>
      <c r="C33" s="10"/>
      <c r="D33" s="10"/>
      <c r="E33" s="10"/>
      <c r="F33" s="10"/>
      <c r="G33" s="10"/>
      <c r="H33" s="10"/>
    </row>
    <row r="34" spans="2:8" x14ac:dyDescent="0.3">
      <c r="B34" s="32" t="s">
        <v>576</v>
      </c>
      <c r="C34" s="47">
        <f>'Balance Sheet'!H56</f>
        <v>271.76240000000001</v>
      </c>
    </row>
    <row r="36" spans="2:8" ht="16.5" customHeight="1" x14ac:dyDescent="0.3">
      <c r="B36" s="10" t="s">
        <v>577</v>
      </c>
      <c r="C36" s="10"/>
      <c r="D36" s="10"/>
      <c r="E36" s="10"/>
      <c r="F36" s="10"/>
      <c r="G36" s="10"/>
      <c r="H36" s="10"/>
    </row>
    <row r="37" spans="2:8" ht="25.5" customHeight="1" x14ac:dyDescent="0.3">
      <c r="B37" s="28"/>
      <c r="C37" s="28" t="s">
        <v>179</v>
      </c>
      <c r="H37" s="56"/>
    </row>
    <row r="38" spans="2:8" x14ac:dyDescent="0.3">
      <c r="B38" s="32" t="s">
        <v>578</v>
      </c>
      <c r="C38" s="157">
        <f>'Guidance &amp; Assumptions'!C20</f>
        <v>6.7799999999999999E-2</v>
      </c>
      <c r="H38" s="31"/>
    </row>
    <row r="39" spans="2:8" ht="24" customHeight="1" x14ac:dyDescent="0.3">
      <c r="B39" s="32" t="s">
        <v>579</v>
      </c>
      <c r="C39" s="157">
        <f>'Guidance &amp; Assumptions'!C21</f>
        <v>7.0800000000000002E-2</v>
      </c>
      <c r="H39" s="31"/>
    </row>
    <row r="40" spans="2:8" x14ac:dyDescent="0.3">
      <c r="B40" s="32" t="s">
        <v>580</v>
      </c>
      <c r="C40" s="158">
        <v>1.05</v>
      </c>
      <c r="H40" s="31"/>
    </row>
    <row r="41" spans="2:8" x14ac:dyDescent="0.3">
      <c r="B41" s="32" t="s">
        <v>581</v>
      </c>
      <c r="C41" s="158">
        <v>0.95</v>
      </c>
      <c r="H41" s="31"/>
    </row>
    <row r="42" spans="2:8" x14ac:dyDescent="0.3">
      <c r="B42" s="32" t="s">
        <v>582</v>
      </c>
      <c r="C42" s="123">
        <f>'Balance Sheet'!G13/C50</f>
        <v>1.8092351378679657E-2</v>
      </c>
      <c r="H42" s="31"/>
    </row>
    <row r="43" spans="2:8" x14ac:dyDescent="0.3">
      <c r="B43" s="32" t="s">
        <v>583</v>
      </c>
      <c r="C43" s="159">
        <f>C41*(1+(1-C30)*C42)</f>
        <v>0.96286158120983267</v>
      </c>
      <c r="H43" s="31"/>
    </row>
    <row r="44" spans="2:8" x14ac:dyDescent="0.3">
      <c r="B44" s="32" t="s">
        <v>584</v>
      </c>
      <c r="C44" s="159">
        <f>IF('Control Panel'!$C$9="Regression beta",C40,IF('Control Panel'!$C$9="Bottom-up relevered",C43,AVERAGE(C40,C43)))</f>
        <v>1.0064307906049164</v>
      </c>
      <c r="H44" s="31"/>
    </row>
    <row r="45" spans="2:8" x14ac:dyDescent="0.3">
      <c r="B45" s="36" t="s">
        <v>585</v>
      </c>
      <c r="C45" s="152">
        <f>C38+C44*C39</f>
        <v>0.13905529997482807</v>
      </c>
      <c r="H45" s="31"/>
    </row>
    <row r="47" spans="2:8" ht="16.5" customHeight="1" x14ac:dyDescent="0.3">
      <c r="B47" s="10" t="s">
        <v>586</v>
      </c>
      <c r="C47" s="10"/>
      <c r="D47" s="10"/>
      <c r="E47" s="10"/>
      <c r="F47" s="10"/>
      <c r="G47" s="10"/>
      <c r="H47" s="10"/>
    </row>
    <row r="48" spans="2:8" x14ac:dyDescent="0.3">
      <c r="B48" s="32" t="s">
        <v>587</v>
      </c>
      <c r="C48" s="71">
        <v>4343</v>
      </c>
    </row>
    <row r="49" spans="2:8" x14ac:dyDescent="0.3">
      <c r="B49" s="32" t="s">
        <v>588</v>
      </c>
      <c r="C49" s="159">
        <v>47.508699999999997</v>
      </c>
    </row>
    <row r="50" spans="2:8" x14ac:dyDescent="0.3">
      <c r="B50" s="32" t="s">
        <v>589</v>
      </c>
      <c r="C50" s="148">
        <f>C48*C49</f>
        <v>206330.28409999999</v>
      </c>
    </row>
    <row r="51" spans="2:8" x14ac:dyDescent="0.3">
      <c r="B51" s="32" t="s">
        <v>590</v>
      </c>
      <c r="C51" s="148">
        <f>'Balance Sheet'!G13</f>
        <v>3733</v>
      </c>
    </row>
    <row r="52" spans="2:8" x14ac:dyDescent="0.3">
      <c r="B52" s="32" t="s">
        <v>591</v>
      </c>
      <c r="C52" s="148">
        <f>C50+C51</f>
        <v>210063.28409999999</v>
      </c>
    </row>
    <row r="53" spans="2:8" x14ac:dyDescent="0.3">
      <c r="B53" s="32" t="s">
        <v>592</v>
      </c>
      <c r="C53" s="66">
        <f>C50/C52</f>
        <v>0.98222916481576605</v>
      </c>
    </row>
    <row r="54" spans="2:8" x14ac:dyDescent="0.3">
      <c r="B54" s="32" t="s">
        <v>593</v>
      </c>
      <c r="C54" s="66">
        <f>C51/C52</f>
        <v>1.7770835184233894E-2</v>
      </c>
    </row>
    <row r="55" spans="2:8" x14ac:dyDescent="0.3">
      <c r="B55" s="32" t="s">
        <v>104</v>
      </c>
      <c r="C55" s="149">
        <f>C45</f>
        <v>0.13905529997482807</v>
      </c>
    </row>
    <row r="56" spans="2:8" x14ac:dyDescent="0.3">
      <c r="B56" s="32" t="s">
        <v>594</v>
      </c>
      <c r="C56" s="149">
        <f>C31</f>
        <v>5.4476240000000002E-2</v>
      </c>
    </row>
    <row r="57" spans="2:8" x14ac:dyDescent="0.3">
      <c r="B57" s="36" t="s">
        <v>595</v>
      </c>
      <c r="C57" s="160">
        <f>C55*C53+C56*C54+'Control Panel'!$C$77</f>
        <v>0.13755225943997798</v>
      </c>
    </row>
    <row r="58" spans="2:8" ht="12.75" customHeight="1" x14ac:dyDescent="0.3">
      <c r="B58" s="74"/>
    </row>
    <row r="60" spans="2:8" ht="16.5" customHeight="1" x14ac:dyDescent="0.3">
      <c r="B60" s="10" t="s">
        <v>596</v>
      </c>
      <c r="C60" s="10"/>
      <c r="D60" s="10"/>
      <c r="E60" s="10"/>
      <c r="F60" s="10"/>
      <c r="G60" s="10"/>
      <c r="H60" s="10"/>
    </row>
    <row r="61" spans="2:8" x14ac:dyDescent="0.3">
      <c r="B61" s="13" t="s">
        <v>597</v>
      </c>
      <c r="C61" s="42">
        <f>'Control Panel'!$C$36</f>
        <v>4.4999999999999998E-2</v>
      </c>
    </row>
    <row r="62" spans="2:8" x14ac:dyDescent="0.3">
      <c r="B62" s="13" t="s">
        <v>598</v>
      </c>
      <c r="C62" s="42">
        <f>'Control Panel'!$C$37</f>
        <v>5.5E-2</v>
      </c>
    </row>
    <row r="63" spans="2:8" x14ac:dyDescent="0.3">
      <c r="B63" s="13" t="s">
        <v>599</v>
      </c>
      <c r="C63" s="42">
        <f>'Control Panel'!$C$38</f>
        <v>0.06</v>
      </c>
    </row>
    <row r="64" spans="2:8" x14ac:dyDescent="0.3">
      <c r="B64" s="29" t="s">
        <v>600</v>
      </c>
      <c r="C64" s="161">
        <f>INDEX(C61:C63,MATCH('Control Panel'!$C$8,'Control Panel'!$B$36:$B$38,0))</f>
        <v>5.5E-2</v>
      </c>
    </row>
    <row r="65" spans="2:8" x14ac:dyDescent="0.3">
      <c r="B65" s="52" t="s">
        <v>601</v>
      </c>
      <c r="C65" s="162" t="str">
        <f>IF(C64&lt;C57,"PASS","FAIL")</f>
        <v>PASS</v>
      </c>
    </row>
    <row r="66" spans="2:8" x14ac:dyDescent="0.3">
      <c r="B66" s="52" t="s">
        <v>602</v>
      </c>
      <c r="C66" s="162" t="str">
        <f>IF(C64&lt;=C38,"PASS","REVIEW")</f>
        <v>PASS</v>
      </c>
    </row>
    <row r="67" spans="2:8" ht="12.75" customHeight="1" x14ac:dyDescent="0.3">
      <c r="B67" s="74"/>
    </row>
    <row r="69" spans="2:8" ht="16.5" customHeight="1" x14ac:dyDescent="0.3">
      <c r="B69" s="10" t="s">
        <v>603</v>
      </c>
      <c r="C69" s="10"/>
      <c r="D69" s="10"/>
      <c r="E69" s="10"/>
      <c r="F69" s="10"/>
      <c r="G69" s="10"/>
      <c r="H69" s="10"/>
    </row>
    <row r="70" spans="2:8" ht="25.5" customHeight="1" x14ac:dyDescent="0.3">
      <c r="B70" s="28" t="s">
        <v>604</v>
      </c>
      <c r="C70" s="28" t="s">
        <v>605</v>
      </c>
      <c r="D70" s="28" t="s">
        <v>606</v>
      </c>
      <c r="E70" s="28" t="s">
        <v>607</v>
      </c>
      <c r="F70" s="28" t="s">
        <v>608</v>
      </c>
    </row>
    <row r="71" spans="2:8" x14ac:dyDescent="0.3">
      <c r="B71" s="13" t="s">
        <v>609</v>
      </c>
      <c r="C71" s="148">
        <v>0</v>
      </c>
      <c r="D71" s="148">
        <v>0</v>
      </c>
      <c r="E71" s="148">
        <v>0</v>
      </c>
      <c r="F71" s="148">
        <v>1900</v>
      </c>
    </row>
    <row r="72" spans="2:8" x14ac:dyDescent="0.3">
      <c r="B72" s="13" t="s">
        <v>610</v>
      </c>
      <c r="C72" s="148">
        <v>0</v>
      </c>
      <c r="D72" s="148">
        <v>250</v>
      </c>
      <c r="E72" s="148">
        <v>300</v>
      </c>
      <c r="F72" s="148">
        <v>300</v>
      </c>
    </row>
    <row r="73" spans="2:8" x14ac:dyDescent="0.3">
      <c r="B73" s="13" t="s">
        <v>611</v>
      </c>
      <c r="C73" s="148">
        <v>0</v>
      </c>
      <c r="D73" s="148">
        <v>200</v>
      </c>
      <c r="E73" s="148">
        <v>200</v>
      </c>
      <c r="F73" s="148">
        <v>200</v>
      </c>
    </row>
    <row r="74" spans="2:8" x14ac:dyDescent="0.3">
      <c r="B74" s="13" t="s">
        <v>612</v>
      </c>
      <c r="C74" s="148">
        <v>383</v>
      </c>
      <c r="D74" s="148">
        <v>0</v>
      </c>
      <c r="E74" s="148">
        <v>0</v>
      </c>
      <c r="F74" s="148">
        <v>0</v>
      </c>
    </row>
    <row r="75" spans="2:8" x14ac:dyDescent="0.3">
      <c r="B75" s="36" t="s">
        <v>148</v>
      </c>
      <c r="C75" s="151">
        <f>SUM(C71:C74)</f>
        <v>383</v>
      </c>
      <c r="D75" s="151">
        <f>SUM(D71:D74)</f>
        <v>450</v>
      </c>
      <c r="E75" s="151">
        <f>SUM(E71:E74)</f>
        <v>500</v>
      </c>
      <c r="F75" s="151">
        <f>SUM(F71:F74)</f>
        <v>2400</v>
      </c>
    </row>
    <row r="76" spans="2:8" x14ac:dyDescent="0.3">
      <c r="B76" s="52" t="s">
        <v>613</v>
      </c>
      <c r="C76" s="55">
        <f>C75/'Income Statement'!$T$18</f>
        <v>4.8660720519650993E-2</v>
      </c>
      <c r="D76" s="55">
        <f>D75/'Income Statement'!$T$18</f>
        <v>5.7173170323349738E-2</v>
      </c>
      <c r="E76" s="55">
        <f>E75/'Income Statement'!$T$18</f>
        <v>6.3525744803721931E-2</v>
      </c>
      <c r="F76" s="55">
        <f>F75/'Income Statement'!$T$18</f>
        <v>0.30492357505786527</v>
      </c>
    </row>
    <row r="77" spans="2:8" ht="12.75" customHeight="1" x14ac:dyDescent="0.3">
      <c r="B77" s="74"/>
    </row>
  </sheetData>
  <mergeCells count="13">
    <mergeCell ref="B47:H47"/>
    <mergeCell ref="B60:H60"/>
    <mergeCell ref="B69:H69"/>
    <mergeCell ref="C21:E21"/>
    <mergeCell ref="C22:E22"/>
    <mergeCell ref="B25:H25"/>
    <mergeCell ref="B33:H33"/>
    <mergeCell ref="B36:H36"/>
    <mergeCell ref="B1:H1"/>
    <mergeCell ref="B5:H5"/>
    <mergeCell ref="B18:H18"/>
    <mergeCell ref="C19:E19"/>
    <mergeCell ref="C20:E20"/>
  </mergeCells>
  <printOptions horizontalCentered="1"/>
  <pageMargins left="0.75" right="0.75" top="1" bottom="1" header="0.511811023622047" footer="0.511811023622047"/>
  <pageSetup orientation="landscape"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13A44"/>
  </sheetPr>
  <dimension ref="B1:J105"/>
  <sheetViews>
    <sheetView showGridLines="0" zoomScale="90" zoomScaleNormal="90" workbookViewId="0">
      <pane xSplit="2" ySplit="5" topLeftCell="C6" activePane="bottomRight" state="frozen"/>
      <selection pane="topRight" activeCell="C1" sqref="C1"/>
      <selection pane="bottomLeft" activeCell="A6" sqref="A6"/>
      <selection pane="bottomRight" activeCell="E8" sqref="E8"/>
    </sheetView>
  </sheetViews>
  <sheetFormatPr defaultColWidth="8.6640625" defaultRowHeight="14.4" x14ac:dyDescent="0.3"/>
  <cols>
    <col min="1" max="1" width="2" customWidth="1"/>
    <col min="2" max="2" width="62" customWidth="1"/>
    <col min="3" max="8" width="14" customWidth="1"/>
    <col min="9" max="10" width="2" customWidth="1"/>
  </cols>
  <sheetData>
    <row r="1" spans="2:10" ht="24" customHeight="1" x14ac:dyDescent="0.3">
      <c r="B1" s="5" t="s">
        <v>0</v>
      </c>
      <c r="C1" s="5"/>
      <c r="D1" s="5"/>
      <c r="E1" s="5"/>
      <c r="F1" s="5"/>
      <c r="G1" s="5"/>
      <c r="H1" s="5"/>
    </row>
    <row r="2" spans="2:10" ht="15" customHeight="1" x14ac:dyDescent="0.3">
      <c r="B2" s="26" t="s">
        <v>72</v>
      </c>
    </row>
    <row r="3" spans="2:10" ht="13.5" customHeight="1" x14ac:dyDescent="0.3">
      <c r="B3" s="27" t="s">
        <v>614</v>
      </c>
    </row>
    <row r="5" spans="2:10" ht="16.5" customHeight="1" x14ac:dyDescent="0.3">
      <c r="B5" s="10" t="s">
        <v>615</v>
      </c>
      <c r="C5" s="10"/>
      <c r="D5" s="10"/>
      <c r="E5" s="10"/>
      <c r="F5" s="10"/>
      <c r="G5" s="10"/>
      <c r="H5" s="10"/>
      <c r="J5" s="163"/>
    </row>
    <row r="6" spans="2:10" x14ac:dyDescent="0.3">
      <c r="B6" s="32" t="s">
        <v>616</v>
      </c>
      <c r="C6" s="157">
        <f>'Debt &amp; Cost of Capital'!C38</f>
        <v>6.7799999999999999E-2</v>
      </c>
    </row>
    <row r="7" spans="2:10" x14ac:dyDescent="0.3">
      <c r="B7" s="32" t="s">
        <v>617</v>
      </c>
      <c r="C7" s="157">
        <f>'Debt &amp; Cost of Capital'!C39</f>
        <v>7.0800000000000002E-2</v>
      </c>
    </row>
    <row r="8" spans="2:10" x14ac:dyDescent="0.3">
      <c r="B8" s="32" t="s">
        <v>618</v>
      </c>
      <c r="C8" s="164">
        <f>'Debt &amp; Cost of Capital'!C44</f>
        <v>1.0064307906049164</v>
      </c>
    </row>
    <row r="9" spans="2:10" x14ac:dyDescent="0.3">
      <c r="B9" s="32" t="s">
        <v>104</v>
      </c>
      <c r="C9" s="157">
        <f>'Debt &amp; Cost of Capital'!C45</f>
        <v>0.13905529997482807</v>
      </c>
    </row>
    <row r="10" spans="2:10" x14ac:dyDescent="0.3">
      <c r="B10" s="32" t="s">
        <v>594</v>
      </c>
      <c r="C10" s="157">
        <f>'Debt &amp; Cost of Capital'!C31</f>
        <v>5.4476240000000002E-2</v>
      </c>
    </row>
    <row r="11" spans="2:10" x14ac:dyDescent="0.3">
      <c r="B11" s="32" t="s">
        <v>619</v>
      </c>
      <c r="C11" s="123">
        <f>'Debt &amp; Cost of Capital'!C53</f>
        <v>0.98222916481576605</v>
      </c>
    </row>
    <row r="12" spans="2:10" x14ac:dyDescent="0.3">
      <c r="B12" s="32" t="s">
        <v>620</v>
      </c>
      <c r="C12" s="123">
        <f>'Debt &amp; Cost of Capital'!C54</f>
        <v>1.7770835184233894E-2</v>
      </c>
    </row>
    <row r="13" spans="2:10" x14ac:dyDescent="0.3">
      <c r="B13" s="29" t="s">
        <v>105</v>
      </c>
      <c r="C13" s="165">
        <f>'Debt &amp; Cost of Capital'!C57</f>
        <v>0.13755225943997798</v>
      </c>
    </row>
    <row r="14" spans="2:10" x14ac:dyDescent="0.3">
      <c r="B14" s="29" t="s">
        <v>621</v>
      </c>
      <c r="C14" s="166">
        <f>'Debt &amp; Cost of Capital'!C64</f>
        <v>5.5E-2</v>
      </c>
    </row>
    <row r="15" spans="2:10" x14ac:dyDescent="0.3">
      <c r="B15" s="29" t="s">
        <v>37</v>
      </c>
      <c r="C15" s="167">
        <v>46246</v>
      </c>
    </row>
    <row r="16" spans="2:10" x14ac:dyDescent="0.3">
      <c r="B16" s="32" t="s">
        <v>622</v>
      </c>
      <c r="C16" s="129">
        <f>DATE(2027,3,31)-C15</f>
        <v>231</v>
      </c>
    </row>
    <row r="17" spans="2:8" x14ac:dyDescent="0.3">
      <c r="B17" s="29" t="s">
        <v>623</v>
      </c>
      <c r="C17" s="168">
        <f>C16/365</f>
        <v>0.63287671232876708</v>
      </c>
    </row>
    <row r="19" spans="2:8" ht="16.5" customHeight="1" x14ac:dyDescent="0.3">
      <c r="B19" s="10" t="s">
        <v>624</v>
      </c>
      <c r="C19" s="10"/>
      <c r="D19" s="10"/>
      <c r="E19" s="10"/>
      <c r="F19" s="10"/>
      <c r="G19" s="10"/>
      <c r="H19" s="10"/>
    </row>
    <row r="20" spans="2:8" x14ac:dyDescent="0.3">
      <c r="C20" s="45" t="s">
        <v>161</v>
      </c>
      <c r="D20" s="92" t="s">
        <v>189</v>
      </c>
      <c r="E20" s="92" t="s">
        <v>190</v>
      </c>
      <c r="F20" s="92" t="s">
        <v>191</v>
      </c>
      <c r="G20" s="92" t="s">
        <v>192</v>
      </c>
      <c r="H20" s="92" t="s">
        <v>193</v>
      </c>
    </row>
    <row r="21" spans="2:8" x14ac:dyDescent="0.3">
      <c r="B21" s="32" t="s">
        <v>338</v>
      </c>
      <c r="C21" s="104">
        <f>'Income Statement'!Q7</f>
        <v>47270</v>
      </c>
      <c r="D21" s="104">
        <f>'Income Statement'!T7</f>
        <v>58737.497609999999</v>
      </c>
      <c r="E21" s="104">
        <f>'Income Statement'!W7</f>
        <v>69954.539349486004</v>
      </c>
      <c r="F21" s="104">
        <f>'Income Statement'!Z7</f>
        <v>80818.863485879148</v>
      </c>
      <c r="G21" s="104">
        <f>'Income Statement'!AC7</f>
        <v>91505.349768921093</v>
      </c>
      <c r="H21" s="104">
        <f>'Income Statement'!AF7</f>
        <v>102412.09414645922</v>
      </c>
    </row>
    <row r="22" spans="2:8" x14ac:dyDescent="0.3">
      <c r="B22" s="32" t="s">
        <v>625</v>
      </c>
      <c r="C22" s="105">
        <f>'Income Statement'!Q8</f>
        <v>0.30396402857852195</v>
      </c>
      <c r="D22" s="105">
        <f>(D21-C21)/C21</f>
        <v>0.24259567611592972</v>
      </c>
      <c r="E22" s="105">
        <f>(E21-D21)/D21</f>
        <v>0.19096900950673654</v>
      </c>
      <c r="F22" s="105">
        <f>(F21-E21)/E21</f>
        <v>0.15530549178683101</v>
      </c>
      <c r="G22" s="105">
        <f>(G21-F21)/F21</f>
        <v>0.1322276238753235</v>
      </c>
      <c r="H22" s="105">
        <f>(H21-G21)/G21</f>
        <v>0.11919242323078355</v>
      </c>
    </row>
    <row r="23" spans="2:8" x14ac:dyDescent="0.3">
      <c r="B23" s="32" t="s">
        <v>223</v>
      </c>
      <c r="C23" s="104">
        <f>'Income Statement'!Q18</f>
        <v>6079</v>
      </c>
      <c r="D23" s="104">
        <f>'Income Statement'!T18</f>
        <v>7870.8246797400061</v>
      </c>
      <c r="E23" s="104">
        <f>'Income Statement'!W18</f>
        <v>9653.7264302290714</v>
      </c>
      <c r="F23" s="104">
        <f>'Income Statement'!Z18</f>
        <v>11395.459751508955</v>
      </c>
      <c r="G23" s="104">
        <f>'Income Statement'!AC18</f>
        <v>13085.265016955716</v>
      </c>
      <c r="H23" s="104">
        <f>'Income Statement'!AF18</f>
        <v>14849.753651236577</v>
      </c>
    </row>
    <row r="24" spans="2:8" x14ac:dyDescent="0.3">
      <c r="B24" s="32" t="s">
        <v>224</v>
      </c>
      <c r="C24" s="110">
        <f t="shared" ref="C24:H24" si="0">C23/C21</f>
        <v>0.12860165009519781</v>
      </c>
      <c r="D24" s="110">
        <f t="shared" si="0"/>
        <v>0.13400000000000012</v>
      </c>
      <c r="E24" s="110">
        <f t="shared" si="0"/>
        <v>0.13800000000000004</v>
      </c>
      <c r="F24" s="110">
        <f t="shared" si="0"/>
        <v>0.14099999999999993</v>
      </c>
      <c r="G24" s="110">
        <f t="shared" si="0"/>
        <v>0.14299999999999999</v>
      </c>
      <c r="H24" s="110">
        <f t="shared" si="0"/>
        <v>0.14499999999999991</v>
      </c>
    </row>
    <row r="25" spans="2:8" x14ac:dyDescent="0.3">
      <c r="B25" s="32" t="s">
        <v>495</v>
      </c>
      <c r="C25" s="104">
        <f>'Income Statement'!Q21</f>
        <v>901</v>
      </c>
      <c r="D25" s="104">
        <f>'Income Statement'!T21</f>
        <v>842.27</v>
      </c>
      <c r="E25" s="104">
        <f>'Income Statement'!W21</f>
        <v>1042.9210551030699</v>
      </c>
      <c r="F25" s="104">
        <f>'Income Statement'!Z21</f>
        <v>1259.6957291843016</v>
      </c>
      <c r="G25" s="104">
        <f>'Income Statement'!AC21</f>
        <v>1483.4062329692713</v>
      </c>
      <c r="H25" s="104">
        <f>'Income Statement'!AF21</f>
        <v>1707.0383482701895</v>
      </c>
    </row>
    <row r="26" spans="2:8" x14ac:dyDescent="0.3">
      <c r="B26" s="29" t="s">
        <v>626</v>
      </c>
      <c r="C26" s="103">
        <f t="shared" ref="C26:H26" si="1">C23-C25</f>
        <v>5178</v>
      </c>
      <c r="D26" s="103">
        <f t="shared" si="1"/>
        <v>7028.5546797400057</v>
      </c>
      <c r="E26" s="103">
        <f t="shared" si="1"/>
        <v>8610.8053751260013</v>
      </c>
      <c r="F26" s="103">
        <f t="shared" si="1"/>
        <v>10135.764022324654</v>
      </c>
      <c r="G26" s="103">
        <f t="shared" si="1"/>
        <v>11601.858783986445</v>
      </c>
      <c r="H26" s="103">
        <f t="shared" si="1"/>
        <v>13142.715302966388</v>
      </c>
    </row>
    <row r="27" spans="2:8" x14ac:dyDescent="0.3">
      <c r="B27" s="32" t="s">
        <v>627</v>
      </c>
      <c r="C27" s="104">
        <f>-C26*'Debt &amp; Cost of Capital'!$C$30</f>
        <v>-1303.3026</v>
      </c>
      <c r="D27" s="104">
        <f>-D26*'Debt &amp; Cost of Capital'!$C$30</f>
        <v>-1769.0872128905594</v>
      </c>
      <c r="E27" s="104">
        <f>-E26*'Debt &amp; Cost of Capital'!$C$30</f>
        <v>-2167.3397129192144</v>
      </c>
      <c r="F27" s="104">
        <f>-F26*'Debt &amp; Cost of Capital'!$C$30</f>
        <v>-2551.1718044191152</v>
      </c>
      <c r="G27" s="104">
        <f>-G26*'Debt &amp; Cost of Capital'!$C$30</f>
        <v>-2920.1878559293878</v>
      </c>
      <c r="H27" s="104">
        <f>-H26*'Debt &amp; Cost of Capital'!$C$30</f>
        <v>-3308.0214417566394</v>
      </c>
    </row>
    <row r="28" spans="2:8" x14ac:dyDescent="0.3">
      <c r="B28" s="29" t="s">
        <v>628</v>
      </c>
      <c r="C28" s="103">
        <f t="shared" ref="C28:H28" si="2">C26+C27</f>
        <v>3874.6974</v>
      </c>
      <c r="D28" s="103">
        <f t="shared" si="2"/>
        <v>5259.4674668494463</v>
      </c>
      <c r="E28" s="103">
        <f t="shared" si="2"/>
        <v>6443.4656622067869</v>
      </c>
      <c r="F28" s="103">
        <f t="shared" si="2"/>
        <v>7584.5922179055397</v>
      </c>
      <c r="G28" s="103">
        <f t="shared" si="2"/>
        <v>8681.6709280570576</v>
      </c>
      <c r="H28" s="103">
        <f t="shared" si="2"/>
        <v>9834.6938612097474</v>
      </c>
    </row>
    <row r="29" spans="2:8" x14ac:dyDescent="0.3">
      <c r="B29" s="32" t="s">
        <v>629</v>
      </c>
      <c r="C29" s="104">
        <f t="shared" ref="C29:H29" si="3">C25</f>
        <v>901</v>
      </c>
      <c r="D29" s="104">
        <f t="shared" si="3"/>
        <v>842.27</v>
      </c>
      <c r="E29" s="104">
        <f t="shared" si="3"/>
        <v>1042.9210551030699</v>
      </c>
      <c r="F29" s="104">
        <f t="shared" si="3"/>
        <v>1259.6957291843016</v>
      </c>
      <c r="G29" s="104">
        <f t="shared" si="3"/>
        <v>1483.4062329692713</v>
      </c>
      <c r="H29" s="104">
        <f t="shared" si="3"/>
        <v>1707.0383482701895</v>
      </c>
    </row>
    <row r="30" spans="2:8" x14ac:dyDescent="0.3">
      <c r="B30" s="32" t="s">
        <v>630</v>
      </c>
      <c r="C30" s="104">
        <f>-'Balance Sheet'!G45</f>
        <v>-1925</v>
      </c>
      <c r="D30" s="104">
        <f>-'Balance Sheet'!H45</f>
        <v>-2466.9748996200001</v>
      </c>
      <c r="E30" s="104">
        <f>-'Balance Sheet'!I45</f>
        <v>-2798.1815739794401</v>
      </c>
      <c r="F30" s="104">
        <f>-'Balance Sheet'!J45</f>
        <v>-3071.1168124634078</v>
      </c>
      <c r="G30" s="104">
        <f>-'Balance Sheet'!K45</f>
        <v>-3294.1925916811592</v>
      </c>
      <c r="H30" s="104">
        <f>-'Balance Sheet'!L45</f>
        <v>-3584.4232951260728</v>
      </c>
    </row>
    <row r="31" spans="2:8" x14ac:dyDescent="0.3">
      <c r="B31" s="32" t="s">
        <v>631</v>
      </c>
      <c r="C31" s="104">
        <f>'Balance Sheet'!G41</f>
        <v>1489.3041095890412</v>
      </c>
      <c r="D31" s="104">
        <f>'Balance Sheet'!H41</f>
        <v>1092.5348329242725</v>
      </c>
      <c r="E31" s="104">
        <f>'Balance Sheet'!I41</f>
        <v>1049.6371729580778</v>
      </c>
      <c r="F31" s="104">
        <f>'Balance Sheet'!J41</f>
        <v>1013.6526339168395</v>
      </c>
      <c r="G31" s="104">
        <f>'Balance Sheet'!K41</f>
        <v>1001.7437122241645</v>
      </c>
      <c r="H31" s="104">
        <f>'Balance Sheet'!L41</f>
        <v>1014.4195586983169</v>
      </c>
    </row>
    <row r="32" spans="2:8" x14ac:dyDescent="0.3">
      <c r="B32" s="29" t="s">
        <v>632</v>
      </c>
      <c r="C32" s="103">
        <f t="shared" ref="C32:H32" si="4">C28+C29+C30+C31</f>
        <v>4340.0015095890412</v>
      </c>
      <c r="D32" s="103">
        <f t="shared" si="4"/>
        <v>4727.2974001537186</v>
      </c>
      <c r="E32" s="103">
        <f t="shared" si="4"/>
        <v>5737.8423162884947</v>
      </c>
      <c r="F32" s="103">
        <f t="shared" si="4"/>
        <v>6786.8237685432723</v>
      </c>
      <c r="G32" s="103">
        <f t="shared" si="4"/>
        <v>7872.6282815693339</v>
      </c>
      <c r="H32" s="103">
        <f t="shared" si="4"/>
        <v>8971.7284730521806</v>
      </c>
    </row>
    <row r="33" spans="2:8" x14ac:dyDescent="0.3">
      <c r="B33" s="52" t="s">
        <v>633</v>
      </c>
      <c r="D33" s="169">
        <f>$C$17</f>
        <v>0.63287671232876708</v>
      </c>
      <c r="E33" s="170" t="s">
        <v>634</v>
      </c>
      <c r="F33" s="170" t="s">
        <v>634</v>
      </c>
      <c r="G33" s="170" t="s">
        <v>634</v>
      </c>
      <c r="H33" s="170" t="s">
        <v>634</v>
      </c>
    </row>
    <row r="34" spans="2:8" x14ac:dyDescent="0.3">
      <c r="B34" s="29" t="s">
        <v>635</v>
      </c>
      <c r="D34" s="103">
        <f>D32*D33</f>
        <v>2991.7964368096136</v>
      </c>
      <c r="E34" s="103">
        <f>E32*E33</f>
        <v>5737.8423162884947</v>
      </c>
      <c r="F34" s="103">
        <f>F32*F33</f>
        <v>6786.8237685432723</v>
      </c>
      <c r="G34" s="103">
        <f>G32*G33</f>
        <v>7872.6282815693339</v>
      </c>
      <c r="H34" s="103">
        <f>H32*H33</f>
        <v>8971.7284730521806</v>
      </c>
    </row>
    <row r="35" spans="2:8" x14ac:dyDescent="0.3">
      <c r="B35" s="52" t="s">
        <v>636</v>
      </c>
      <c r="D35" s="171">
        <f>(DATE(2027,3,31)-$C$15)/365</f>
        <v>0.63287671232876708</v>
      </c>
      <c r="E35" s="171">
        <f>(DATE(2028,3,31)-$C$15)/365</f>
        <v>1.6356164383561644</v>
      </c>
      <c r="F35" s="171">
        <f>(DATE(2029,3,31)-$C$15)/365</f>
        <v>2.6356164383561644</v>
      </c>
      <c r="G35" s="171">
        <f>(DATE(2030,3,31)-$C$15)/365</f>
        <v>3.6356164383561644</v>
      </c>
      <c r="H35" s="171">
        <f>(DATE(2031,3,31)-$C$15)/365</f>
        <v>4.6356164383561644</v>
      </c>
    </row>
    <row r="36" spans="2:8" x14ac:dyDescent="0.3">
      <c r="B36" s="52" t="s">
        <v>637</v>
      </c>
      <c r="D36" s="171">
        <f>1/(1+$C$13)^D35</f>
        <v>0.92167335258722694</v>
      </c>
      <c r="E36" s="171">
        <f>1/(1+$C$13)^E35</f>
        <v>0.80993903032853887</v>
      </c>
      <c r="F36" s="171">
        <f>1/(1+$C$13)^F35</f>
        <v>0.71200160133941914</v>
      </c>
      <c r="G36" s="171">
        <f>1/(1+$C$13)^G35</f>
        <v>0.6259067180702016</v>
      </c>
      <c r="H36" s="171">
        <f>1/(1+$C$13)^H35</f>
        <v>0.55022238571996529</v>
      </c>
    </row>
    <row r="37" spans="2:8" x14ac:dyDescent="0.3">
      <c r="B37" s="29" t="s">
        <v>638</v>
      </c>
      <c r="D37" s="103">
        <f>D34*D36</f>
        <v>2757.4590521728364</v>
      </c>
      <c r="E37" s="103">
        <f>E34*E36</f>
        <v>4647.3024418327605</v>
      </c>
      <c r="F37" s="103">
        <f>F34*F36</f>
        <v>4832.2293912112409</v>
      </c>
      <c r="G37" s="103">
        <f>G34*G36</f>
        <v>4927.5309303037129</v>
      </c>
      <c r="H37" s="103">
        <f>H34*H36</f>
        <v>4936.4458444745123</v>
      </c>
    </row>
    <row r="38" spans="2:8" ht="12.75" customHeight="1" x14ac:dyDescent="0.3">
      <c r="B38" s="74"/>
    </row>
    <row r="40" spans="2:8" ht="16.5" customHeight="1" x14ac:dyDescent="0.3">
      <c r="B40" s="10" t="s">
        <v>639</v>
      </c>
      <c r="C40" s="10"/>
      <c r="D40" s="10"/>
      <c r="E40" s="10"/>
      <c r="F40" s="10"/>
      <c r="G40" s="10"/>
      <c r="H40" s="10"/>
    </row>
    <row r="41" spans="2:8" x14ac:dyDescent="0.3">
      <c r="B41" s="32" t="s">
        <v>640</v>
      </c>
      <c r="C41" s="148">
        <f>H32</f>
        <v>8971.7284730521806</v>
      </c>
    </row>
    <row r="42" spans="2:8" x14ac:dyDescent="0.3">
      <c r="B42" s="32" t="s">
        <v>621</v>
      </c>
      <c r="C42" s="66">
        <f>$C$14</f>
        <v>5.5E-2</v>
      </c>
    </row>
    <row r="43" spans="2:8" x14ac:dyDescent="0.3">
      <c r="B43" s="32" t="s">
        <v>105</v>
      </c>
      <c r="C43" s="149">
        <f>$C$13</f>
        <v>0.13755225943997798</v>
      </c>
    </row>
    <row r="44" spans="2:8" x14ac:dyDescent="0.3">
      <c r="B44" s="32" t="s">
        <v>641</v>
      </c>
      <c r="C44" s="148">
        <f>C41*(1+C42)/(C43-C42)</f>
        <v>114656.74717179581</v>
      </c>
    </row>
    <row r="45" spans="2:8" x14ac:dyDescent="0.3">
      <c r="B45" s="32" t="s">
        <v>642</v>
      </c>
      <c r="C45" s="159">
        <f>H36</f>
        <v>0.55022238571996529</v>
      </c>
    </row>
    <row r="46" spans="2:8" x14ac:dyDescent="0.3">
      <c r="B46" s="36" t="s">
        <v>643</v>
      </c>
      <c r="C46" s="151">
        <f>C44*C45</f>
        <v>63086.708967756371</v>
      </c>
    </row>
    <row r="48" spans="2:8" x14ac:dyDescent="0.3">
      <c r="B48" s="13" t="s">
        <v>644</v>
      </c>
      <c r="C48" s="172">
        <v>18</v>
      </c>
    </row>
    <row r="49" spans="2:8" x14ac:dyDescent="0.3">
      <c r="B49" s="13" t="s">
        <v>645</v>
      </c>
      <c r="C49" s="148">
        <f>H23</f>
        <v>14849.753651236577</v>
      </c>
    </row>
    <row r="50" spans="2:8" x14ac:dyDescent="0.3">
      <c r="B50" s="13" t="s">
        <v>646</v>
      </c>
      <c r="C50" s="148">
        <f>C48*C49</f>
        <v>267295.56572225841</v>
      </c>
    </row>
    <row r="51" spans="2:8" x14ac:dyDescent="0.3">
      <c r="B51" s="13" t="s">
        <v>647</v>
      </c>
      <c r="C51" s="148">
        <f>C50*C45</f>
        <v>147072.0038640688</v>
      </c>
    </row>
    <row r="52" spans="2:8" x14ac:dyDescent="0.3">
      <c r="B52" s="13" t="s">
        <v>648</v>
      </c>
      <c r="C52" s="173">
        <f>C44/C49</f>
        <v>7.7211211623196219</v>
      </c>
    </row>
    <row r="53" spans="2:8" ht="12.75" customHeight="1" x14ac:dyDescent="0.3">
      <c r="B53" s="74"/>
    </row>
    <row r="55" spans="2:8" ht="16.5" customHeight="1" x14ac:dyDescent="0.3">
      <c r="B55" s="10" t="s">
        <v>649</v>
      </c>
      <c r="C55" s="10"/>
      <c r="D55" s="10"/>
      <c r="E55" s="10"/>
      <c r="F55" s="10"/>
      <c r="G55" s="10"/>
      <c r="H55" s="10"/>
    </row>
    <row r="56" spans="2:8" x14ac:dyDescent="0.3">
      <c r="B56" s="32" t="s">
        <v>650</v>
      </c>
      <c r="C56" s="148">
        <f>'Balance Sheet'!G13</f>
        <v>3733</v>
      </c>
    </row>
    <row r="57" spans="2:8" x14ac:dyDescent="0.3">
      <c r="B57" s="32" t="s">
        <v>651</v>
      </c>
      <c r="C57" s="148">
        <f>-'Balance Sheet'!G27</f>
        <v>-1500</v>
      </c>
    </row>
    <row r="58" spans="2:8" x14ac:dyDescent="0.3">
      <c r="B58" s="32" t="s">
        <v>652</v>
      </c>
      <c r="C58" s="148">
        <f>-'Balance Sheet'!G24</f>
        <v>-997</v>
      </c>
    </row>
    <row r="59" spans="2:8" x14ac:dyDescent="0.3">
      <c r="B59" s="36" t="s">
        <v>653</v>
      </c>
      <c r="C59" s="37">
        <f>SUM(C56:C58)</f>
        <v>1236</v>
      </c>
    </row>
    <row r="60" spans="2:8" x14ac:dyDescent="0.3">
      <c r="B60" s="32" t="s">
        <v>654</v>
      </c>
      <c r="C60" s="148">
        <f>-'Cash Flows'!H38*(1-$C$17)</f>
        <v>-1660.8428435488177</v>
      </c>
    </row>
    <row r="61" spans="2:8" x14ac:dyDescent="0.3">
      <c r="B61" s="32" t="s">
        <v>655</v>
      </c>
      <c r="C61" s="148">
        <f>'Income Statement'!Q45</f>
        <v>578.24</v>
      </c>
    </row>
    <row r="62" spans="2:8" x14ac:dyDescent="0.3">
      <c r="B62" s="32" t="s">
        <v>656</v>
      </c>
      <c r="C62" s="72">
        <v>711</v>
      </c>
    </row>
    <row r="63" spans="2:8" x14ac:dyDescent="0.3">
      <c r="B63" s="174" t="s">
        <v>657</v>
      </c>
      <c r="C63" s="175">
        <f>SUM(C59:C62)</f>
        <v>864.39715645118235</v>
      </c>
    </row>
    <row r="64" spans="2:8" ht="12.75" customHeight="1" x14ac:dyDescent="0.3">
      <c r="B64" s="74"/>
    </row>
    <row r="65" spans="2:10" ht="12.75" customHeight="1" x14ac:dyDescent="0.3">
      <c r="B65" s="74"/>
    </row>
    <row r="67" spans="2:10" ht="16.5" customHeight="1" x14ac:dyDescent="0.3">
      <c r="B67" s="10" t="s">
        <v>658</v>
      </c>
      <c r="C67" s="10"/>
      <c r="D67" s="10"/>
      <c r="E67" s="10"/>
      <c r="F67" s="10"/>
      <c r="G67" s="10"/>
      <c r="H67" s="10"/>
    </row>
    <row r="68" spans="2:10" x14ac:dyDescent="0.3">
      <c r="B68" s="32" t="s">
        <v>659</v>
      </c>
      <c r="C68" s="148">
        <f>SUM(D37:H37)</f>
        <v>22100.967659995062</v>
      </c>
    </row>
    <row r="69" spans="2:10" x14ac:dyDescent="0.3">
      <c r="B69" s="32" t="s">
        <v>660</v>
      </c>
      <c r="C69" s="148">
        <f>C46</f>
        <v>63086.708967756371</v>
      </c>
    </row>
    <row r="70" spans="2:10" x14ac:dyDescent="0.3">
      <c r="B70" s="36" t="s">
        <v>661</v>
      </c>
      <c r="C70" s="151">
        <f>C68+C69</f>
        <v>85187.67662775144</v>
      </c>
    </row>
    <row r="71" spans="2:10" x14ac:dyDescent="0.3">
      <c r="B71" s="32" t="s">
        <v>662</v>
      </c>
      <c r="C71" s="66">
        <f>C69/C70</f>
        <v>0.7405614457995997</v>
      </c>
    </row>
    <row r="72" spans="2:10" x14ac:dyDescent="0.3">
      <c r="B72" s="32" t="s">
        <v>663</v>
      </c>
      <c r="C72" s="148">
        <f>-C63</f>
        <v>-864.39715645118235</v>
      </c>
    </row>
    <row r="73" spans="2:10" x14ac:dyDescent="0.3">
      <c r="B73" s="29" t="s">
        <v>664</v>
      </c>
      <c r="C73" s="176">
        <f>C70+C72</f>
        <v>84323.279471300251</v>
      </c>
    </row>
    <row r="74" spans="2:10" x14ac:dyDescent="0.3">
      <c r="B74" s="32" t="s">
        <v>588</v>
      </c>
      <c r="C74" s="159">
        <v>47.508699999999997</v>
      </c>
    </row>
    <row r="75" spans="2:10" x14ac:dyDescent="0.3">
      <c r="B75" s="174" t="s">
        <v>665</v>
      </c>
      <c r="C75" s="175">
        <f>C73/C74</f>
        <v>1774.9018489518817</v>
      </c>
    </row>
    <row r="76" spans="2:10" ht="12.75" customHeight="1" x14ac:dyDescent="0.3">
      <c r="B76" s="74"/>
    </row>
    <row r="78" spans="2:10" ht="16.5" customHeight="1" x14ac:dyDescent="0.3">
      <c r="B78" s="10" t="s">
        <v>666</v>
      </c>
      <c r="C78" s="10"/>
      <c r="D78" s="10"/>
      <c r="E78" s="10"/>
      <c r="F78" s="10"/>
      <c r="G78" s="10"/>
      <c r="H78" s="10"/>
      <c r="J78" s="163"/>
    </row>
    <row r="79" spans="2:10" x14ac:dyDescent="0.3">
      <c r="B79" s="29" t="s">
        <v>667</v>
      </c>
      <c r="C79" s="176">
        <f>C75</f>
        <v>1774.9018489518817</v>
      </c>
    </row>
    <row r="80" spans="2:10" x14ac:dyDescent="0.3">
      <c r="B80" s="32" t="s">
        <v>668</v>
      </c>
      <c r="C80" s="148">
        <f>D32*D36</f>
        <v>4357.0240434765592</v>
      </c>
    </row>
    <row r="81" spans="2:8" x14ac:dyDescent="0.3">
      <c r="B81" s="32" t="s">
        <v>669</v>
      </c>
      <c r="C81" s="148">
        <f>C70-D37+C80</f>
        <v>86787.241619055159</v>
      </c>
    </row>
    <row r="82" spans="2:8" x14ac:dyDescent="0.3">
      <c r="B82" s="32" t="s">
        <v>670</v>
      </c>
      <c r="C82" s="148">
        <f>-C59</f>
        <v>-1236</v>
      </c>
    </row>
    <row r="83" spans="2:8" x14ac:dyDescent="0.3">
      <c r="B83" s="36" t="s">
        <v>671</v>
      </c>
      <c r="C83" s="151">
        <f>(C81+C82)/C74</f>
        <v>1800.7489495409297</v>
      </c>
    </row>
    <row r="84" spans="2:8" x14ac:dyDescent="0.3">
      <c r="B84" s="32" t="s">
        <v>672</v>
      </c>
      <c r="C84" s="177">
        <f>C83-C79</f>
        <v>25.847100589048068</v>
      </c>
    </row>
    <row r="85" spans="2:8" x14ac:dyDescent="0.3">
      <c r="B85" s="32" t="s">
        <v>673</v>
      </c>
      <c r="C85" s="178">
        <f>C83/C79-1</f>
        <v>1.4562552066927692E-2</v>
      </c>
    </row>
    <row r="90" spans="2:8" ht="16.5" customHeight="1" x14ac:dyDescent="0.3">
      <c r="B90" s="10" t="s">
        <v>674</v>
      </c>
      <c r="C90" s="10"/>
      <c r="D90" s="10"/>
      <c r="E90" s="10"/>
      <c r="F90" s="10"/>
      <c r="G90" s="10"/>
      <c r="H90" s="10"/>
    </row>
    <row r="91" spans="2:8" x14ac:dyDescent="0.3">
      <c r="B91" s="13" t="s">
        <v>675</v>
      </c>
      <c r="C91" s="173">
        <f>C70/'Income Statement'!Q18</f>
        <v>14.013435865726507</v>
      </c>
    </row>
    <row r="92" spans="2:8" x14ac:dyDescent="0.3">
      <c r="B92" s="13" t="s">
        <v>676</v>
      </c>
      <c r="C92" s="173">
        <f>C70/D23</f>
        <v>10.823221211753049</v>
      </c>
    </row>
    <row r="93" spans="2:8" x14ac:dyDescent="0.3">
      <c r="B93" s="13" t="s">
        <v>677</v>
      </c>
      <c r="C93" s="173">
        <f>C70/'Income Statement'!Q7</f>
        <v>1.8021509758356555</v>
      </c>
    </row>
    <row r="94" spans="2:8" x14ac:dyDescent="0.3">
      <c r="B94" s="13" t="s">
        <v>678</v>
      </c>
      <c r="C94" s="173">
        <f>C73/'Income Statement'!T36</f>
        <v>16.677508687076568</v>
      </c>
    </row>
    <row r="95" spans="2:8" x14ac:dyDescent="0.3">
      <c r="B95" s="13" t="s">
        <v>679</v>
      </c>
      <c r="C95" s="66">
        <f>D32/C70</f>
        <v>5.5492737767820696E-2</v>
      </c>
    </row>
    <row r="96" spans="2:8" x14ac:dyDescent="0.3">
      <c r="B96" s="13" t="s">
        <v>111</v>
      </c>
      <c r="C96" s="148">
        <f>'Debt &amp; Cost of Capital'!C48</f>
        <v>4343</v>
      </c>
    </row>
    <row r="97" spans="2:7" x14ac:dyDescent="0.3">
      <c r="B97" s="13" t="s">
        <v>680</v>
      </c>
      <c r="C97" s="66">
        <f>C75/C96-1</f>
        <v>-0.59131893876309427</v>
      </c>
    </row>
    <row r="98" spans="2:7" ht="12.75" customHeight="1" x14ac:dyDescent="0.3">
      <c r="B98" s="74"/>
    </row>
    <row r="101" spans="2:7" x14ac:dyDescent="0.3">
      <c r="B101" s="51" t="s">
        <v>457</v>
      </c>
    </row>
    <row r="102" spans="2:7" x14ac:dyDescent="0.3">
      <c r="B102" s="52" t="s">
        <v>211</v>
      </c>
      <c r="C102" s="114" t="s">
        <v>189</v>
      </c>
      <c r="D102" s="114" t="s">
        <v>190</v>
      </c>
      <c r="E102" s="114" t="s">
        <v>191</v>
      </c>
      <c r="F102" s="114" t="s">
        <v>192</v>
      </c>
      <c r="G102" s="114" t="s">
        <v>193</v>
      </c>
    </row>
    <row r="103" spans="2:7" x14ac:dyDescent="0.3">
      <c r="B103" s="24" t="s">
        <v>681</v>
      </c>
      <c r="C103" s="104">
        <f>D34</f>
        <v>2991.7964368096136</v>
      </c>
      <c r="D103" s="104">
        <f>E34</f>
        <v>5737.8423162884947</v>
      </c>
      <c r="E103" s="104">
        <f>F34</f>
        <v>6786.8237685432723</v>
      </c>
      <c r="F103" s="104">
        <f>G34</f>
        <v>7872.6282815693339</v>
      </c>
      <c r="G103" s="104">
        <f>H34</f>
        <v>8971.7284730521806</v>
      </c>
    </row>
    <row r="104" spans="2:7" x14ac:dyDescent="0.3">
      <c r="B104" s="24" t="s">
        <v>682</v>
      </c>
      <c r="C104" s="104">
        <f>D37</f>
        <v>2757.4590521728364</v>
      </c>
      <c r="D104" s="104">
        <f>E37</f>
        <v>4647.3024418327605</v>
      </c>
      <c r="E104" s="104">
        <f>F37</f>
        <v>4832.2293912112409</v>
      </c>
      <c r="F104" s="104">
        <f>G37</f>
        <v>4927.5309303037129</v>
      </c>
      <c r="G104" s="104">
        <f>H37</f>
        <v>4936.4458444745123</v>
      </c>
    </row>
    <row r="105" spans="2:7" x14ac:dyDescent="0.3">
      <c r="B105" s="24" t="s">
        <v>224</v>
      </c>
      <c r="C105" s="110">
        <f>D24</f>
        <v>0.13400000000000012</v>
      </c>
      <c r="D105" s="110">
        <f>E24</f>
        <v>0.13800000000000004</v>
      </c>
      <c r="E105" s="110">
        <f>F24</f>
        <v>0.14099999999999993</v>
      </c>
      <c r="F105" s="110">
        <f>G24</f>
        <v>0.14299999999999999</v>
      </c>
      <c r="G105" s="110">
        <f>H24</f>
        <v>0.14499999999999991</v>
      </c>
    </row>
  </sheetData>
  <mergeCells count="8">
    <mergeCell ref="B67:H67"/>
    <mergeCell ref="B78:H78"/>
    <mergeCell ref="B90:H90"/>
    <mergeCell ref="B1:H1"/>
    <mergeCell ref="B5:H5"/>
    <mergeCell ref="B19:H19"/>
    <mergeCell ref="B40:H40"/>
    <mergeCell ref="B55:H55"/>
  </mergeCells>
  <printOptions horizontalCentered="1"/>
  <pageMargins left="0.75" right="0.75" top="1" bottom="1" header="0.511811023622047" footer="0.511811023622047"/>
  <pageSetup orientation="landscape" horizontalDpi="300" verticalDpi="300"/>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13A44"/>
  </sheetPr>
  <dimension ref="B1:H53"/>
  <sheetViews>
    <sheetView showGridLines="0" zoomScale="90" zoomScaleNormal="90" workbookViewId="0">
      <pane xSplit="2" ySplit="5" topLeftCell="C6" activePane="bottomRight" state="frozen"/>
      <selection pane="topRight" activeCell="C1" sqref="C1"/>
      <selection pane="bottomLeft" activeCell="A6" sqref="A6"/>
      <selection pane="bottomRight"/>
    </sheetView>
  </sheetViews>
  <sheetFormatPr defaultColWidth="8.6640625" defaultRowHeight="14.4" x14ac:dyDescent="0.3"/>
  <cols>
    <col min="1" max="1" width="2" customWidth="1"/>
    <col min="2" max="2" width="62" customWidth="1"/>
    <col min="3" max="8" width="14" customWidth="1"/>
  </cols>
  <sheetData>
    <row r="1" spans="2:8" ht="24" customHeight="1" x14ac:dyDescent="0.3">
      <c r="B1" s="5" t="s">
        <v>0</v>
      </c>
      <c r="C1" s="5"/>
      <c r="D1" s="5"/>
      <c r="E1" s="5"/>
      <c r="F1" s="5"/>
      <c r="G1" s="5"/>
      <c r="H1" s="5"/>
    </row>
    <row r="2" spans="2:8" ht="15" customHeight="1" x14ac:dyDescent="0.3">
      <c r="B2" s="26" t="s">
        <v>72</v>
      </c>
    </row>
    <row r="3" spans="2:8" ht="13.5" customHeight="1" x14ac:dyDescent="0.3">
      <c r="B3" s="27" t="s">
        <v>683</v>
      </c>
    </row>
    <row r="5" spans="2:8" ht="16.5" customHeight="1" x14ac:dyDescent="0.3">
      <c r="B5" s="10" t="s">
        <v>684</v>
      </c>
      <c r="C5" s="10"/>
      <c r="D5" s="10"/>
      <c r="E5" s="10"/>
      <c r="F5" s="10"/>
      <c r="G5" s="10"/>
      <c r="H5" s="10"/>
    </row>
    <row r="6" spans="2:8" x14ac:dyDescent="0.3">
      <c r="C6" s="45" t="s">
        <v>161</v>
      </c>
      <c r="D6" s="92" t="s">
        <v>189</v>
      </c>
      <c r="E6" s="92" t="s">
        <v>190</v>
      </c>
      <c r="F6" s="92" t="s">
        <v>191</v>
      </c>
      <c r="G6" s="92" t="s">
        <v>192</v>
      </c>
      <c r="H6" s="92" t="s">
        <v>193</v>
      </c>
    </row>
    <row r="7" spans="2:8" x14ac:dyDescent="0.3">
      <c r="B7" s="32" t="s">
        <v>685</v>
      </c>
      <c r="C7" s="131">
        <f>'Income Statement'!Q36</f>
        <v>3614</v>
      </c>
      <c r="D7" s="131">
        <f>'Income Statement'!T36</f>
        <v>5056.1076629294466</v>
      </c>
      <c r="E7" s="131">
        <f>'Income Statement'!W36</f>
        <v>6240.1058582867872</v>
      </c>
      <c r="F7" s="131">
        <f>'Income Statement'!Z36</f>
        <v>7381.2324139855391</v>
      </c>
      <c r="G7" s="131">
        <f>'Income Statement'!AC36</f>
        <v>8478.311124137057</v>
      </c>
      <c r="H7" s="131">
        <f>'Income Statement'!AF36</f>
        <v>9631.3340572897487</v>
      </c>
    </row>
    <row r="8" spans="2:8" x14ac:dyDescent="0.3">
      <c r="B8" s="32" t="s">
        <v>506</v>
      </c>
      <c r="C8" s="131">
        <f>'Income Statement'!Q21</f>
        <v>901</v>
      </c>
      <c r="D8" s="131">
        <f>'Income Statement'!T21</f>
        <v>842.27</v>
      </c>
      <c r="E8" s="131">
        <f>'Income Statement'!W21</f>
        <v>1042.9210551030699</v>
      </c>
      <c r="F8" s="131">
        <f>'Income Statement'!Z21</f>
        <v>1259.6957291843016</v>
      </c>
      <c r="G8" s="131">
        <f>'Income Statement'!AC21</f>
        <v>1483.4062329692713</v>
      </c>
      <c r="H8" s="131">
        <f>'Income Statement'!AF21</f>
        <v>1707.0383482701895</v>
      </c>
    </row>
    <row r="9" spans="2:8" x14ac:dyDescent="0.3">
      <c r="B9" s="32" t="s">
        <v>630</v>
      </c>
      <c r="C9" s="131">
        <f>-'Balance Sheet'!G45</f>
        <v>-1925</v>
      </c>
      <c r="D9" s="131">
        <f>-'Balance Sheet'!H45</f>
        <v>-2466.9748996200001</v>
      </c>
      <c r="E9" s="131">
        <f>-'Balance Sheet'!I45</f>
        <v>-2798.1815739794401</v>
      </c>
      <c r="F9" s="131">
        <f>-'Balance Sheet'!J45</f>
        <v>-3071.1168124634078</v>
      </c>
      <c r="G9" s="131">
        <f>-'Balance Sheet'!K45</f>
        <v>-3294.1925916811592</v>
      </c>
      <c r="H9" s="131">
        <f>-'Balance Sheet'!L45</f>
        <v>-3584.4232951260728</v>
      </c>
    </row>
    <row r="10" spans="2:8" x14ac:dyDescent="0.3">
      <c r="B10" s="32" t="s">
        <v>631</v>
      </c>
      <c r="C10" s="131">
        <f>'Balance Sheet'!G41</f>
        <v>1489.3041095890412</v>
      </c>
      <c r="D10" s="131">
        <f>'Balance Sheet'!H41</f>
        <v>1092.5348329242725</v>
      </c>
      <c r="E10" s="131">
        <f>'Balance Sheet'!I41</f>
        <v>1049.6371729580778</v>
      </c>
      <c r="F10" s="131">
        <f>'Balance Sheet'!J41</f>
        <v>1013.6526339168395</v>
      </c>
      <c r="G10" s="131">
        <f>'Balance Sheet'!K41</f>
        <v>1001.7437122241645</v>
      </c>
      <c r="H10" s="131">
        <f>'Balance Sheet'!L41</f>
        <v>1014.4195586983169</v>
      </c>
    </row>
    <row r="11" spans="2:8" x14ac:dyDescent="0.3">
      <c r="B11" s="32" t="s">
        <v>686</v>
      </c>
      <c r="C11" s="131">
        <f>'Balance Sheet'!G52</f>
        <v>1696</v>
      </c>
      <c r="D11" s="131">
        <f>'Balance Sheet'!H52</f>
        <v>0</v>
      </c>
      <c r="E11" s="131">
        <f>'Balance Sheet'!I52</f>
        <v>0</v>
      </c>
      <c r="F11" s="131">
        <f>'Balance Sheet'!J52</f>
        <v>0</v>
      </c>
      <c r="G11" s="131">
        <f>'Balance Sheet'!K52</f>
        <v>0</v>
      </c>
      <c r="H11" s="131">
        <f>'Balance Sheet'!L52</f>
        <v>0</v>
      </c>
    </row>
    <row r="12" spans="2:8" x14ac:dyDescent="0.3">
      <c r="B12" s="29" t="s">
        <v>687</v>
      </c>
      <c r="C12" s="103">
        <f t="shared" ref="C12:H12" si="0">SUM(C7:C11)</f>
        <v>5775.3041095890412</v>
      </c>
      <c r="D12" s="103">
        <f t="shared" si="0"/>
        <v>4523.9375962337181</v>
      </c>
      <c r="E12" s="103">
        <f t="shared" si="0"/>
        <v>5534.482512368495</v>
      </c>
      <c r="F12" s="103">
        <f t="shared" si="0"/>
        <v>6583.4639646232717</v>
      </c>
      <c r="G12" s="103">
        <f t="shared" si="0"/>
        <v>7669.2684776493334</v>
      </c>
      <c r="H12" s="103">
        <f t="shared" si="0"/>
        <v>8768.3686691321818</v>
      </c>
    </row>
    <row r="13" spans="2:8" x14ac:dyDescent="0.3">
      <c r="B13" s="52" t="s">
        <v>688</v>
      </c>
      <c r="D13" s="170">
        <f>'DCF - FCFF'!D33</f>
        <v>0.63287671232876708</v>
      </c>
      <c r="E13" s="170" t="str">
        <f>'DCF - FCFF'!E33</f>
        <v>1</v>
      </c>
      <c r="F13" s="170" t="str">
        <f>'DCF - FCFF'!F33</f>
        <v>1</v>
      </c>
      <c r="G13" s="170" t="str">
        <f>'DCF - FCFF'!G33</f>
        <v>1</v>
      </c>
      <c r="H13" s="170" t="str">
        <f>'DCF - FCFF'!H33</f>
        <v>1</v>
      </c>
    </row>
    <row r="14" spans="2:8" x14ac:dyDescent="0.3">
      <c r="B14" s="29" t="s">
        <v>689</v>
      </c>
      <c r="D14" s="111">
        <f>D12*D13</f>
        <v>2863.0947526849009</v>
      </c>
      <c r="E14" s="111">
        <f>E12*E13</f>
        <v>5534.482512368495</v>
      </c>
      <c r="F14" s="111">
        <f>F12*F13</f>
        <v>6583.4639646232717</v>
      </c>
      <c r="G14" s="111">
        <f>G12*G13</f>
        <v>7669.2684776493334</v>
      </c>
      <c r="H14" s="111">
        <f>H12*H13</f>
        <v>8768.3686691321818</v>
      </c>
    </row>
    <row r="15" spans="2:8" x14ac:dyDescent="0.3">
      <c r="B15" s="52" t="s">
        <v>104</v>
      </c>
      <c r="D15" s="179">
        <f>'Debt &amp; Cost of Capital'!$C$45</f>
        <v>0.13905529997482807</v>
      </c>
      <c r="E15" s="179">
        <f>'Debt &amp; Cost of Capital'!$C$45</f>
        <v>0.13905529997482807</v>
      </c>
      <c r="F15" s="179">
        <f>'Debt &amp; Cost of Capital'!$C$45</f>
        <v>0.13905529997482807</v>
      </c>
      <c r="G15" s="179">
        <f>'Debt &amp; Cost of Capital'!$C$45</f>
        <v>0.13905529997482807</v>
      </c>
      <c r="H15" s="179">
        <f>'Debt &amp; Cost of Capital'!$C$45</f>
        <v>0.13905529997482807</v>
      </c>
    </row>
    <row r="16" spans="2:8" x14ac:dyDescent="0.3">
      <c r="B16" s="52" t="s">
        <v>690</v>
      </c>
      <c r="D16" s="171">
        <f>'DCF - FCFF'!D35</f>
        <v>0.63287671232876708</v>
      </c>
      <c r="E16" s="171">
        <f>'DCF - FCFF'!E35</f>
        <v>1.6356164383561644</v>
      </c>
      <c r="F16" s="171">
        <f>'DCF - FCFF'!F35</f>
        <v>2.6356164383561644</v>
      </c>
      <c r="G16" s="171">
        <f>'DCF - FCFF'!G35</f>
        <v>3.6356164383561644</v>
      </c>
      <c r="H16" s="171">
        <f>'DCF - FCFF'!H35</f>
        <v>4.6356164383561644</v>
      </c>
    </row>
    <row r="17" spans="2:8" x14ac:dyDescent="0.3">
      <c r="B17" s="52" t="s">
        <v>637</v>
      </c>
      <c r="D17" s="171">
        <f>1/(1+D15)^D16</f>
        <v>0.92090346507463861</v>
      </c>
      <c r="E17" s="171">
        <f>1/(1+E15)^E16</f>
        <v>0.80819169006839719</v>
      </c>
      <c r="F17" s="171">
        <f>1/(1+F15)^F16</f>
        <v>0.70952805371807437</v>
      </c>
      <c r="G17" s="171">
        <f>1/(1+G15)^G16</f>
        <v>0.6229092246300546</v>
      </c>
      <c r="H17" s="171">
        <f>1/(1+H15)^H16</f>
        <v>0.54686477877221606</v>
      </c>
    </row>
    <row r="18" spans="2:8" x14ac:dyDescent="0.3">
      <c r="B18" s="29" t="s">
        <v>691</v>
      </c>
      <c r="D18" s="103">
        <f>D14*D17</f>
        <v>2636.6338785845405</v>
      </c>
      <c r="E18" s="103">
        <f>E14*E17</f>
        <v>4472.9227753250825</v>
      </c>
      <c r="F18" s="103">
        <f>F14*F17</f>
        <v>4671.1523735422279</v>
      </c>
      <c r="G18" s="103">
        <f>G14*G17</f>
        <v>4777.2580808922658</v>
      </c>
      <c r="H18" s="103">
        <f>H14*H17</f>
        <v>4795.111992438201</v>
      </c>
    </row>
    <row r="20" spans="2:8" x14ac:dyDescent="0.3">
      <c r="B20" s="32" t="s">
        <v>692</v>
      </c>
      <c r="C20" s="66">
        <f>'Debt &amp; Cost of Capital'!C64</f>
        <v>5.5E-2</v>
      </c>
    </row>
    <row r="21" spans="2:8" x14ac:dyDescent="0.3">
      <c r="B21" s="32" t="s">
        <v>693</v>
      </c>
      <c r="C21" s="148">
        <f>H12*(1+C20)/(H15-C20)</f>
        <v>110054.08283242966</v>
      </c>
    </row>
    <row r="22" spans="2:8" x14ac:dyDescent="0.3">
      <c r="B22" s="32" t="s">
        <v>660</v>
      </c>
      <c r="C22" s="148">
        <f>C21*H17</f>
        <v>60184.70166113579</v>
      </c>
    </row>
    <row r="23" spans="2:8" x14ac:dyDescent="0.3">
      <c r="B23" s="32" t="s">
        <v>694</v>
      </c>
      <c r="C23" s="148">
        <f>SUM(D18:H18)</f>
        <v>21353.079100782317</v>
      </c>
    </row>
    <row r="25" spans="2:8" x14ac:dyDescent="0.3">
      <c r="B25" s="29" t="s">
        <v>695</v>
      </c>
      <c r="C25" s="176">
        <f>C22+C23</f>
        <v>81537.780761918111</v>
      </c>
    </row>
    <row r="26" spans="2:8" x14ac:dyDescent="0.3">
      <c r="B26" s="174" t="s">
        <v>696</v>
      </c>
      <c r="C26" s="175">
        <f>C25/47.5087</f>
        <v>1716.2705096522977</v>
      </c>
    </row>
    <row r="27" spans="2:8" ht="12.75" customHeight="1" x14ac:dyDescent="0.3">
      <c r="B27" s="74"/>
    </row>
    <row r="29" spans="2:8" ht="16.5" customHeight="1" x14ac:dyDescent="0.3">
      <c r="B29" s="10" t="s">
        <v>697</v>
      </c>
      <c r="C29" s="10"/>
      <c r="D29" s="10"/>
      <c r="E29" s="10"/>
      <c r="F29" s="10"/>
      <c r="G29" s="10"/>
      <c r="H29" s="10"/>
    </row>
    <row r="30" spans="2:8" x14ac:dyDescent="0.3">
      <c r="B30" s="32" t="s">
        <v>698</v>
      </c>
      <c r="C30" s="128">
        <f>'Income Statement'!Q43</f>
        <v>12.171244424705371</v>
      </c>
    </row>
    <row r="31" spans="2:8" x14ac:dyDescent="0.3">
      <c r="B31" s="32" t="s">
        <v>699</v>
      </c>
      <c r="C31" s="70">
        <v>0.16</v>
      </c>
    </row>
    <row r="32" spans="2:8" x14ac:dyDescent="0.3">
      <c r="B32" s="32" t="s">
        <v>700</v>
      </c>
      <c r="C32" s="180">
        <v>5</v>
      </c>
    </row>
    <row r="33" spans="2:8" x14ac:dyDescent="0.3">
      <c r="B33" s="32" t="s">
        <v>701</v>
      </c>
      <c r="C33" s="123">
        <f>'Debt &amp; Cost of Capital'!C64</f>
        <v>5.5E-2</v>
      </c>
    </row>
    <row r="34" spans="2:8" x14ac:dyDescent="0.3">
      <c r="B34" s="32" t="s">
        <v>104</v>
      </c>
      <c r="C34" s="157">
        <f>'Debt &amp; Cost of Capital'!C45</f>
        <v>0.13905529997482807</v>
      </c>
    </row>
    <row r="35" spans="2:8" x14ac:dyDescent="0.3">
      <c r="B35" s="32" t="s">
        <v>702</v>
      </c>
      <c r="C35" s="123">
        <f>('Income Statement'!Q36/'Balance Sheet'!G11)*(1-'Income Statement'!Q44)</f>
        <v>0.27020560747663547</v>
      </c>
    </row>
    <row r="37" spans="2:8" x14ac:dyDescent="0.3">
      <c r="B37" s="52" t="s">
        <v>211</v>
      </c>
      <c r="D37" s="91" t="s">
        <v>189</v>
      </c>
      <c r="E37" s="91" t="s">
        <v>190</v>
      </c>
      <c r="F37" s="91" t="s">
        <v>191</v>
      </c>
      <c r="G37" s="91" t="s">
        <v>192</v>
      </c>
      <c r="H37" s="91" t="s">
        <v>193</v>
      </c>
    </row>
    <row r="38" spans="2:8" x14ac:dyDescent="0.3">
      <c r="B38" s="32" t="s">
        <v>703</v>
      </c>
      <c r="D38" s="115">
        <f>$C$30*(1+$C$31)</f>
        <v>14.118643532658229</v>
      </c>
      <c r="E38" s="115">
        <f>D38*(1+$C$31)</f>
        <v>16.377626497883544</v>
      </c>
      <c r="F38" s="115">
        <f>E38*(1+$C$31)</f>
        <v>18.998046737544911</v>
      </c>
      <c r="G38" s="115">
        <f>F38*(1+$C$31)</f>
        <v>22.037734215552096</v>
      </c>
      <c r="H38" s="115">
        <f>G38*(1+$C$31)</f>
        <v>25.563771690040429</v>
      </c>
    </row>
    <row r="39" spans="2:8" x14ac:dyDescent="0.3">
      <c r="B39" s="52" t="s">
        <v>637</v>
      </c>
      <c r="D39" s="171">
        <f>1/(1+$C$34)^'DCF - FCFF'!D35</f>
        <v>0.92090346507463861</v>
      </c>
      <c r="E39" s="171">
        <f>1/(1+$C$34)^'DCF - FCFF'!E35</f>
        <v>0.80819169006839719</v>
      </c>
      <c r="F39" s="171">
        <f>1/(1+$C$34)^'DCF - FCFF'!F35</f>
        <v>0.70952805371807437</v>
      </c>
      <c r="G39" s="171">
        <f>1/(1+$C$34)^'DCF - FCFF'!G35</f>
        <v>0.6229092246300546</v>
      </c>
      <c r="H39" s="171">
        <f>1/(1+$C$34)^'DCF - FCFF'!H35</f>
        <v>0.54686477877221606</v>
      </c>
    </row>
    <row r="40" spans="2:8" x14ac:dyDescent="0.3">
      <c r="B40" s="29" t="s">
        <v>704</v>
      </c>
      <c r="D40" s="126">
        <f>D38*D39</f>
        <v>13.001907751378599</v>
      </c>
      <c r="E40" s="126">
        <f>E38*E39</f>
        <v>13.236261638633467</v>
      </c>
      <c r="F40" s="126">
        <f>F38*F39</f>
        <v>13.479647126135253</v>
      </c>
      <c r="G40" s="126">
        <f>G38*G39</f>
        <v>13.727507932812781</v>
      </c>
      <c r="H40" s="126">
        <f>H38*H39</f>
        <v>13.979926349857399</v>
      </c>
    </row>
    <row r="42" spans="2:8" x14ac:dyDescent="0.3">
      <c r="B42" s="32" t="s">
        <v>705</v>
      </c>
      <c r="C42" s="62">
        <f>H38*(1+C33)</f>
        <v>26.969779132992652</v>
      </c>
    </row>
    <row r="43" spans="2:8" x14ac:dyDescent="0.3">
      <c r="B43" s="32" t="s">
        <v>706</v>
      </c>
      <c r="C43" s="62">
        <f>C42/(C34-C33)</f>
        <v>320.8575680661333</v>
      </c>
    </row>
    <row r="44" spans="2:8" x14ac:dyDescent="0.3">
      <c r="B44" s="32" t="s">
        <v>707</v>
      </c>
      <c r="C44" s="62">
        <f>C43*H39</f>
        <v>175.46570297787724</v>
      </c>
    </row>
    <row r="45" spans="2:8" x14ac:dyDescent="0.3">
      <c r="B45" s="32" t="s">
        <v>708</v>
      </c>
      <c r="C45" s="62">
        <f>SUM(D40:H40)</f>
        <v>67.425250798817501</v>
      </c>
    </row>
    <row r="46" spans="2:8" x14ac:dyDescent="0.3">
      <c r="B46" s="174" t="s">
        <v>709</v>
      </c>
      <c r="C46" s="175">
        <f>C44+C45</f>
        <v>242.89095377669474</v>
      </c>
    </row>
    <row r="47" spans="2:8" ht="12.75" customHeight="1" x14ac:dyDescent="0.3">
      <c r="B47" s="74"/>
    </row>
    <row r="49" spans="2:8" ht="16.5" customHeight="1" x14ac:dyDescent="0.3">
      <c r="B49" s="10" t="s">
        <v>710</v>
      </c>
      <c r="C49" s="10"/>
      <c r="D49" s="10"/>
      <c r="E49" s="10"/>
      <c r="F49" s="10"/>
      <c r="G49" s="10"/>
      <c r="H49" s="10"/>
    </row>
    <row r="50" spans="2:8" x14ac:dyDescent="0.3">
      <c r="B50" s="32" t="s">
        <v>711</v>
      </c>
      <c r="C50" s="148">
        <f>'DCF - FCFF'!C75</f>
        <v>1774.9018489518817</v>
      </c>
    </row>
    <row r="51" spans="2:8" x14ac:dyDescent="0.3">
      <c r="B51" s="32" t="s">
        <v>712</v>
      </c>
      <c r="C51" s="148">
        <f>C26</f>
        <v>1716.2705096522977</v>
      </c>
    </row>
    <row r="52" spans="2:8" x14ac:dyDescent="0.3">
      <c r="B52" s="32" t="s">
        <v>713</v>
      </c>
      <c r="C52" s="148">
        <f>C46</f>
        <v>242.89095377669474</v>
      </c>
    </row>
    <row r="53" spans="2:8" x14ac:dyDescent="0.3">
      <c r="B53" s="29" t="s">
        <v>714</v>
      </c>
      <c r="C53" s="176">
        <f>'Debt &amp; Cost of Capital'!C48</f>
        <v>4343</v>
      </c>
    </row>
  </sheetData>
  <mergeCells count="4">
    <mergeCell ref="B1:H1"/>
    <mergeCell ref="B5:H5"/>
    <mergeCell ref="B29:H29"/>
    <mergeCell ref="B49:H49"/>
  </mergeCells>
  <printOptions horizontalCentered="1"/>
  <pageMargins left="0.75" right="0.75" top="1" bottom="1" header="0.511811023622047" footer="0.511811023622047"/>
  <pageSetup orientation="landscape" horizontalDpi="300" verticalDpi="30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13A44"/>
  </sheetPr>
  <dimension ref="B1:I59"/>
  <sheetViews>
    <sheetView showGridLines="0" zoomScale="90" zoomScaleNormal="90" workbookViewId="0">
      <pane xSplit="2" ySplit="5" topLeftCell="C6" activePane="bottomRight" state="frozen"/>
      <selection pane="topRight" activeCell="C1" sqref="C1"/>
      <selection pane="bottomLeft" activeCell="A6" sqref="A6"/>
      <selection pane="bottomRight"/>
    </sheetView>
  </sheetViews>
  <sheetFormatPr defaultColWidth="8.6640625" defaultRowHeight="14.4" x14ac:dyDescent="0.3"/>
  <cols>
    <col min="1" max="1" width="2" customWidth="1"/>
    <col min="2" max="2" width="62" customWidth="1"/>
    <col min="3" max="3" width="15" customWidth="1"/>
    <col min="4" max="7" width="14" customWidth="1"/>
    <col min="8" max="9" width="2" customWidth="1"/>
  </cols>
  <sheetData>
    <row r="1" spans="2:9" ht="24" customHeight="1" x14ac:dyDescent="0.3">
      <c r="B1" s="5" t="s">
        <v>0</v>
      </c>
      <c r="C1" s="5"/>
      <c r="D1" s="5"/>
      <c r="E1" s="5"/>
      <c r="F1" s="5"/>
      <c r="G1" s="5"/>
      <c r="H1" s="5"/>
      <c r="I1" s="5"/>
    </row>
    <row r="2" spans="2:9" ht="15" customHeight="1" x14ac:dyDescent="0.3">
      <c r="B2" s="26" t="s">
        <v>72</v>
      </c>
    </row>
    <row r="3" spans="2:9" ht="13.5" customHeight="1" x14ac:dyDescent="0.3">
      <c r="B3" s="27" t="s">
        <v>715</v>
      </c>
    </row>
    <row r="5" spans="2:9" ht="16.5" customHeight="1" x14ac:dyDescent="0.3">
      <c r="B5" s="10" t="s">
        <v>716</v>
      </c>
      <c r="C5" s="10"/>
      <c r="D5" s="10"/>
      <c r="E5" s="10"/>
      <c r="F5" s="10"/>
      <c r="G5" s="10"/>
      <c r="H5" s="10"/>
      <c r="I5" s="10"/>
    </row>
    <row r="6" spans="2:9" ht="39.75" customHeight="1" x14ac:dyDescent="0.3">
      <c r="B6" s="181" t="s">
        <v>717</v>
      </c>
    </row>
    <row r="10" spans="2:9" ht="16.5" customHeight="1" x14ac:dyDescent="0.3">
      <c r="B10" s="10" t="s">
        <v>718</v>
      </c>
      <c r="C10" s="10"/>
      <c r="D10" s="10"/>
      <c r="E10" s="10"/>
      <c r="F10" s="10"/>
      <c r="G10" s="10"/>
      <c r="H10" s="10"/>
      <c r="I10" s="10"/>
    </row>
    <row r="11" spans="2:9" x14ac:dyDescent="0.3">
      <c r="C11" s="45" t="s">
        <v>212</v>
      </c>
      <c r="D11" s="45" t="s">
        <v>213</v>
      </c>
      <c r="E11" s="45" t="s">
        <v>214</v>
      </c>
      <c r="F11" s="45" t="s">
        <v>215</v>
      </c>
      <c r="G11" s="45" t="s">
        <v>216</v>
      </c>
    </row>
    <row r="12" spans="2:9" x14ac:dyDescent="0.3">
      <c r="B12" s="32" t="s">
        <v>719</v>
      </c>
      <c r="C12" s="148">
        <v>14000</v>
      </c>
      <c r="D12" s="148">
        <v>19000</v>
      </c>
      <c r="E12" s="148">
        <v>25870</v>
      </c>
      <c r="F12" s="148">
        <v>26647</v>
      </c>
      <c r="G12" s="148">
        <v>30639</v>
      </c>
    </row>
    <row r="13" spans="2:9" x14ac:dyDescent="0.3">
      <c r="B13" s="32" t="s">
        <v>720</v>
      </c>
      <c r="D13" s="55">
        <f>(D12-C12)/C12</f>
        <v>0.35714285714285715</v>
      </c>
      <c r="E13" s="55">
        <f>(E12-D12)/D12</f>
        <v>0.36157894736842106</v>
      </c>
      <c r="F13" s="55">
        <f>(F12-E12)/E12</f>
        <v>3.0034789331271742E-2</v>
      </c>
      <c r="G13" s="55">
        <f>(G12-F12)/F12</f>
        <v>0.14981048523285923</v>
      </c>
    </row>
    <row r="14" spans="2:9" x14ac:dyDescent="0.3">
      <c r="B14" s="32" t="s">
        <v>721</v>
      </c>
      <c r="C14" s="148">
        <v>3200</v>
      </c>
      <c r="D14" s="148">
        <v>4400</v>
      </c>
      <c r="E14" s="148">
        <v>5790</v>
      </c>
      <c r="F14" s="148">
        <v>6605</v>
      </c>
      <c r="G14" s="148">
        <v>7191</v>
      </c>
    </row>
    <row r="15" spans="2:9" x14ac:dyDescent="0.3">
      <c r="B15" s="32" t="s">
        <v>433</v>
      </c>
      <c r="C15" s="148">
        <v>220</v>
      </c>
      <c r="D15" s="148">
        <v>480</v>
      </c>
      <c r="E15" s="148">
        <v>759</v>
      </c>
      <c r="F15" s="148">
        <v>1025</v>
      </c>
      <c r="G15" s="148">
        <v>1238</v>
      </c>
    </row>
    <row r="16" spans="2:9" x14ac:dyDescent="0.3">
      <c r="B16" s="29" t="s">
        <v>685</v>
      </c>
      <c r="C16" s="176">
        <v>165</v>
      </c>
      <c r="D16" s="176">
        <v>360</v>
      </c>
      <c r="E16" s="176">
        <v>572</v>
      </c>
      <c r="F16" s="176">
        <v>767</v>
      </c>
      <c r="G16" s="176">
        <v>913</v>
      </c>
    </row>
    <row r="17" spans="2:9" x14ac:dyDescent="0.3">
      <c r="B17" s="32" t="s">
        <v>722</v>
      </c>
      <c r="D17" s="55">
        <f>(D16-C16)/C16</f>
        <v>1.1818181818181819</v>
      </c>
      <c r="E17" s="55">
        <f>(E16-D16)/D16</f>
        <v>0.58888888888888891</v>
      </c>
      <c r="F17" s="55">
        <f>(F16-E16)/E16</f>
        <v>0.34090909090909088</v>
      </c>
      <c r="G17" s="55">
        <f>(G16-F16)/F16</f>
        <v>0.19035202086049544</v>
      </c>
    </row>
    <row r="18" spans="2:9" x14ac:dyDescent="0.3">
      <c r="B18" s="29" t="s">
        <v>723</v>
      </c>
      <c r="C18" s="176">
        <v>2650</v>
      </c>
      <c r="D18" s="176">
        <v>3400</v>
      </c>
      <c r="E18" s="176">
        <v>4450</v>
      </c>
      <c r="F18" s="176">
        <v>5250</v>
      </c>
      <c r="G18" s="176">
        <v>6068</v>
      </c>
    </row>
    <row r="19" spans="2:9" x14ac:dyDescent="0.3">
      <c r="B19" s="13" t="s">
        <v>724</v>
      </c>
      <c r="C19" s="66">
        <f>C16/C18</f>
        <v>6.2264150943396226E-2</v>
      </c>
      <c r="D19" s="66">
        <f>D16/D18</f>
        <v>0.10588235294117647</v>
      </c>
      <c r="E19" s="66">
        <f>E16/E18</f>
        <v>0.12853932584269662</v>
      </c>
      <c r="F19" s="66">
        <f>F16/F18</f>
        <v>0.14609523809523808</v>
      </c>
      <c r="G19" s="66">
        <f>G16/G18</f>
        <v>0.1504614370468029</v>
      </c>
    </row>
    <row r="20" spans="2:9" x14ac:dyDescent="0.3">
      <c r="B20" s="13" t="s">
        <v>725</v>
      </c>
      <c r="C20" s="66">
        <f>C16/C12</f>
        <v>1.1785714285714287E-2</v>
      </c>
      <c r="D20" s="66">
        <f>D16/D12</f>
        <v>1.8947368421052633E-2</v>
      </c>
      <c r="E20" s="66">
        <f>E16/E12</f>
        <v>2.2110552763819097E-2</v>
      </c>
      <c r="F20" s="66">
        <f>F16/F12</f>
        <v>2.8783727999399558E-2</v>
      </c>
      <c r="G20" s="66">
        <f>G16/G12</f>
        <v>2.979862267045269E-2</v>
      </c>
    </row>
    <row r="21" spans="2:9" x14ac:dyDescent="0.3">
      <c r="B21" s="13" t="s">
        <v>726</v>
      </c>
      <c r="C21" s="62">
        <f>C12/C18</f>
        <v>5.283018867924528</v>
      </c>
      <c r="D21" s="62">
        <f>D12/D18</f>
        <v>5.5882352941176467</v>
      </c>
      <c r="E21" s="62">
        <f>E12/E18</f>
        <v>5.8134831460674157</v>
      </c>
      <c r="F21" s="62">
        <f>F12/F18</f>
        <v>5.0756190476190479</v>
      </c>
      <c r="G21" s="62">
        <f>G12/G18</f>
        <v>5.049274884640738</v>
      </c>
    </row>
    <row r="22" spans="2:9" x14ac:dyDescent="0.3">
      <c r="B22" s="13" t="s">
        <v>727</v>
      </c>
      <c r="C22" s="66">
        <f>C14/C12</f>
        <v>0.22857142857142856</v>
      </c>
      <c r="D22" s="66">
        <f>D14/D12</f>
        <v>0.23157894736842105</v>
      </c>
      <c r="E22" s="66">
        <f>E14/E12</f>
        <v>0.22381136451488209</v>
      </c>
      <c r="F22" s="66">
        <f>F14/F12</f>
        <v>0.24787030434945773</v>
      </c>
      <c r="G22" s="66">
        <f>G14/G12</f>
        <v>0.23470087143836288</v>
      </c>
    </row>
    <row r="23" spans="2:9" ht="12.75" customHeight="1" x14ac:dyDescent="0.3">
      <c r="B23" s="74"/>
    </row>
    <row r="25" spans="2:9" ht="16.5" customHeight="1" x14ac:dyDescent="0.3">
      <c r="B25" s="10" t="s">
        <v>728</v>
      </c>
      <c r="C25" s="10"/>
      <c r="D25" s="10"/>
      <c r="E25" s="10"/>
      <c r="F25" s="10"/>
      <c r="G25" s="10"/>
      <c r="H25" s="10"/>
      <c r="I25" s="10"/>
    </row>
    <row r="26" spans="2:9" x14ac:dyDescent="0.3">
      <c r="B26" s="32" t="s">
        <v>729</v>
      </c>
      <c r="C26" s="148">
        <f>G18</f>
        <v>6068</v>
      </c>
    </row>
    <row r="27" spans="2:9" x14ac:dyDescent="0.3">
      <c r="B27" s="32" t="s">
        <v>730</v>
      </c>
      <c r="C27" s="172">
        <v>2.2000000000000002</v>
      </c>
      <c r="I27" s="31"/>
    </row>
    <row r="28" spans="2:9" x14ac:dyDescent="0.3">
      <c r="B28" s="32" t="s">
        <v>731</v>
      </c>
      <c r="C28" s="172">
        <v>3.5</v>
      </c>
    </row>
    <row r="29" spans="2:9" x14ac:dyDescent="0.3">
      <c r="B29" s="32" t="s">
        <v>732</v>
      </c>
      <c r="C29" s="172">
        <v>2.75</v>
      </c>
    </row>
    <row r="30" spans="2:9" x14ac:dyDescent="0.3">
      <c r="B30" s="29" t="s">
        <v>733</v>
      </c>
      <c r="C30" s="176">
        <f>C26*C29</f>
        <v>16687</v>
      </c>
    </row>
    <row r="32" spans="2:9" ht="16.5" customHeight="1" x14ac:dyDescent="0.3">
      <c r="B32" s="10" t="s">
        <v>734</v>
      </c>
      <c r="C32" s="10"/>
      <c r="D32" s="10"/>
      <c r="E32" s="10"/>
      <c r="F32" s="10"/>
      <c r="G32" s="10"/>
      <c r="H32" s="10"/>
      <c r="I32" s="10"/>
    </row>
    <row r="33" spans="2:9" x14ac:dyDescent="0.3">
      <c r="B33" s="32" t="s">
        <v>735</v>
      </c>
      <c r="C33" s="66">
        <f>G19</f>
        <v>0.1504614370468029</v>
      </c>
    </row>
    <row r="34" spans="2:9" x14ac:dyDescent="0.3">
      <c r="B34" s="32" t="s">
        <v>736</v>
      </c>
      <c r="C34" s="158">
        <v>1.25</v>
      </c>
    </row>
    <row r="35" spans="2:9" x14ac:dyDescent="0.3">
      <c r="B35" s="32" t="s">
        <v>737</v>
      </c>
      <c r="C35" s="149">
        <f>'Debt &amp; Cost of Capital'!C38+C34*'Debt &amp; Cost of Capital'!C39</f>
        <v>0.15629999999999999</v>
      </c>
    </row>
    <row r="36" spans="2:9" x14ac:dyDescent="0.3">
      <c r="B36" s="32" t="s">
        <v>738</v>
      </c>
      <c r="C36" s="70">
        <v>0.12</v>
      </c>
    </row>
    <row r="37" spans="2:9" x14ac:dyDescent="0.3">
      <c r="B37" s="29" t="s">
        <v>739</v>
      </c>
      <c r="C37" s="182">
        <f>(C33-C36)/(C35-C36)</f>
        <v>0.83915804536647121</v>
      </c>
    </row>
    <row r="38" spans="2:9" x14ac:dyDescent="0.3">
      <c r="B38" s="29" t="s">
        <v>740</v>
      </c>
      <c r="C38" s="176">
        <f>C26*C37</f>
        <v>5092.0110192837474</v>
      </c>
    </row>
    <row r="39" spans="2:9" x14ac:dyDescent="0.3">
      <c r="B39" s="32" t="s">
        <v>741</v>
      </c>
      <c r="C39" s="66">
        <f>C33-C35</f>
        <v>-5.8385629531970962E-3</v>
      </c>
    </row>
    <row r="41" spans="2:9" ht="16.5" customHeight="1" x14ac:dyDescent="0.3">
      <c r="B41" s="10" t="s">
        <v>742</v>
      </c>
      <c r="C41" s="10"/>
      <c r="D41" s="10"/>
      <c r="E41" s="10"/>
      <c r="F41" s="10"/>
      <c r="G41" s="10"/>
      <c r="H41" s="10"/>
      <c r="I41" s="10"/>
    </row>
    <row r="42" spans="2:9" x14ac:dyDescent="0.3">
      <c r="B42" s="32" t="s">
        <v>743</v>
      </c>
      <c r="C42" s="69">
        <v>4.3900000000000002E-2</v>
      </c>
      <c r="I42" s="31"/>
    </row>
    <row r="43" spans="2:9" x14ac:dyDescent="0.3">
      <c r="B43" s="32" t="s">
        <v>744</v>
      </c>
      <c r="C43" s="72">
        <v>711</v>
      </c>
    </row>
    <row r="44" spans="2:9" x14ac:dyDescent="0.3">
      <c r="B44" s="29" t="s">
        <v>740</v>
      </c>
      <c r="C44" s="176">
        <f>C43/C42</f>
        <v>16195.899772209566</v>
      </c>
    </row>
    <row r="45" spans="2:9" x14ac:dyDescent="0.3">
      <c r="B45" s="32" t="s">
        <v>745</v>
      </c>
      <c r="C45" s="173">
        <f>C44/C26</f>
        <v>2.669067200430054</v>
      </c>
    </row>
    <row r="46" spans="2:9" x14ac:dyDescent="0.3">
      <c r="B46" s="32" t="s">
        <v>746</v>
      </c>
      <c r="C46" s="173">
        <f>C44/G16</f>
        <v>17.739211141521977</v>
      </c>
    </row>
    <row r="48" spans="2:9" ht="16.5" customHeight="1" x14ac:dyDescent="0.3">
      <c r="B48" s="10" t="s">
        <v>747</v>
      </c>
      <c r="C48" s="10"/>
      <c r="D48" s="10"/>
      <c r="E48" s="10"/>
      <c r="F48" s="10"/>
      <c r="G48" s="10"/>
      <c r="H48" s="10"/>
      <c r="I48" s="10"/>
    </row>
    <row r="49" spans="2:3" x14ac:dyDescent="0.3">
      <c r="B49" s="32" t="s">
        <v>748</v>
      </c>
      <c r="C49" s="148">
        <f>C30</f>
        <v>16687</v>
      </c>
    </row>
    <row r="50" spans="2:3" x14ac:dyDescent="0.3">
      <c r="B50" s="32" t="s">
        <v>749</v>
      </c>
      <c r="C50" s="148">
        <f>C38</f>
        <v>5092.0110192837474</v>
      </c>
    </row>
    <row r="51" spans="2:3" x14ac:dyDescent="0.3">
      <c r="B51" s="32" t="s">
        <v>750</v>
      </c>
      <c r="C51" s="148">
        <f>C44</f>
        <v>16195.899772209566</v>
      </c>
    </row>
    <row r="52" spans="2:3" x14ac:dyDescent="0.3">
      <c r="B52" s="32" t="s">
        <v>751</v>
      </c>
      <c r="C52" s="72">
        <v>24000</v>
      </c>
    </row>
    <row r="54" spans="2:3" x14ac:dyDescent="0.3">
      <c r="B54" s="36" t="s">
        <v>752</v>
      </c>
      <c r="C54" s="151">
        <f>INDEX('Control Panel'!$C$53:$C$56,MATCH('Control Panel'!$C$12,'Control Panel'!$B$53:$B$56,0))</f>
        <v>12658.303597164437</v>
      </c>
    </row>
    <row r="55" spans="2:3" x14ac:dyDescent="0.3">
      <c r="B55" s="32" t="s">
        <v>753</v>
      </c>
      <c r="C55" s="149">
        <f>'Guidance &amp; Assumptions'!C16</f>
        <v>0.85150000000000003</v>
      </c>
    </row>
    <row r="56" spans="2:3" x14ac:dyDescent="0.3">
      <c r="B56" s="29" t="s">
        <v>754</v>
      </c>
      <c r="C56" s="176">
        <f>C54*C55</f>
        <v>10778.545512985518</v>
      </c>
    </row>
    <row r="57" spans="2:3" x14ac:dyDescent="0.3">
      <c r="B57" s="174" t="s">
        <v>755</v>
      </c>
      <c r="C57" s="175">
        <f>C56/47.5087</f>
        <v>226.87519365896179</v>
      </c>
    </row>
    <row r="58" spans="2:3" ht="12.75" customHeight="1" x14ac:dyDescent="0.3">
      <c r="B58" s="74"/>
    </row>
    <row r="59" spans="2:3" ht="12.75" customHeight="1" x14ac:dyDescent="0.3">
      <c r="B59" s="74"/>
    </row>
  </sheetData>
  <mergeCells count="7">
    <mergeCell ref="B41:I41"/>
    <mergeCell ref="B48:I48"/>
    <mergeCell ref="B1:I1"/>
    <mergeCell ref="B5:I5"/>
    <mergeCell ref="B10:I10"/>
    <mergeCell ref="B25:I25"/>
    <mergeCell ref="B32:I32"/>
  </mergeCells>
  <printOptions horizontalCentered="1"/>
  <pageMargins left="0.75" right="0.75" top="1" bottom="1" header="0.511811023622047" footer="0.511811023622047"/>
  <pageSetup orientation="landscape" horizontalDpi="300" verticalDpi="30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13A44"/>
  </sheetPr>
  <dimension ref="B1:M43"/>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ColWidth="8.6640625" defaultRowHeight="14.4" x14ac:dyDescent="0.3"/>
  <cols>
    <col min="1" max="1" width="2" customWidth="1"/>
    <col min="2" max="2" width="40" customWidth="1"/>
    <col min="3" max="7" width="13" customWidth="1"/>
    <col min="8" max="10" width="14" customWidth="1"/>
    <col min="11" max="11" width="12" customWidth="1"/>
    <col min="12" max="12" width="34" customWidth="1"/>
    <col min="13" max="13" width="13" customWidth="1"/>
  </cols>
  <sheetData>
    <row r="1" spans="2:13" ht="24" customHeight="1" x14ac:dyDescent="0.3">
      <c r="B1" s="5" t="s">
        <v>0</v>
      </c>
      <c r="C1" s="5"/>
      <c r="D1" s="5"/>
      <c r="E1" s="5"/>
      <c r="F1" s="5"/>
      <c r="G1" s="5"/>
      <c r="H1" s="5"/>
      <c r="I1" s="5"/>
      <c r="J1" s="5"/>
      <c r="K1" s="5"/>
      <c r="L1" s="5"/>
    </row>
    <row r="2" spans="2:13" ht="15" customHeight="1" x14ac:dyDescent="0.3">
      <c r="B2" s="26" t="s">
        <v>72</v>
      </c>
    </row>
    <row r="3" spans="2:13" ht="13.5" customHeight="1" x14ac:dyDescent="0.3">
      <c r="B3" s="27" t="s">
        <v>756</v>
      </c>
    </row>
    <row r="5" spans="2:13" ht="16.5" customHeight="1" x14ac:dyDescent="0.3">
      <c r="B5" s="10" t="s">
        <v>757</v>
      </c>
      <c r="C5" s="10"/>
      <c r="D5" s="10"/>
      <c r="E5" s="10"/>
      <c r="F5" s="10"/>
      <c r="G5" s="10"/>
      <c r="H5" s="10"/>
      <c r="I5" s="10"/>
      <c r="J5" s="10"/>
      <c r="K5" s="10"/>
      <c r="L5" s="10"/>
    </row>
    <row r="7" spans="2:13" ht="25.5" customHeight="1" x14ac:dyDescent="0.3">
      <c r="B7" s="28" t="s">
        <v>758</v>
      </c>
      <c r="C7" s="28" t="s">
        <v>222</v>
      </c>
      <c r="D7" s="28" t="s">
        <v>223</v>
      </c>
      <c r="E7" s="28" t="s">
        <v>224</v>
      </c>
      <c r="F7" s="28" t="s">
        <v>225</v>
      </c>
      <c r="G7" s="28" t="s">
        <v>439</v>
      </c>
      <c r="H7" s="28" t="s">
        <v>759</v>
      </c>
      <c r="I7" s="28" t="s">
        <v>241</v>
      </c>
      <c r="J7" s="28" t="s">
        <v>760</v>
      </c>
      <c r="K7" s="28" t="s">
        <v>761</v>
      </c>
      <c r="L7" s="28" t="s">
        <v>762</v>
      </c>
      <c r="M7" s="45" t="s">
        <v>723</v>
      </c>
    </row>
    <row r="8" spans="2:13" x14ac:dyDescent="0.3">
      <c r="B8" s="44" t="s">
        <v>763</v>
      </c>
      <c r="C8" s="104">
        <v>58732</v>
      </c>
      <c r="D8" s="104">
        <v>12019</v>
      </c>
      <c r="E8" s="110">
        <f>D8/C8</f>
        <v>0.20464142205271402</v>
      </c>
      <c r="F8" s="104">
        <v>9825</v>
      </c>
      <c r="G8" s="110">
        <f>F8/C8</f>
        <v>0.16728529592045221</v>
      </c>
      <c r="H8" s="104">
        <v>321724</v>
      </c>
      <c r="I8" s="130">
        <v>-8000</v>
      </c>
      <c r="J8" s="104">
        <f>H8+I8</f>
        <v>313724</v>
      </c>
      <c r="K8" s="138">
        <f>J8/C8</f>
        <v>5.341619560035415</v>
      </c>
      <c r="L8" s="80" t="s">
        <v>764</v>
      </c>
      <c r="M8" s="104">
        <v>46310</v>
      </c>
    </row>
    <row r="9" spans="2:13" x14ac:dyDescent="0.3">
      <c r="B9" s="44" t="s">
        <v>765</v>
      </c>
      <c r="C9" s="104">
        <v>46830</v>
      </c>
      <c r="D9" s="104">
        <v>6884</v>
      </c>
      <c r="E9" s="110">
        <f>D9/C9</f>
        <v>0.14699978646166986</v>
      </c>
      <c r="F9" s="104">
        <v>5268</v>
      </c>
      <c r="G9" s="110">
        <f>F9/C9</f>
        <v>0.11249199231262011</v>
      </c>
      <c r="H9" s="104">
        <v>116802</v>
      </c>
      <c r="I9" s="130">
        <v>-7500</v>
      </c>
      <c r="J9" s="104">
        <f>H9+I9</f>
        <v>109302</v>
      </c>
      <c r="K9" s="138">
        <f>J9/C9</f>
        <v>2.3340166559897502</v>
      </c>
      <c r="L9" s="80" t="s">
        <v>766</v>
      </c>
      <c r="M9" s="104">
        <v>22550</v>
      </c>
    </row>
    <row r="10" spans="2:13" x14ac:dyDescent="0.3">
      <c r="B10" s="44" t="s">
        <v>767</v>
      </c>
      <c r="C10" s="104">
        <v>24998</v>
      </c>
      <c r="D10" s="104">
        <v>6500</v>
      </c>
      <c r="E10" s="110">
        <f>D10/C10</f>
        <v>0.26002080166413311</v>
      </c>
      <c r="F10" s="104">
        <v>5773</v>
      </c>
      <c r="G10" s="110">
        <f>F10/C10</f>
        <v>0.23093847507800624</v>
      </c>
      <c r="H10" s="104">
        <v>219617</v>
      </c>
      <c r="I10" s="130">
        <v>-20000</v>
      </c>
      <c r="J10" s="104">
        <f>H10+I10</f>
        <v>199617</v>
      </c>
      <c r="K10" s="138">
        <f>J10/C10</f>
        <v>7.9853188255060408</v>
      </c>
      <c r="L10" s="80" t="s">
        <v>768</v>
      </c>
      <c r="M10" s="104">
        <v>30740</v>
      </c>
    </row>
    <row r="11" spans="2:13" x14ac:dyDescent="0.3">
      <c r="B11" s="36" t="s">
        <v>769</v>
      </c>
      <c r="C11" s="103">
        <f>'Income Statement'!Q7</f>
        <v>47270</v>
      </c>
      <c r="D11" s="103">
        <f>'Income Statement'!Q18</f>
        <v>6079</v>
      </c>
      <c r="E11" s="124">
        <f>D11/C11</f>
        <v>0.12860165009519781</v>
      </c>
      <c r="F11" s="103">
        <f>'Income Statement'!Q36</f>
        <v>3614</v>
      </c>
      <c r="G11" s="124">
        <f>F11/C11</f>
        <v>7.6454410831394121E-2</v>
      </c>
      <c r="H11" s="103">
        <f>'Debt &amp; Cost of Capital'!C50</f>
        <v>206330.28409999999</v>
      </c>
      <c r="I11" s="103">
        <f>'DCF - FCFF'!C63</f>
        <v>864.39715645118235</v>
      </c>
      <c r="J11" s="103">
        <f>H11+I11</f>
        <v>207194.68125645118</v>
      </c>
      <c r="K11" s="183">
        <f>J11/C11</f>
        <v>4.3832172891146852</v>
      </c>
      <c r="L11" s="80" t="s">
        <v>770</v>
      </c>
      <c r="M11" s="104">
        <f>'Balance Sheet'!G11</f>
        <v>11235</v>
      </c>
    </row>
    <row r="13" spans="2:13" ht="16.5" customHeight="1" x14ac:dyDescent="0.3">
      <c r="B13" s="10" t="s">
        <v>771</v>
      </c>
      <c r="C13" s="10"/>
      <c r="D13" s="10"/>
      <c r="E13" s="10"/>
      <c r="F13" s="10"/>
      <c r="G13" s="10"/>
      <c r="H13" s="10"/>
      <c r="I13" s="10"/>
      <c r="J13" s="10"/>
      <c r="K13" s="10"/>
      <c r="L13" s="10"/>
    </row>
    <row r="14" spans="2:13" ht="25.5" customHeight="1" x14ac:dyDescent="0.3">
      <c r="B14" s="28" t="s">
        <v>758</v>
      </c>
      <c r="C14" s="28" t="s">
        <v>772</v>
      </c>
      <c r="D14" s="28" t="s">
        <v>773</v>
      </c>
      <c r="E14" s="28" t="s">
        <v>774</v>
      </c>
      <c r="F14" s="28" t="s">
        <v>224</v>
      </c>
      <c r="G14" s="28" t="s">
        <v>228</v>
      </c>
    </row>
    <row r="15" spans="2:13" x14ac:dyDescent="0.3">
      <c r="B15" s="13" t="str">
        <f>B8</f>
        <v>Bajaj Auto Ltd</v>
      </c>
      <c r="C15" s="138">
        <f>J8/D8</f>
        <v>26.102337964888925</v>
      </c>
      <c r="D15" s="138">
        <f>H8/F8</f>
        <v>32.745445292620865</v>
      </c>
      <c r="E15" s="138">
        <f>K8</f>
        <v>5.341619560035415</v>
      </c>
      <c r="F15" s="110">
        <f>E8</f>
        <v>0.20464142205271402</v>
      </c>
      <c r="G15" s="110">
        <f>F8/M8</f>
        <v>0.21215720146836536</v>
      </c>
    </row>
    <row r="16" spans="2:13" x14ac:dyDescent="0.3">
      <c r="B16" s="13" t="str">
        <f>B9</f>
        <v>Hero MotoCorp Ltd</v>
      </c>
      <c r="C16" s="138">
        <f>J9/D9</f>
        <v>15.877687391051714</v>
      </c>
      <c r="D16" s="138">
        <f>H9/F9</f>
        <v>22.171981776765374</v>
      </c>
      <c r="E16" s="138">
        <f>K9</f>
        <v>2.3340166559897502</v>
      </c>
      <c r="F16" s="110">
        <f>E9</f>
        <v>0.14699978646166986</v>
      </c>
      <c r="G16" s="110">
        <f>F9/M9</f>
        <v>0.23361419068736142</v>
      </c>
    </row>
    <row r="17" spans="2:12" x14ac:dyDescent="0.3">
      <c r="B17" s="13" t="str">
        <f>B10</f>
        <v>Eicher Motors Ltd</v>
      </c>
      <c r="C17" s="138">
        <f>J10/D10</f>
        <v>30.710307692307694</v>
      </c>
      <c r="D17" s="138">
        <f>H10/F10</f>
        <v>38.042092499566948</v>
      </c>
      <c r="E17" s="138">
        <f>K10</f>
        <v>7.9853188255060408</v>
      </c>
      <c r="F17" s="110">
        <f>E10</f>
        <v>0.26002080166413311</v>
      </c>
      <c r="G17" s="110">
        <f>F10/M10</f>
        <v>0.18780091086532205</v>
      </c>
    </row>
    <row r="18" spans="2:12" x14ac:dyDescent="0.3">
      <c r="B18" s="36" t="s">
        <v>775</v>
      </c>
      <c r="C18" s="183">
        <f>AVERAGE(C15:C17)</f>
        <v>24.230111016082777</v>
      </c>
      <c r="D18" s="183">
        <f>AVERAGE(D15:D17)</f>
        <v>30.986506522984396</v>
      </c>
      <c r="E18" s="183">
        <f>AVERAGE(E15:E17)</f>
        <v>5.2203183471770691</v>
      </c>
      <c r="F18" s="124">
        <f>AVERAGE(F15:F17)</f>
        <v>0.20388733672617232</v>
      </c>
      <c r="G18" s="124">
        <f>AVERAGE(G15:G17)</f>
        <v>0.21119076767368294</v>
      </c>
    </row>
    <row r="19" spans="2:12" x14ac:dyDescent="0.3">
      <c r="B19" s="29" t="s">
        <v>776</v>
      </c>
      <c r="C19" s="184">
        <f>MEDIAN(C15:C17)</f>
        <v>26.102337964888925</v>
      </c>
      <c r="D19" s="184">
        <f>MEDIAN(D15:D17)</f>
        <v>32.745445292620865</v>
      </c>
      <c r="E19" s="184">
        <f>MEDIAN(E15:E17)</f>
        <v>5.341619560035415</v>
      </c>
      <c r="F19" s="113">
        <f>MEDIAN(F15:F17)</f>
        <v>0.20464142205271402</v>
      </c>
      <c r="G19" s="113">
        <f>MEDIAN(G15:G17)</f>
        <v>0.21215720146836536</v>
      </c>
    </row>
    <row r="20" spans="2:12" x14ac:dyDescent="0.3">
      <c r="B20" s="26" t="s">
        <v>777</v>
      </c>
      <c r="C20" s="184">
        <f>J11/D11</f>
        <v>34.083678443239215</v>
      </c>
      <c r="D20" s="184">
        <f>H11/F11</f>
        <v>57.091943580520194</v>
      </c>
      <c r="E20" s="184">
        <f>K11</f>
        <v>4.3832172891146852</v>
      </c>
      <c r="F20" s="113">
        <f>E11</f>
        <v>0.12860165009519781</v>
      </c>
      <c r="G20" s="113">
        <f>F11/M11</f>
        <v>0.32167334223408989</v>
      </c>
    </row>
    <row r="21" spans="2:12" ht="12.75" customHeight="1" x14ac:dyDescent="0.3">
      <c r="B21" s="74"/>
    </row>
    <row r="23" spans="2:12" ht="16.5" customHeight="1" x14ac:dyDescent="0.3">
      <c r="B23" s="10" t="s">
        <v>778</v>
      </c>
      <c r="C23" s="10"/>
      <c r="D23" s="10"/>
      <c r="E23" s="10"/>
      <c r="F23" s="10"/>
      <c r="G23" s="10"/>
      <c r="H23" s="10"/>
      <c r="I23" s="10"/>
      <c r="J23" s="10"/>
      <c r="K23" s="10"/>
      <c r="L23" s="10"/>
    </row>
    <row r="24" spans="2:12" ht="24" customHeight="1" x14ac:dyDescent="0.3">
      <c r="B24" s="44" t="s">
        <v>772</v>
      </c>
      <c r="C24" s="156" t="s">
        <v>779</v>
      </c>
      <c r="D24" s="31"/>
    </row>
    <row r="25" spans="2:12" ht="24" customHeight="1" x14ac:dyDescent="0.3">
      <c r="B25" s="44" t="s">
        <v>773</v>
      </c>
      <c r="C25" s="156" t="s">
        <v>780</v>
      </c>
      <c r="D25" s="31"/>
    </row>
    <row r="26" spans="2:12" ht="24" customHeight="1" x14ac:dyDescent="0.3">
      <c r="B26" s="44" t="s">
        <v>774</v>
      </c>
      <c r="C26" s="156" t="s">
        <v>781</v>
      </c>
      <c r="D26" s="31"/>
    </row>
    <row r="27" spans="2:12" ht="24" customHeight="1" x14ac:dyDescent="0.3">
      <c r="B27" s="44" t="s">
        <v>782</v>
      </c>
      <c r="C27" s="156" t="s">
        <v>783</v>
      </c>
      <c r="D27" s="31"/>
    </row>
    <row r="29" spans="2:12" ht="16.5" customHeight="1" x14ac:dyDescent="0.3">
      <c r="B29" s="10" t="s">
        <v>784</v>
      </c>
      <c r="C29" s="10"/>
      <c r="D29" s="10"/>
      <c r="E29" s="10"/>
      <c r="F29" s="10"/>
      <c r="G29" s="10"/>
      <c r="H29" s="10"/>
      <c r="I29" s="10"/>
      <c r="J29" s="10"/>
      <c r="K29" s="10"/>
      <c r="L29" s="10"/>
    </row>
    <row r="30" spans="2:12" x14ac:dyDescent="0.3">
      <c r="B30" s="32" t="s">
        <v>785</v>
      </c>
      <c r="C30" s="148">
        <f>D11</f>
        <v>6079</v>
      </c>
    </row>
    <row r="31" spans="2:12" x14ac:dyDescent="0.3">
      <c r="B31" s="32" t="s">
        <v>786</v>
      </c>
      <c r="C31" s="173">
        <f>INDEX('Control Panel'!$C$59:$C$62,MATCH('Control Panel'!$C$13,'Control Panel'!$B$59:$B$62,0))</f>
        <v>26.102337964888925</v>
      </c>
    </row>
    <row r="32" spans="2:12" x14ac:dyDescent="0.3">
      <c r="B32" s="32" t="s">
        <v>787</v>
      </c>
      <c r="C32" s="70">
        <v>0</v>
      </c>
    </row>
    <row r="33" spans="2:3" x14ac:dyDescent="0.3">
      <c r="B33" s="32" t="s">
        <v>788</v>
      </c>
      <c r="C33" s="173">
        <f>C31*(1+C32)</f>
        <v>26.102337964888925</v>
      </c>
    </row>
    <row r="34" spans="2:3" x14ac:dyDescent="0.3">
      <c r="B34" s="32" t="s">
        <v>789</v>
      </c>
      <c r="C34" s="148">
        <f>C30*C33</f>
        <v>158676.11248855977</v>
      </c>
    </row>
    <row r="35" spans="2:3" x14ac:dyDescent="0.3">
      <c r="B35" s="32" t="s">
        <v>790</v>
      </c>
      <c r="C35" s="148">
        <f>-'DCF - FCFF'!C63</f>
        <v>-864.39715645118235</v>
      </c>
    </row>
    <row r="36" spans="2:3" x14ac:dyDescent="0.3">
      <c r="B36" s="29" t="s">
        <v>791</v>
      </c>
      <c r="C36" s="185">
        <f>C34+C35</f>
        <v>157811.71533210858</v>
      </c>
    </row>
    <row r="37" spans="2:3" x14ac:dyDescent="0.3">
      <c r="B37" s="174" t="s">
        <v>792</v>
      </c>
      <c r="C37" s="175">
        <f>C36/47.5087</f>
        <v>3321.7434981826191</v>
      </c>
    </row>
    <row r="39" spans="2:3" x14ac:dyDescent="0.3">
      <c r="B39" s="13" t="s">
        <v>793</v>
      </c>
      <c r="C39" s="173">
        <f>INDEX('Control Panel'!$D$59:$D$62,MATCH('Control Panel'!$C$13,'Control Panel'!$B$59:$B$62,0))</f>
        <v>32.745445292620865</v>
      </c>
    </row>
    <row r="40" spans="2:3" x14ac:dyDescent="0.3">
      <c r="B40" s="13" t="s">
        <v>794</v>
      </c>
      <c r="C40" s="148">
        <f>F11</f>
        <v>3614</v>
      </c>
    </row>
    <row r="41" spans="2:3" x14ac:dyDescent="0.3">
      <c r="B41" s="13" t="s">
        <v>795</v>
      </c>
      <c r="C41" s="148">
        <f>C39*C40</f>
        <v>118342.03928753181</v>
      </c>
    </row>
    <row r="42" spans="2:3" x14ac:dyDescent="0.3">
      <c r="B42" s="44" t="s">
        <v>792</v>
      </c>
      <c r="C42" s="176">
        <f>C41/47.5087</f>
        <v>2490.9551153269153</v>
      </c>
    </row>
    <row r="43" spans="2:3" ht="12.75" customHeight="1" x14ac:dyDescent="0.3">
      <c r="B43" s="74"/>
    </row>
  </sheetData>
  <mergeCells count="5">
    <mergeCell ref="B1:L1"/>
    <mergeCell ref="B5:L5"/>
    <mergeCell ref="B13:L13"/>
    <mergeCell ref="B23:L23"/>
    <mergeCell ref="B29:L29"/>
  </mergeCells>
  <printOptions horizontalCentered="1"/>
  <pageMargins left="0.75" right="0.75" top="1" bottom="1" header="0.511811023622047" footer="0.511811023622047"/>
  <pageSetup orientation="landscape" horizontalDpi="300" verticalDpi="30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13A44"/>
  </sheetPr>
  <dimension ref="B1:I26"/>
  <sheetViews>
    <sheetView showGridLines="0" topLeftCell="A6" zoomScale="90" zoomScaleNormal="90" workbookViewId="0"/>
  </sheetViews>
  <sheetFormatPr defaultColWidth="8.6640625" defaultRowHeight="14.4" x14ac:dyDescent="0.3"/>
  <cols>
    <col min="1" max="1" width="2" customWidth="1"/>
    <col min="2" max="2" width="12" customWidth="1"/>
    <col min="3" max="3" width="20" customWidth="1"/>
    <col min="4" max="4" width="26" customWidth="1"/>
    <col min="5" max="5" width="10" customWidth="1"/>
    <col min="6" max="6" width="18" customWidth="1"/>
    <col min="7" max="7" width="20" customWidth="1"/>
    <col min="8" max="8" width="26" customWidth="1"/>
    <col min="9" max="9" width="44" customWidth="1"/>
  </cols>
  <sheetData>
    <row r="1" spans="2:9" ht="24" customHeight="1" x14ac:dyDescent="0.3">
      <c r="B1" s="5" t="s">
        <v>0</v>
      </c>
      <c r="C1" s="5"/>
      <c r="D1" s="5"/>
      <c r="E1" s="5"/>
      <c r="F1" s="5"/>
      <c r="G1" s="5"/>
      <c r="H1" s="5"/>
      <c r="I1" s="5"/>
    </row>
    <row r="2" spans="2:9" ht="15" customHeight="1" x14ac:dyDescent="0.3">
      <c r="B2" s="26" t="s">
        <v>72</v>
      </c>
    </row>
    <row r="3" spans="2:9" ht="13.5" customHeight="1" x14ac:dyDescent="0.3">
      <c r="B3" s="27" t="s">
        <v>796</v>
      </c>
    </row>
    <row r="5" spans="2:9" ht="16.5" customHeight="1" x14ac:dyDescent="0.3">
      <c r="B5" s="10" t="s">
        <v>797</v>
      </c>
      <c r="C5" s="10"/>
      <c r="D5" s="10"/>
      <c r="E5" s="10"/>
      <c r="F5" s="10"/>
      <c r="G5" s="10"/>
      <c r="H5" s="10"/>
      <c r="I5" s="10"/>
    </row>
    <row r="7" spans="2:9" ht="25.5" customHeight="1" x14ac:dyDescent="0.3">
      <c r="B7" s="28" t="s">
        <v>798</v>
      </c>
      <c r="C7" s="28" t="s">
        <v>799</v>
      </c>
      <c r="D7" s="28" t="s">
        <v>800</v>
      </c>
      <c r="E7" s="28" t="s">
        <v>801</v>
      </c>
      <c r="F7" s="28" t="s">
        <v>802</v>
      </c>
      <c r="G7" s="28" t="s">
        <v>803</v>
      </c>
      <c r="H7" s="28" t="s">
        <v>804</v>
      </c>
      <c r="I7" s="28" t="s">
        <v>805</v>
      </c>
    </row>
    <row r="8" spans="2:9" x14ac:dyDescent="0.3">
      <c r="B8" s="186" t="s">
        <v>806</v>
      </c>
      <c r="C8" s="186" t="s">
        <v>261</v>
      </c>
      <c r="D8" s="187" t="s">
        <v>807</v>
      </c>
      <c r="E8" s="146">
        <v>4.3900000000000002E-2</v>
      </c>
      <c r="F8" s="68">
        <v>711</v>
      </c>
      <c r="G8" s="68">
        <f>F8/E8</f>
        <v>16195.899772209566</v>
      </c>
      <c r="H8" s="61" t="s">
        <v>808</v>
      </c>
      <c r="I8" s="121" t="s">
        <v>809</v>
      </c>
    </row>
    <row r="9" spans="2:9" x14ac:dyDescent="0.3">
      <c r="B9" s="24" t="s">
        <v>810</v>
      </c>
      <c r="C9" s="24" t="s">
        <v>258</v>
      </c>
      <c r="D9" s="44" t="s">
        <v>811</v>
      </c>
      <c r="E9" s="149">
        <v>0.501</v>
      </c>
      <c r="F9" s="148">
        <v>7700</v>
      </c>
      <c r="G9" s="148">
        <f>F9/E9</f>
        <v>15369.261477045908</v>
      </c>
      <c r="H9" s="52" t="s">
        <v>812</v>
      </c>
      <c r="I9" s="31" t="s">
        <v>813</v>
      </c>
    </row>
    <row r="10" spans="2:9" x14ac:dyDescent="0.3">
      <c r="B10" s="186" t="s">
        <v>814</v>
      </c>
      <c r="C10" s="186" t="s">
        <v>815</v>
      </c>
      <c r="D10" s="187" t="s">
        <v>816</v>
      </c>
      <c r="E10" s="146">
        <v>1</v>
      </c>
      <c r="F10" s="68">
        <v>12400</v>
      </c>
      <c r="G10" s="68">
        <f>F10/E10</f>
        <v>12400</v>
      </c>
      <c r="H10" s="61" t="s">
        <v>817</v>
      </c>
      <c r="I10" s="121" t="s">
        <v>818</v>
      </c>
    </row>
    <row r="11" spans="2:9" x14ac:dyDescent="0.3">
      <c r="B11" s="24" t="s">
        <v>819</v>
      </c>
      <c r="C11" s="24" t="s">
        <v>820</v>
      </c>
      <c r="D11" s="44" t="s">
        <v>821</v>
      </c>
      <c r="E11" s="149">
        <v>1</v>
      </c>
      <c r="F11" s="148">
        <v>33500</v>
      </c>
      <c r="G11" s="148">
        <f>F11/E11</f>
        <v>33500</v>
      </c>
      <c r="H11" s="52" t="s">
        <v>822</v>
      </c>
      <c r="I11" s="31" t="s">
        <v>823</v>
      </c>
    </row>
    <row r="12" spans="2:9" x14ac:dyDescent="0.3">
      <c r="B12" s="186" t="s">
        <v>289</v>
      </c>
      <c r="C12" s="186" t="s">
        <v>824</v>
      </c>
      <c r="D12" s="187" t="s">
        <v>825</v>
      </c>
      <c r="E12" s="146">
        <v>1</v>
      </c>
      <c r="F12" s="68">
        <v>554</v>
      </c>
      <c r="G12" s="68">
        <f>F12/E12</f>
        <v>554</v>
      </c>
      <c r="H12" s="61" t="s">
        <v>826</v>
      </c>
      <c r="I12" s="121" t="s">
        <v>827</v>
      </c>
    </row>
    <row r="13" spans="2:9" x14ac:dyDescent="0.3">
      <c r="B13" s="24" t="s">
        <v>828</v>
      </c>
      <c r="C13" s="24" t="s">
        <v>259</v>
      </c>
      <c r="D13" s="44" t="s">
        <v>829</v>
      </c>
      <c r="E13" s="188" t="s">
        <v>166</v>
      </c>
      <c r="F13" s="148">
        <v>420</v>
      </c>
      <c r="G13" s="148" t="s">
        <v>166</v>
      </c>
      <c r="H13" s="52" t="s">
        <v>830</v>
      </c>
      <c r="I13" s="31" t="s">
        <v>831</v>
      </c>
    </row>
    <row r="14" spans="2:9" x14ac:dyDescent="0.3">
      <c r="B14" s="186" t="s">
        <v>832</v>
      </c>
      <c r="C14" s="186" t="s">
        <v>261</v>
      </c>
      <c r="D14" s="187" t="s">
        <v>833</v>
      </c>
      <c r="E14" s="146">
        <v>1</v>
      </c>
      <c r="F14" s="68">
        <v>153</v>
      </c>
      <c r="G14" s="68">
        <f>F14/E14</f>
        <v>153</v>
      </c>
      <c r="H14" s="61" t="s">
        <v>834</v>
      </c>
      <c r="I14" s="121" t="s">
        <v>835</v>
      </c>
    </row>
    <row r="16" spans="2:9" ht="16.5" customHeight="1" x14ac:dyDescent="0.3">
      <c r="B16" s="10" t="s">
        <v>836</v>
      </c>
      <c r="C16" s="10"/>
      <c r="D16" s="10"/>
      <c r="E16" s="10"/>
      <c r="F16" s="10"/>
      <c r="G16" s="10"/>
      <c r="H16" s="10"/>
      <c r="I16" s="10"/>
    </row>
    <row r="17" spans="2:3" x14ac:dyDescent="0.3">
      <c r="B17" s="26" t="s">
        <v>837</v>
      </c>
    </row>
    <row r="18" spans="2:3" x14ac:dyDescent="0.3">
      <c r="B18" s="13" t="s">
        <v>838</v>
      </c>
      <c r="C18" s="148">
        <f>G8</f>
        <v>16195.899772209566</v>
      </c>
    </row>
    <row r="19" spans="2:3" x14ac:dyDescent="0.3">
      <c r="B19" s="13" t="s">
        <v>745</v>
      </c>
      <c r="C19" s="173">
        <f>C18/'TVS Credit (NBFC)'!C26</f>
        <v>2.669067200430054</v>
      </c>
    </row>
    <row r="20" spans="2:3" x14ac:dyDescent="0.3">
      <c r="B20" s="13" t="s">
        <v>839</v>
      </c>
      <c r="C20" s="148">
        <f>'TVS Credit (NBFC)'!C44</f>
        <v>16195.899772209566</v>
      </c>
    </row>
    <row r="22" spans="2:3" x14ac:dyDescent="0.3">
      <c r="B22" s="26" t="s">
        <v>840</v>
      </c>
    </row>
    <row r="23" spans="2:3" ht="30" customHeight="1" x14ac:dyDescent="0.3">
      <c r="B23" s="12"/>
    </row>
    <row r="26" spans="2:3" ht="12.75" customHeight="1" x14ac:dyDescent="0.3">
      <c r="B26" s="74"/>
    </row>
  </sheetData>
  <mergeCells count="3">
    <mergeCell ref="B1:I1"/>
    <mergeCell ref="B5:I5"/>
    <mergeCell ref="B16:I16"/>
  </mergeCells>
  <printOptions horizontalCentered="1"/>
  <pageMargins left="0.75" right="0.75" top="1" bottom="1" header="0.511811023622047" footer="0.511811023622047"/>
  <pageSetup orientation="landscape" horizontalDpi="300" verticalDpi="30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13A44"/>
  </sheetPr>
  <dimension ref="B1:E36"/>
  <sheetViews>
    <sheetView showGridLines="0" zoomScale="90" zoomScaleNormal="90" workbookViewId="0"/>
  </sheetViews>
  <sheetFormatPr defaultColWidth="8.6640625" defaultRowHeight="14.4" x14ac:dyDescent="0.3"/>
  <cols>
    <col min="1" max="1" width="2" customWidth="1"/>
    <col min="2" max="2" width="62" customWidth="1"/>
    <col min="3" max="3" width="16" customWidth="1"/>
    <col min="4" max="4" width="3" customWidth="1"/>
    <col min="5" max="5" width="62" customWidth="1"/>
  </cols>
  <sheetData>
    <row r="1" spans="2:5" ht="24" customHeight="1" x14ac:dyDescent="0.3">
      <c r="B1" s="5" t="s">
        <v>0</v>
      </c>
      <c r="C1" s="5"/>
      <c r="D1" s="5"/>
      <c r="E1" s="5"/>
    </row>
    <row r="2" spans="2:5" ht="15" customHeight="1" x14ac:dyDescent="0.3">
      <c r="B2" s="26" t="s">
        <v>72</v>
      </c>
    </row>
    <row r="3" spans="2:5" ht="13.5" customHeight="1" x14ac:dyDescent="0.3">
      <c r="B3" s="27" t="s">
        <v>841</v>
      </c>
    </row>
    <row r="5" spans="2:5" ht="16.5" customHeight="1" x14ac:dyDescent="0.3">
      <c r="B5" s="10" t="s">
        <v>842</v>
      </c>
      <c r="C5" s="10"/>
      <c r="D5" s="10"/>
      <c r="E5" s="10"/>
    </row>
    <row r="6" spans="2:5" x14ac:dyDescent="0.3">
      <c r="B6" s="32" t="s">
        <v>464</v>
      </c>
      <c r="C6" s="148">
        <f>'Balance Sheet'!G8</f>
        <v>48</v>
      </c>
    </row>
    <row r="7" spans="2:5" x14ac:dyDescent="0.3">
      <c r="B7" s="32" t="s">
        <v>465</v>
      </c>
      <c r="C7" s="148">
        <f>'Balance Sheet'!G9</f>
        <v>11187</v>
      </c>
    </row>
    <row r="8" spans="2:5" x14ac:dyDescent="0.3">
      <c r="B8" s="36" t="s">
        <v>843</v>
      </c>
      <c r="C8" s="151">
        <f>C6+C7</f>
        <v>11235</v>
      </c>
    </row>
    <row r="9" spans="2:5" x14ac:dyDescent="0.3">
      <c r="B9" s="32" t="s">
        <v>588</v>
      </c>
      <c r="C9" s="159">
        <v>47.508699999999997</v>
      </c>
    </row>
    <row r="10" spans="2:5" x14ac:dyDescent="0.3">
      <c r="B10" s="29" t="s">
        <v>844</v>
      </c>
      <c r="C10" s="176">
        <f>C8/C9</f>
        <v>236.4830020606752</v>
      </c>
    </row>
    <row r="12" spans="2:5" ht="16.5" customHeight="1" x14ac:dyDescent="0.3">
      <c r="B12" s="10" t="s">
        <v>845</v>
      </c>
      <c r="C12" s="10"/>
      <c r="D12" s="10"/>
      <c r="E12" s="10"/>
    </row>
    <row r="13" spans="2:5" ht="25.5" customHeight="1" x14ac:dyDescent="0.3">
      <c r="B13" s="28"/>
      <c r="C13" s="28" t="s">
        <v>846</v>
      </c>
      <c r="E13" s="28" t="s">
        <v>847</v>
      </c>
    </row>
    <row r="14" spans="2:5" x14ac:dyDescent="0.3">
      <c r="B14" s="13" t="s">
        <v>848</v>
      </c>
      <c r="C14" s="148">
        <f>C8</f>
        <v>11235</v>
      </c>
      <c r="E14" s="52" t="s">
        <v>849</v>
      </c>
    </row>
    <row r="15" spans="2:5" x14ac:dyDescent="0.3">
      <c r="B15" s="13" t="s">
        <v>850</v>
      </c>
      <c r="C15" s="148">
        <f>-'Balance Sheet'!G23</f>
        <v>-10650</v>
      </c>
      <c r="E15" s="52" t="s">
        <v>851</v>
      </c>
    </row>
    <row r="16" spans="2:5" x14ac:dyDescent="0.3">
      <c r="B16" s="13" t="s">
        <v>852</v>
      </c>
      <c r="C16" s="148">
        <f>'TVS Credit (NBFC)'!C56</f>
        <v>10778.545512985518</v>
      </c>
      <c r="E16" s="52" t="s">
        <v>853</v>
      </c>
    </row>
    <row r="17" spans="2:5" x14ac:dyDescent="0.3">
      <c r="B17" s="13" t="s">
        <v>854</v>
      </c>
      <c r="C17" s="148">
        <f>'SOTP &amp; Football Field'!C15</f>
        <v>3700</v>
      </c>
      <c r="E17" s="52" t="s">
        <v>855</v>
      </c>
    </row>
    <row r="18" spans="2:5" x14ac:dyDescent="0.3">
      <c r="B18" s="13" t="s">
        <v>856</v>
      </c>
      <c r="C18" s="72">
        <v>2800</v>
      </c>
      <c r="E18" s="52" t="s">
        <v>857</v>
      </c>
    </row>
    <row r="19" spans="2:5" x14ac:dyDescent="0.3">
      <c r="B19" s="13" t="s">
        <v>858</v>
      </c>
      <c r="C19" s="148">
        <f>-0.1*'Balance Sheet'!G26</f>
        <v>-157.63424657534247</v>
      </c>
      <c r="E19" s="52" t="s">
        <v>859</v>
      </c>
    </row>
    <row r="20" spans="2:5" x14ac:dyDescent="0.3">
      <c r="B20" s="13" t="s">
        <v>860</v>
      </c>
      <c r="C20" s="148">
        <f>-0.05*'Balance Sheet'!G28</f>
        <v>-103.60547945205481</v>
      </c>
      <c r="E20" s="52" t="s">
        <v>861</v>
      </c>
    </row>
    <row r="21" spans="2:5" x14ac:dyDescent="0.3">
      <c r="B21" s="13" t="s">
        <v>862</v>
      </c>
      <c r="C21" s="72">
        <v>-450</v>
      </c>
      <c r="E21" s="52" t="s">
        <v>863</v>
      </c>
    </row>
    <row r="22" spans="2:5" x14ac:dyDescent="0.3">
      <c r="B22" s="36" t="s">
        <v>864</v>
      </c>
      <c r="C22" s="151">
        <f>SUM(C14:C21)</f>
        <v>17152.305786958121</v>
      </c>
    </row>
    <row r="23" spans="2:5" x14ac:dyDescent="0.3">
      <c r="B23" s="174" t="s">
        <v>865</v>
      </c>
      <c r="C23" s="175">
        <f>C22/C9</f>
        <v>361.03504804295051</v>
      </c>
    </row>
    <row r="25" spans="2:5" ht="16.5" customHeight="1" x14ac:dyDescent="0.3">
      <c r="B25" s="10" t="s">
        <v>866</v>
      </c>
      <c r="C25" s="10"/>
      <c r="D25" s="10"/>
      <c r="E25" s="10"/>
    </row>
    <row r="26" spans="2:5" x14ac:dyDescent="0.3">
      <c r="B26" s="13" t="s">
        <v>326</v>
      </c>
      <c r="C26" s="129">
        <f>'Revenue Segments'!Q67</f>
        <v>6600000</v>
      </c>
    </row>
    <row r="27" spans="2:5" x14ac:dyDescent="0.3">
      <c r="B27" s="13" t="s">
        <v>867</v>
      </c>
      <c r="C27" s="180">
        <v>8500</v>
      </c>
    </row>
    <row r="28" spans="2:5" x14ac:dyDescent="0.3">
      <c r="B28" s="13" t="s">
        <v>868</v>
      </c>
      <c r="C28" s="148">
        <f>C26*C27/10000000</f>
        <v>5610</v>
      </c>
    </row>
    <row r="29" spans="2:5" x14ac:dyDescent="0.3">
      <c r="B29" s="13" t="s">
        <v>869</v>
      </c>
      <c r="C29" s="72">
        <v>18000</v>
      </c>
    </row>
    <row r="30" spans="2:5" x14ac:dyDescent="0.3">
      <c r="B30" s="13" t="s">
        <v>870</v>
      </c>
      <c r="C30" s="148">
        <f>'Balance Sheet'!G40</f>
        <v>-4696.8904109589039</v>
      </c>
    </row>
    <row r="31" spans="2:5" x14ac:dyDescent="0.3">
      <c r="B31" s="13" t="s">
        <v>871</v>
      </c>
      <c r="C31" s="148">
        <f>-'Balance Sheet'!G13</f>
        <v>-3733</v>
      </c>
    </row>
    <row r="32" spans="2:5" x14ac:dyDescent="0.3">
      <c r="B32" s="36" t="s">
        <v>872</v>
      </c>
      <c r="C32" s="151">
        <f>SUM(C28:C31)</f>
        <v>15180.109589041094</v>
      </c>
    </row>
    <row r="33" spans="2:5" x14ac:dyDescent="0.3">
      <c r="B33" s="44" t="s">
        <v>792</v>
      </c>
      <c r="C33" s="176">
        <f>C32/C9</f>
        <v>319.52273139532537</v>
      </c>
    </row>
    <row r="35" spans="2:5" ht="16.5" customHeight="1" x14ac:dyDescent="0.3">
      <c r="B35" s="10" t="s">
        <v>873</v>
      </c>
      <c r="C35" s="10"/>
      <c r="D35" s="10"/>
      <c r="E35" s="10"/>
    </row>
    <row r="36" spans="2:5" ht="33.75" customHeight="1" x14ac:dyDescent="0.3">
      <c r="B36" s="12"/>
    </row>
  </sheetData>
  <mergeCells count="5">
    <mergeCell ref="B1:E1"/>
    <mergeCell ref="B5:E5"/>
    <mergeCell ref="B12:E12"/>
    <mergeCell ref="B25:E25"/>
    <mergeCell ref="B35:E35"/>
  </mergeCells>
  <printOptions horizontalCentered="1"/>
  <pageMargins left="0.75" right="0.75" top="1" bottom="1" header="0.511811023622047" footer="0.511811023622047"/>
  <pageSetup orientation="landscape" horizontalDpi="300" verticalDpi="30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13A44"/>
  </sheetPr>
  <dimension ref="B1:H75"/>
  <sheetViews>
    <sheetView showGridLines="0" zoomScale="90" zoomScaleNormal="90" workbookViewId="0">
      <pane xSplit="2" ySplit="6" topLeftCell="C7" activePane="bottomRight" state="frozen"/>
      <selection pane="topRight" activeCell="C1" sqref="C1"/>
      <selection pane="bottomLeft" activeCell="A7" sqref="A7"/>
      <selection pane="bottomRight" activeCell="J15" sqref="J15"/>
    </sheetView>
  </sheetViews>
  <sheetFormatPr defaultColWidth="8.6640625" defaultRowHeight="14.4" x14ac:dyDescent="0.3"/>
  <cols>
    <col min="1" max="1" width="2" customWidth="1"/>
    <col min="2" max="2" width="46" customWidth="1"/>
    <col min="3" max="3" width="15" customWidth="1"/>
    <col min="4" max="4" width="14" customWidth="1"/>
    <col min="5" max="6" width="12" customWidth="1"/>
    <col min="7" max="8" width="2" customWidth="1"/>
    <col min="9" max="11" width="12" customWidth="1"/>
  </cols>
  <sheetData>
    <row r="1" spans="2:8" ht="24" customHeight="1" x14ac:dyDescent="0.3">
      <c r="B1" s="5" t="s">
        <v>0</v>
      </c>
      <c r="C1" s="5"/>
      <c r="D1" s="5"/>
      <c r="E1" s="5"/>
      <c r="F1" s="5"/>
      <c r="G1" s="5"/>
      <c r="H1" s="5"/>
    </row>
    <row r="2" spans="2:8" ht="15" customHeight="1" x14ac:dyDescent="0.3">
      <c r="B2" s="26" t="s">
        <v>72</v>
      </c>
    </row>
    <row r="3" spans="2:8" ht="13.5" customHeight="1" x14ac:dyDescent="0.3">
      <c r="B3" s="27" t="s">
        <v>874</v>
      </c>
    </row>
    <row r="5" spans="2:8" ht="16.5" customHeight="1" x14ac:dyDescent="0.3">
      <c r="B5" s="10" t="s">
        <v>875</v>
      </c>
      <c r="C5" s="10"/>
      <c r="D5" s="10"/>
      <c r="E5" s="10"/>
      <c r="F5" s="10"/>
      <c r="G5" s="10"/>
      <c r="H5" s="10"/>
    </row>
    <row r="6" spans="2:8" ht="25.5" customHeight="1" x14ac:dyDescent="0.3">
      <c r="B6" s="28"/>
      <c r="C6" s="28" t="s">
        <v>134</v>
      </c>
      <c r="D6" s="28" t="s">
        <v>792</v>
      </c>
      <c r="E6" s="28" t="s">
        <v>876</v>
      </c>
      <c r="H6" s="56"/>
    </row>
    <row r="7" spans="2:8" x14ac:dyDescent="0.3">
      <c r="B7" s="29" t="s">
        <v>877</v>
      </c>
      <c r="C7" s="47">
        <f>'DCF - FCFF'!C70</f>
        <v>85187.67662775144</v>
      </c>
      <c r="H7" s="52"/>
    </row>
    <row r="8" spans="2:8" x14ac:dyDescent="0.3">
      <c r="B8" s="93" t="s">
        <v>878</v>
      </c>
      <c r="C8" s="47">
        <f>-'DCF - FCFF'!C63</f>
        <v>-864.39715645118235</v>
      </c>
      <c r="H8" s="52"/>
    </row>
    <row r="11" spans="2:8" x14ac:dyDescent="0.3">
      <c r="B11" s="36" t="s">
        <v>879</v>
      </c>
      <c r="C11" s="151">
        <f>C7+C8</f>
        <v>84323.279471300251</v>
      </c>
      <c r="D11" s="151">
        <f>C11/$C$23</f>
        <v>1774.9018489518817</v>
      </c>
      <c r="E11" s="122">
        <f>C11/$C$22</f>
        <v>0.85345872391235378</v>
      </c>
    </row>
    <row r="13" spans="2:8" x14ac:dyDescent="0.3">
      <c r="B13" s="29" t="s">
        <v>880</v>
      </c>
      <c r="C13" s="189">
        <f>'TVS Credit (NBFC)'!C56</f>
        <v>10778.545512985518</v>
      </c>
      <c r="D13" s="176">
        <f>C13/$C$23</f>
        <v>226.87519365896179</v>
      </c>
      <c r="E13" s="66">
        <f>C13/$C$22</f>
        <v>0.1090925751088082</v>
      </c>
      <c r="H13" s="52"/>
    </row>
    <row r="15" spans="2:8" x14ac:dyDescent="0.3">
      <c r="B15" s="29" t="s">
        <v>881</v>
      </c>
      <c r="C15" s="176">
        <f>SUM(C16:C20)</f>
        <v>3700</v>
      </c>
      <c r="D15" s="176">
        <f>C15/$C$23</f>
        <v>77.880472418735934</v>
      </c>
      <c r="E15" s="66">
        <f>C15/$C$22</f>
        <v>3.7448700978837964E-2</v>
      </c>
    </row>
    <row r="16" spans="2:8" x14ac:dyDescent="0.3">
      <c r="B16" s="190" t="s">
        <v>833</v>
      </c>
      <c r="C16" s="72">
        <v>900</v>
      </c>
      <c r="H16" s="52"/>
    </row>
    <row r="17" spans="2:8" x14ac:dyDescent="0.3">
      <c r="B17" s="190" t="s">
        <v>882</v>
      </c>
      <c r="C17" s="72">
        <v>850</v>
      </c>
      <c r="H17" s="52"/>
    </row>
    <row r="18" spans="2:8" x14ac:dyDescent="0.3">
      <c r="B18" s="190" t="s">
        <v>883</v>
      </c>
      <c r="C18" s="72">
        <v>700</v>
      </c>
      <c r="H18" s="52"/>
    </row>
    <row r="19" spans="2:8" x14ac:dyDescent="0.3">
      <c r="B19" s="190" t="s">
        <v>884</v>
      </c>
      <c r="C19" s="72">
        <v>450</v>
      </c>
      <c r="H19" s="52"/>
    </row>
    <row r="20" spans="2:8" x14ac:dyDescent="0.3">
      <c r="B20" s="190" t="s">
        <v>885</v>
      </c>
      <c r="C20" s="72">
        <v>800</v>
      </c>
      <c r="H20" s="52"/>
    </row>
    <row r="22" spans="2:8" x14ac:dyDescent="0.3">
      <c r="B22" s="36" t="s">
        <v>886</v>
      </c>
      <c r="C22" s="151">
        <f>C11+C13+C15</f>
        <v>98801.824984285777</v>
      </c>
      <c r="D22" s="151">
        <f>C22/$C$23</f>
        <v>2079.6575150295794</v>
      </c>
      <c r="E22" s="122">
        <f>C22/$C$22</f>
        <v>1</v>
      </c>
    </row>
    <row r="23" spans="2:8" x14ac:dyDescent="0.3">
      <c r="B23" s="52" t="s">
        <v>588</v>
      </c>
      <c r="C23" s="171">
        <v>47.508699999999997</v>
      </c>
    </row>
    <row r="24" spans="2:8" x14ac:dyDescent="0.3">
      <c r="B24" s="174" t="s">
        <v>887</v>
      </c>
      <c r="C24" s="175">
        <f>C22/C23</f>
        <v>2079.6575150295794</v>
      </c>
    </row>
    <row r="25" spans="2:8" ht="12.75" customHeight="1" x14ac:dyDescent="0.3">
      <c r="B25" s="74"/>
    </row>
    <row r="27" spans="2:8" ht="16.5" customHeight="1" x14ac:dyDescent="0.3">
      <c r="B27" s="10" t="s">
        <v>888</v>
      </c>
      <c r="C27" s="10"/>
      <c r="D27" s="10"/>
      <c r="E27" s="10"/>
      <c r="F27" s="10"/>
      <c r="G27" s="10"/>
      <c r="H27" s="10"/>
    </row>
    <row r="28" spans="2:8" ht="25.5" customHeight="1" x14ac:dyDescent="0.3">
      <c r="B28" s="28"/>
      <c r="C28" s="28" t="s">
        <v>152</v>
      </c>
      <c r="D28" s="28" t="s">
        <v>79</v>
      </c>
      <c r="E28" s="28" t="s">
        <v>153</v>
      </c>
      <c r="F28" s="28" t="s">
        <v>889</v>
      </c>
      <c r="H28" s="56"/>
    </row>
    <row r="29" spans="2:8" x14ac:dyDescent="0.3">
      <c r="B29" s="118" t="s">
        <v>890</v>
      </c>
      <c r="C29" s="68">
        <f>$C$24*0.86</f>
        <v>1788.5054629254382</v>
      </c>
      <c r="D29" s="191">
        <f>$C$24</f>
        <v>2079.6575150295794</v>
      </c>
      <c r="E29" s="68">
        <f>$C$24*1.18</f>
        <v>2453.9958677349036</v>
      </c>
      <c r="F29" s="192">
        <f t="shared" ref="F29:F35" si="0">E29-C29</f>
        <v>665.49040480946542</v>
      </c>
      <c r="G29" s="60"/>
      <c r="H29" s="61"/>
    </row>
    <row r="30" spans="2:8" x14ac:dyDescent="0.3">
      <c r="B30" s="13" t="s">
        <v>891</v>
      </c>
      <c r="C30" s="148">
        <f>('DCF - FCFE &amp; DDM'!C26+'TVS Credit (NBFC)'!C57+$C$15/$C$23)*0.9</f>
        <v>1818.923558156996</v>
      </c>
      <c r="D30" s="176">
        <f>'DCF - FCFE &amp; DDM'!C26+'TVS Credit (NBFC)'!C57+$C$15/$C$23</f>
        <v>2021.0261757299954</v>
      </c>
      <c r="E30" s="148">
        <f>('DCF - FCFE &amp; DDM'!C26+'TVS Credit (NBFC)'!C57+$C$15/$C$23)*1.12</f>
        <v>2263.5493168175949</v>
      </c>
      <c r="F30" s="193">
        <f t="shared" si="0"/>
        <v>444.62575866059888</v>
      </c>
      <c r="H30" s="52"/>
    </row>
    <row r="31" spans="2:8" x14ac:dyDescent="0.3">
      <c r="B31" s="118" t="s">
        <v>892</v>
      </c>
      <c r="C31" s="68">
        <f>('Peer Comps'!C37+'TVS Credit (NBFC)'!C57+$C$15/$C$23)*0.85</f>
        <v>3082.524289621269</v>
      </c>
      <c r="D31" s="191">
        <f>'Peer Comps'!C37+'TVS Credit (NBFC)'!C57+$C$15/$C$23</f>
        <v>3626.4991642603168</v>
      </c>
      <c r="E31" s="68">
        <f>('Peer Comps'!C37+'TVS Credit (NBFC)'!C57+$C$15/$C$23)*1.2</f>
        <v>4351.7989971123798</v>
      </c>
      <c r="F31" s="192">
        <f t="shared" si="0"/>
        <v>1269.2747074911108</v>
      </c>
      <c r="G31" s="60"/>
      <c r="H31" s="61"/>
    </row>
    <row r="32" spans="2:8" x14ac:dyDescent="0.3">
      <c r="B32" s="13" t="s">
        <v>893</v>
      </c>
      <c r="C32" s="148">
        <f>('Peer Comps'!C42+'TVS Credit (NBFC)'!C57+$C$15/$C$23)*0.85</f>
        <v>2376.354164193921</v>
      </c>
      <c r="D32" s="176">
        <f>'Peer Comps'!C42+'TVS Credit (NBFC)'!C57+$C$15/$C$23</f>
        <v>2795.710781404613</v>
      </c>
      <c r="E32" s="148">
        <f>('Peer Comps'!C42+'TVS Credit (NBFC)'!C57+$C$15/$C$23)*1.2</f>
        <v>3354.8529376855354</v>
      </c>
      <c r="F32" s="193">
        <f t="shared" si="0"/>
        <v>978.49877349161443</v>
      </c>
      <c r="H32" s="52"/>
    </row>
    <row r="33" spans="2:8" x14ac:dyDescent="0.3">
      <c r="B33" s="118" t="s">
        <v>894</v>
      </c>
      <c r="C33" s="68">
        <f>('DCF - FCFF'!C75+'Precedent Transactions'!G8*'TVS Credit (NBFC)'!C55/$C$23*0.85+$C$15/$C$23)</f>
        <v>2099.520021152573</v>
      </c>
      <c r="D33" s="191">
        <f>('DCF - FCFF'!C75+'Precedent Transactions'!G8*'TVS Credit (NBFC)'!C55/$C$23+$C$15/$C$23)</f>
        <v>2143.0619681729177</v>
      </c>
      <c r="E33" s="68">
        <f>('DCF - FCFF'!C75+'Precedent Transactions'!G8*'TVS Credit (NBFC)'!C55/$C$23*1.15+$C$15/$C$23)</f>
        <v>2186.6039151932628</v>
      </c>
      <c r="F33" s="192">
        <f t="shared" si="0"/>
        <v>87.083894040689756</v>
      </c>
      <c r="G33" s="60"/>
      <c r="H33" s="61"/>
    </row>
    <row r="34" spans="2:8" x14ac:dyDescent="0.3">
      <c r="B34" s="13" t="s">
        <v>895</v>
      </c>
      <c r="C34" s="148">
        <f>'Asset-Based Valuation'!C23*0.9</f>
        <v>324.93154323865548</v>
      </c>
      <c r="D34" s="176">
        <f>'Asset-Based Valuation'!C23</f>
        <v>361.03504804295051</v>
      </c>
      <c r="E34" s="148">
        <f>'Asset-Based Valuation'!C23*1.15</f>
        <v>415.19030524939308</v>
      </c>
      <c r="F34" s="193">
        <f t="shared" si="0"/>
        <v>90.258762010737598</v>
      </c>
      <c r="H34" s="52"/>
    </row>
    <row r="35" spans="2:8" x14ac:dyDescent="0.3">
      <c r="B35" s="118" t="s">
        <v>896</v>
      </c>
      <c r="C35" s="68">
        <f>'DCF - FCFE &amp; DDM'!C46*0.85</f>
        <v>206.45731071019054</v>
      </c>
      <c r="D35" s="191">
        <f>'DCF - FCFE &amp; DDM'!C46</f>
        <v>242.89095377669474</v>
      </c>
      <c r="E35" s="68">
        <f>'DCF - FCFE &amp; DDM'!C46*1.15</f>
        <v>279.32459684319895</v>
      </c>
      <c r="F35" s="192">
        <f t="shared" si="0"/>
        <v>72.867286133008406</v>
      </c>
      <c r="G35" s="60"/>
      <c r="H35" s="61"/>
    </row>
    <row r="37" spans="2:8" x14ac:dyDescent="0.3">
      <c r="B37" s="194" t="s">
        <v>897</v>
      </c>
      <c r="D37" s="195">
        <f>'Debt &amp; Cost of Capital'!C48</f>
        <v>4343</v>
      </c>
    </row>
    <row r="39" spans="2:8" ht="16.5" customHeight="1" x14ac:dyDescent="0.3">
      <c r="B39" s="10" t="s">
        <v>898</v>
      </c>
      <c r="C39" s="10"/>
      <c r="D39" s="10"/>
      <c r="E39" s="10"/>
      <c r="F39" s="10"/>
      <c r="G39" s="10"/>
      <c r="H39" s="10"/>
    </row>
    <row r="40" spans="2:8" ht="25.5" customHeight="1" x14ac:dyDescent="0.3">
      <c r="B40" s="28"/>
      <c r="C40" s="28" t="s">
        <v>899</v>
      </c>
      <c r="D40" s="28" t="s">
        <v>900</v>
      </c>
      <c r="E40" s="28" t="s">
        <v>901</v>
      </c>
      <c r="H40" s="56"/>
    </row>
    <row r="41" spans="2:8" x14ac:dyDescent="0.3">
      <c r="B41" s="13" t="s">
        <v>890</v>
      </c>
      <c r="C41" s="148">
        <f t="shared" ref="C41:C47" si="1">D29</f>
        <v>2079.6575150295794</v>
      </c>
      <c r="D41" s="70">
        <f>INDEX('Control Panel'!$C$65:$I$67,MATCH('Control Panel'!$C$14,'Control Panel'!$B$65:$B$67,0),1)</f>
        <v>0.4</v>
      </c>
      <c r="E41" s="148">
        <f t="shared" ref="E41:E47" si="2">C41*D41</f>
        <v>831.86300601183177</v>
      </c>
      <c r="H41" s="52"/>
    </row>
    <row r="42" spans="2:8" x14ac:dyDescent="0.3">
      <c r="B42" s="13" t="s">
        <v>891</v>
      </c>
      <c r="C42" s="148">
        <f t="shared" si="1"/>
        <v>2021.0261757299954</v>
      </c>
      <c r="D42" s="70">
        <f>INDEX('Control Panel'!$C$65:$I$67,MATCH('Control Panel'!$C$14,'Control Panel'!$B$65:$B$67,0),2)</f>
        <v>0.1</v>
      </c>
      <c r="E42" s="148">
        <f t="shared" si="2"/>
        <v>202.10261757299955</v>
      </c>
      <c r="H42" s="52"/>
    </row>
    <row r="43" spans="2:8" x14ac:dyDescent="0.3">
      <c r="B43" s="13" t="s">
        <v>892</v>
      </c>
      <c r="C43" s="148">
        <f t="shared" si="1"/>
        <v>3626.4991642603168</v>
      </c>
      <c r="D43" s="70">
        <f>INDEX('Control Panel'!$C$65:$I$67,MATCH('Control Panel'!$C$14,'Control Panel'!$B$65:$B$67,0),3)</f>
        <v>0.3</v>
      </c>
      <c r="E43" s="148">
        <f t="shared" si="2"/>
        <v>1087.9497492780949</v>
      </c>
      <c r="H43" s="52"/>
    </row>
    <row r="44" spans="2:8" x14ac:dyDescent="0.3">
      <c r="B44" s="13" t="s">
        <v>893</v>
      </c>
      <c r="C44" s="148">
        <f t="shared" si="1"/>
        <v>2795.710781404613</v>
      </c>
      <c r="D44" s="70">
        <f>INDEX('Control Panel'!$C$65:$I$67,MATCH('Control Panel'!$C$14,'Control Panel'!$B$65:$B$67,0),4)</f>
        <v>0.1</v>
      </c>
      <c r="E44" s="148">
        <f t="shared" si="2"/>
        <v>279.57107814046134</v>
      </c>
      <c r="H44" s="52"/>
    </row>
    <row r="45" spans="2:8" x14ac:dyDescent="0.3">
      <c r="B45" s="13" t="s">
        <v>894</v>
      </c>
      <c r="C45" s="148">
        <f t="shared" si="1"/>
        <v>2143.0619681729177</v>
      </c>
      <c r="D45" s="70">
        <f>INDEX('Control Panel'!$C$65:$I$67,MATCH('Control Panel'!$C$14,'Control Panel'!$B$65:$B$67,0),5)</f>
        <v>0.1</v>
      </c>
      <c r="E45" s="148">
        <f t="shared" si="2"/>
        <v>214.30619681729178</v>
      </c>
      <c r="H45" s="52"/>
    </row>
    <row r="46" spans="2:8" x14ac:dyDescent="0.3">
      <c r="B46" s="13" t="s">
        <v>895</v>
      </c>
      <c r="C46" s="148">
        <f t="shared" si="1"/>
        <v>361.03504804295051</v>
      </c>
      <c r="D46" s="70">
        <f>INDEX('Control Panel'!$C$65:$I$67,MATCH('Control Panel'!$C$14,'Control Panel'!$B$65:$B$67,0),6)</f>
        <v>0</v>
      </c>
      <c r="E46" s="148">
        <f t="shared" si="2"/>
        <v>0</v>
      </c>
      <c r="H46" s="52"/>
    </row>
    <row r="47" spans="2:8" x14ac:dyDescent="0.3">
      <c r="B47" s="13" t="s">
        <v>896</v>
      </c>
      <c r="C47" s="148">
        <f t="shared" si="1"/>
        <v>242.89095377669474</v>
      </c>
      <c r="D47" s="70">
        <f>INDEX('Control Panel'!$C$65:$I$67,MATCH('Control Panel'!$C$14,'Control Panel'!$B$65:$B$67,0),7)</f>
        <v>0</v>
      </c>
      <c r="E47" s="148">
        <f t="shared" si="2"/>
        <v>0</v>
      </c>
      <c r="H47" s="52"/>
    </row>
    <row r="48" spans="2:8" x14ac:dyDescent="0.3">
      <c r="B48" s="36" t="s">
        <v>902</v>
      </c>
      <c r="C48" s="196"/>
      <c r="D48" s="122">
        <f>SUM(D41:D47)</f>
        <v>1</v>
      </c>
      <c r="E48" s="196"/>
    </row>
    <row r="50" spans="2:8" x14ac:dyDescent="0.3">
      <c r="B50" s="174" t="s">
        <v>110</v>
      </c>
      <c r="C50" s="175">
        <f>SUM(E41:E47)</f>
        <v>2615.7926478206796</v>
      </c>
    </row>
    <row r="51" spans="2:8" x14ac:dyDescent="0.3">
      <c r="B51" s="32" t="s">
        <v>111</v>
      </c>
      <c r="C51" s="148">
        <f>'Debt &amp; Cost of Capital'!C48</f>
        <v>4343</v>
      </c>
    </row>
    <row r="52" spans="2:8" x14ac:dyDescent="0.3">
      <c r="B52" s="29" t="s">
        <v>903</v>
      </c>
      <c r="C52" s="197">
        <f>C50/C51-1</f>
        <v>-0.39769913704336179</v>
      </c>
    </row>
    <row r="53" spans="2:8" x14ac:dyDescent="0.3">
      <c r="B53" s="29" t="s">
        <v>113</v>
      </c>
      <c r="C53" s="198" t="str">
        <f>IF(C52&gt;0.15,"BUY",IF(C52&gt;-0.1,"HOLD","SELL"))</f>
        <v>SELL</v>
      </c>
    </row>
    <row r="55" spans="2:8" ht="16.5" customHeight="1" x14ac:dyDescent="0.3">
      <c r="B55" s="10" t="s">
        <v>904</v>
      </c>
      <c r="C55" s="10"/>
      <c r="D55" s="10"/>
      <c r="E55" s="10"/>
      <c r="F55" s="10"/>
      <c r="G55" s="10"/>
      <c r="H55" s="10"/>
    </row>
    <row r="56" spans="2:8" ht="33.75" customHeight="1" x14ac:dyDescent="0.3">
      <c r="B56" s="12"/>
    </row>
    <row r="62" spans="2:8" x14ac:dyDescent="0.3">
      <c r="B62" s="51" t="s">
        <v>905</v>
      </c>
    </row>
    <row r="63" spans="2:8" ht="25.5" customHeight="1" x14ac:dyDescent="0.3">
      <c r="B63" s="28" t="s">
        <v>266</v>
      </c>
      <c r="C63" s="28" t="s">
        <v>267</v>
      </c>
      <c r="D63" s="28" t="s">
        <v>268</v>
      </c>
      <c r="E63" s="28" t="s">
        <v>269</v>
      </c>
      <c r="F63" s="28" t="s">
        <v>270</v>
      </c>
    </row>
    <row r="64" spans="2:8" x14ac:dyDescent="0.3">
      <c r="B64" s="24" t="s">
        <v>20</v>
      </c>
      <c r="C64" s="104">
        <f t="shared" ref="C64:C70" si="3">C29</f>
        <v>1788.5054629254382</v>
      </c>
      <c r="D64" s="104">
        <f t="shared" ref="D64:D70" si="4">E29-C29</f>
        <v>665.49040480946542</v>
      </c>
      <c r="E64" s="104">
        <f>'Debt &amp; Cost of Capital'!$C$48</f>
        <v>4343</v>
      </c>
      <c r="F64" s="104">
        <f t="shared" ref="F64:F70" si="5">$C$50</f>
        <v>2615.7926478206796</v>
      </c>
    </row>
    <row r="65" spans="2:6" x14ac:dyDescent="0.3">
      <c r="B65" s="24" t="s">
        <v>906</v>
      </c>
      <c r="C65" s="104">
        <f t="shared" si="3"/>
        <v>1818.923558156996</v>
      </c>
      <c r="D65" s="104">
        <f t="shared" si="4"/>
        <v>444.62575866059888</v>
      </c>
      <c r="E65" s="104">
        <f>'Debt &amp; Cost of Capital'!$C$48</f>
        <v>4343</v>
      </c>
      <c r="F65" s="104">
        <f t="shared" si="5"/>
        <v>2615.7926478206796</v>
      </c>
    </row>
    <row r="66" spans="2:6" x14ac:dyDescent="0.3">
      <c r="B66" s="24" t="s">
        <v>138</v>
      </c>
      <c r="C66" s="104">
        <f t="shared" si="3"/>
        <v>3082.524289621269</v>
      </c>
      <c r="D66" s="104">
        <f t="shared" si="4"/>
        <v>1269.2747074911108</v>
      </c>
      <c r="E66" s="104">
        <f>'Debt &amp; Cost of Capital'!$C$48</f>
        <v>4343</v>
      </c>
      <c r="F66" s="104">
        <f t="shared" si="5"/>
        <v>2615.7926478206796</v>
      </c>
    </row>
    <row r="67" spans="2:6" x14ac:dyDescent="0.3">
      <c r="B67" s="24" t="s">
        <v>139</v>
      </c>
      <c r="C67" s="104">
        <f t="shared" si="3"/>
        <v>2376.354164193921</v>
      </c>
      <c r="D67" s="104">
        <f t="shared" si="4"/>
        <v>978.49877349161443</v>
      </c>
      <c r="E67" s="104">
        <f>'Debt &amp; Cost of Capital'!$C$48</f>
        <v>4343</v>
      </c>
      <c r="F67" s="104">
        <f t="shared" si="5"/>
        <v>2615.7926478206796</v>
      </c>
    </row>
    <row r="68" spans="2:6" x14ac:dyDescent="0.3">
      <c r="B68" s="24" t="s">
        <v>145</v>
      </c>
      <c r="C68" s="104">
        <f t="shared" si="3"/>
        <v>2099.520021152573</v>
      </c>
      <c r="D68" s="104">
        <f t="shared" si="4"/>
        <v>87.083894040689756</v>
      </c>
      <c r="E68" s="104">
        <f>'Debt &amp; Cost of Capital'!$C$48</f>
        <v>4343</v>
      </c>
      <c r="F68" s="104">
        <f t="shared" si="5"/>
        <v>2615.7926478206796</v>
      </c>
    </row>
    <row r="69" spans="2:6" x14ac:dyDescent="0.3">
      <c r="B69" s="24" t="s">
        <v>907</v>
      </c>
      <c r="C69" s="104">
        <f t="shared" si="3"/>
        <v>324.93154323865548</v>
      </c>
      <c r="D69" s="104">
        <f t="shared" si="4"/>
        <v>90.258762010737598</v>
      </c>
      <c r="E69" s="104">
        <f>'Debt &amp; Cost of Capital'!$C$48</f>
        <v>4343</v>
      </c>
      <c r="F69" s="104">
        <f t="shared" si="5"/>
        <v>2615.7926478206796</v>
      </c>
    </row>
    <row r="70" spans="2:6" x14ac:dyDescent="0.3">
      <c r="B70" s="24" t="s">
        <v>147</v>
      </c>
      <c r="C70" s="104">
        <f t="shared" si="3"/>
        <v>206.45731071019054</v>
      </c>
      <c r="D70" s="104">
        <f t="shared" si="4"/>
        <v>72.867286133008406</v>
      </c>
      <c r="E70" s="104">
        <f>'Debt &amp; Cost of Capital'!$C$48</f>
        <v>4343</v>
      </c>
      <c r="F70" s="104">
        <f t="shared" si="5"/>
        <v>2615.7926478206796</v>
      </c>
    </row>
    <row r="72" spans="2:6" x14ac:dyDescent="0.3">
      <c r="B72" s="51" t="s">
        <v>908</v>
      </c>
      <c r="C72" s="51" t="s">
        <v>272</v>
      </c>
    </row>
    <row r="73" spans="2:6" x14ac:dyDescent="0.3">
      <c r="B73" s="24" t="s">
        <v>909</v>
      </c>
      <c r="C73" s="104">
        <f>C11/$C$23</f>
        <v>1774.9018489518817</v>
      </c>
    </row>
    <row r="74" spans="2:6" x14ac:dyDescent="0.3">
      <c r="B74" s="24" t="s">
        <v>910</v>
      </c>
      <c r="C74" s="104">
        <f>C13/$C$23</f>
        <v>226.87519365896179</v>
      </c>
    </row>
    <row r="75" spans="2:6" x14ac:dyDescent="0.3">
      <c r="B75" s="24" t="s">
        <v>911</v>
      </c>
      <c r="C75" s="104">
        <f>C15/$C$23</f>
        <v>77.880472418735934</v>
      </c>
    </row>
  </sheetData>
  <mergeCells count="5">
    <mergeCell ref="B1:H1"/>
    <mergeCell ref="B5:H5"/>
    <mergeCell ref="B27:H27"/>
    <mergeCell ref="B39:H39"/>
    <mergeCell ref="B55:H55"/>
  </mergeCells>
  <printOptions horizontalCentered="1"/>
  <pageMargins left="0.75" right="0.75" top="1" bottom="1" header="0.511811023622047" footer="0.511811023622047"/>
  <pageSetup orientation="landscape" horizontalDpi="300" verticalDpi="300"/>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13A44"/>
  </sheetPr>
  <dimension ref="B1:J64"/>
  <sheetViews>
    <sheetView showGridLines="0" zoomScale="90" zoomScaleNormal="90" workbookViewId="0">
      <pane xSplit="2" ySplit="5" topLeftCell="C6" activePane="bottomRight" state="frozen"/>
      <selection pane="topRight" activeCell="C1" sqref="C1"/>
      <selection pane="bottomLeft" activeCell="A6" sqref="A6"/>
      <selection pane="bottomRight"/>
    </sheetView>
  </sheetViews>
  <sheetFormatPr defaultColWidth="8.6640625" defaultRowHeight="14.4" x14ac:dyDescent="0.3"/>
  <cols>
    <col min="1" max="1" width="2" customWidth="1"/>
    <col min="2" max="2" width="54" customWidth="1"/>
    <col min="3" max="8" width="14" customWidth="1"/>
    <col min="9" max="10" width="2" customWidth="1"/>
  </cols>
  <sheetData>
    <row r="1" spans="2:8" ht="24" customHeight="1" x14ac:dyDescent="0.3">
      <c r="B1" s="5" t="s">
        <v>0</v>
      </c>
      <c r="C1" s="5"/>
      <c r="D1" s="5"/>
      <c r="E1" s="5"/>
      <c r="F1" s="5"/>
      <c r="G1" s="5"/>
      <c r="H1" s="5"/>
    </row>
    <row r="2" spans="2:8" ht="15" customHeight="1" x14ac:dyDescent="0.3">
      <c r="B2" s="26" t="s">
        <v>72</v>
      </c>
    </row>
    <row r="3" spans="2:8" ht="13.5" customHeight="1" x14ac:dyDescent="0.3">
      <c r="B3" s="27" t="s">
        <v>912</v>
      </c>
    </row>
    <row r="5" spans="2:8" ht="16.5" customHeight="1" x14ac:dyDescent="0.3">
      <c r="B5" s="10" t="s">
        <v>913</v>
      </c>
      <c r="C5" s="10"/>
      <c r="D5" s="10"/>
      <c r="E5" s="10"/>
      <c r="F5" s="10"/>
      <c r="G5" s="10"/>
      <c r="H5" s="10"/>
    </row>
    <row r="6" spans="2:8" x14ac:dyDescent="0.3">
      <c r="B6" s="32" t="s">
        <v>914</v>
      </c>
      <c r="C6" s="47">
        <f>'Income Statement'!Q7</f>
        <v>47270</v>
      </c>
    </row>
    <row r="7" spans="2:8" x14ac:dyDescent="0.3">
      <c r="B7" s="32" t="s">
        <v>915</v>
      </c>
      <c r="C7" s="123">
        <f>('Income Statement'!AF7/'Income Statement'!Q7)^(1/5)-1</f>
        <v>0.16722109770254634</v>
      </c>
    </row>
    <row r="8" spans="2:8" x14ac:dyDescent="0.3">
      <c r="B8" s="32" t="s">
        <v>916</v>
      </c>
      <c r="C8" s="123">
        <f>'Income Statement'!AF19</f>
        <v>0.14499999999999991</v>
      </c>
    </row>
    <row r="9" spans="2:8" x14ac:dyDescent="0.3">
      <c r="B9" s="32" t="s">
        <v>917</v>
      </c>
      <c r="C9" s="123">
        <f>'Income Statement'!AF21/'Income Statement'!AF7</f>
        <v>1.6668327725326653E-2</v>
      </c>
    </row>
    <row r="10" spans="2:8" x14ac:dyDescent="0.3">
      <c r="B10" s="32" t="s">
        <v>918</v>
      </c>
      <c r="C10" s="123">
        <f>'Balance Sheet'!L45/'Income Statement'!AF7</f>
        <v>3.5000000000000003E-2</v>
      </c>
    </row>
    <row r="11" spans="2:8" x14ac:dyDescent="0.3">
      <c r="B11" s="32" t="s">
        <v>919</v>
      </c>
      <c r="C11" s="70">
        <v>0.11</v>
      </c>
    </row>
    <row r="12" spans="2:8" x14ac:dyDescent="0.3">
      <c r="B12" s="32" t="s">
        <v>175</v>
      </c>
      <c r="C12" s="123">
        <f>'Debt &amp; Cost of Capital'!C30</f>
        <v>0.25169999999999998</v>
      </c>
    </row>
    <row r="13" spans="2:8" x14ac:dyDescent="0.3">
      <c r="B13" s="29" t="s">
        <v>105</v>
      </c>
      <c r="C13" s="199">
        <f>'Debt &amp; Cost of Capital'!C57</f>
        <v>0.13755225943997798</v>
      </c>
    </row>
    <row r="14" spans="2:8" x14ac:dyDescent="0.3">
      <c r="B14" s="29" t="s">
        <v>920</v>
      </c>
      <c r="C14" s="200">
        <f>'Debt &amp; Cost of Capital'!C64</f>
        <v>5.5E-2</v>
      </c>
    </row>
    <row r="15" spans="2:8" x14ac:dyDescent="0.3">
      <c r="B15" s="32" t="s">
        <v>921</v>
      </c>
      <c r="C15" s="47">
        <f>'DCF - FCFF'!C63</f>
        <v>864.39715645118235</v>
      </c>
    </row>
    <row r="16" spans="2:8" x14ac:dyDescent="0.3">
      <c r="B16" s="32" t="s">
        <v>922</v>
      </c>
      <c r="C16" s="47">
        <f>'SOTP &amp; Football Field'!C13+'SOTP &amp; Football Field'!C15</f>
        <v>14478.545512985518</v>
      </c>
    </row>
    <row r="17" spans="2:10" x14ac:dyDescent="0.3">
      <c r="B17" s="32" t="s">
        <v>588</v>
      </c>
      <c r="C17" s="164">
        <v>47.508699999999997</v>
      </c>
    </row>
    <row r="18" spans="2:10" x14ac:dyDescent="0.3">
      <c r="B18" s="29" t="s">
        <v>923</v>
      </c>
      <c r="C18" s="201">
        <f>'DCF - FCFF'!C17</f>
        <v>0.63287671232876708</v>
      </c>
    </row>
    <row r="19" spans="2:10" ht="12.75" customHeight="1" x14ac:dyDescent="0.3">
      <c r="B19" s="74"/>
    </row>
    <row r="20" spans="2:10" x14ac:dyDescent="0.3">
      <c r="B20" s="29" t="s">
        <v>924</v>
      </c>
      <c r="C20" s="176">
        <f>(($C$6*(1+$C$7)^1*($C$8*(1-$C$12)+$C$9*$C$12-$C$10)+$C$11*$C$6*((1+$C$7)^1-(1+$C$7)^0))*$C$18/(1+$C$13)^$C$18+($C$6*(1+$C$7)^2*($C$8*(1-$C$12)+$C$9*$C$12-$C$10)+$C$11*$C$6*((1+$C$7)^2-(1+$C$7)^1))/(1+$C$13)^($C$18+1)+($C$6*(1+$C$7)^3*($C$8*(1-$C$12)+$C$9*$C$12-$C$10)+$C$11*$C$6*((1+$C$7)^3-(1+$C$7)^2))/(1+$C$13)^($C$18+2)+($C$6*(1+$C$7)^4*($C$8*(1-$C$12)+$C$9*$C$12-$C$10)+$C$11*$C$6*((1+$C$7)^4-(1+$C$7)^3))/(1+$C$13)^($C$18+3)+($C$6*(1+$C$7)^5*($C$8*(1-$C$12)+$C$9*$C$12-$C$10)+$C$11*$C$6*((1+$C$7)^5-(1+$C$7)^4))/(1+$C$13)^($C$18+4)+($C$6*(1+$C$7)^5*($C$8*(1-$C$12)+$C$9*$C$12-$C$10)+$C$11*$C$6*((1+$C$7)^5-(1+$C$7)^4))*(1+$C$14)/($C$13-$C$14)/(1+$C$13)^($C$18+4)-$C$15+$C$16)/$C$17</f>
        <v>2193.9285914448819</v>
      </c>
    </row>
    <row r="21" spans="2:10" x14ac:dyDescent="0.3">
      <c r="B21" s="29" t="s">
        <v>925</v>
      </c>
      <c r="C21" s="176">
        <f>'SOTP &amp; Football Field'!C24</f>
        <v>2079.6575150295794</v>
      </c>
    </row>
    <row r="22" spans="2:10" x14ac:dyDescent="0.3">
      <c r="B22" s="108" t="s">
        <v>559</v>
      </c>
      <c r="C22" s="50">
        <f>C20/C21-1</f>
        <v>5.4947064884227848E-2</v>
      </c>
    </row>
    <row r="23" spans="2:10" ht="12.75" customHeight="1" x14ac:dyDescent="0.3">
      <c r="B23" s="74"/>
    </row>
    <row r="25" spans="2:10" ht="16.5" customHeight="1" x14ac:dyDescent="0.3">
      <c r="B25" s="10" t="s">
        <v>926</v>
      </c>
      <c r="C25" s="10"/>
      <c r="D25" s="10"/>
      <c r="E25" s="10"/>
      <c r="F25" s="10"/>
      <c r="G25" s="10"/>
      <c r="H25" s="10"/>
    </row>
    <row r="26" spans="2:10" x14ac:dyDescent="0.3">
      <c r="B26" s="45" t="s">
        <v>927</v>
      </c>
      <c r="D26" s="202">
        <f>$C$14+-0.01</f>
        <v>4.4999999999999998E-2</v>
      </c>
      <c r="E26" s="202">
        <f>$C$14+-0.005</f>
        <v>0.05</v>
      </c>
      <c r="F26" s="202">
        <f>$C$14+0</f>
        <v>5.5E-2</v>
      </c>
      <c r="G26" s="202">
        <f>$C$14+0.005</f>
        <v>0.06</v>
      </c>
      <c r="H26" s="202">
        <f>$C$14+0.01</f>
        <v>6.5000000000000002E-2</v>
      </c>
    </row>
    <row r="27" spans="2:10" x14ac:dyDescent="0.3">
      <c r="C27" s="203">
        <f>$C$13+-0.015</f>
        <v>0.12255225943997798</v>
      </c>
      <c r="D27" s="35">
        <f t="shared" ref="D27:H31" si="0">(($C$6*(1+$C$7)^1*($C$8*(1-$C$12)+$C$9*$C$12-$C$10)+$C$11*$C$6*((1+$C$7)^1-(1+$C$7)^0))*$C$18/(1+$C27)^$C$18+($C$6*(1+$C$7)^2*($C$8*(1-$C$12)+$C$9*$C$12-$C$10)+$C$11*$C$6*((1+$C$7)^2-(1+$C$7)^1))/(1+$C27)^($C$18+1)+($C$6*(1+$C$7)^3*($C$8*(1-$C$12)+$C$9*$C$12-$C$10)+$C$11*$C$6*((1+$C$7)^3-(1+$C$7)^2))/(1+$C27)^($C$18+2)+($C$6*(1+$C$7)^4*($C$8*(1-$C$12)+$C$9*$C$12-$C$10)+$C$11*$C$6*((1+$C$7)^4-(1+$C$7)^3))/(1+$C27)^($C$18+3)+($C$6*(1+$C$7)^5*($C$8*(1-$C$12)+$C$9*$C$12-$C$10)+$C$11*$C$6*((1+$C$7)^5-(1+$C$7)^4))/(1+$C27)^($C$18+4)+($C$6*(1+$C$7)^5*($C$8*(1-$C$12)+$C$9*$C$12-$C$10)+$C$11*$C$6*((1+$C$7)^5-(1+$C$7)^4))*(1+D$26)/($C27-D$26)/(1+$C27)^($C$18+4)-$C$15+$C$16)/$C$17</f>
        <v>2384.6697066923889</v>
      </c>
      <c r="E27" s="35">
        <f t="shared" si="0"/>
        <v>2502.3015408603237</v>
      </c>
      <c r="F27" s="35">
        <f t="shared" si="0"/>
        <v>2637.346831682873</v>
      </c>
      <c r="G27" s="35">
        <f t="shared" si="0"/>
        <v>2793.9813172094341</v>
      </c>
      <c r="H27" s="35">
        <f t="shared" si="0"/>
        <v>2977.8318472580891</v>
      </c>
      <c r="J27" s="31"/>
    </row>
    <row r="28" spans="2:10" x14ac:dyDescent="0.3">
      <c r="C28" s="203">
        <f>$C$13+-0.0075</f>
        <v>0.13005225943997797</v>
      </c>
      <c r="D28" s="35">
        <f t="shared" si="0"/>
        <v>2190.9462590730254</v>
      </c>
      <c r="E28" s="35">
        <f t="shared" si="0"/>
        <v>2285.8328150577222</v>
      </c>
      <c r="F28" s="35">
        <f t="shared" si="0"/>
        <v>2393.3621024795143</v>
      </c>
      <c r="G28" s="35">
        <f t="shared" si="0"/>
        <v>2516.241257026426</v>
      </c>
      <c r="H28" s="35">
        <f t="shared" si="0"/>
        <v>2658.0097100550111</v>
      </c>
    </row>
    <row r="29" spans="2:10" x14ac:dyDescent="0.3">
      <c r="C29" s="203">
        <f>$C$13+0</f>
        <v>0.13755225943997798</v>
      </c>
      <c r="D29" s="35">
        <f t="shared" si="0"/>
        <v>2028.830708646027</v>
      </c>
      <c r="E29" s="35">
        <f t="shared" si="0"/>
        <v>2106.6653832790998</v>
      </c>
      <c r="F29" s="204">
        <f t="shared" si="0"/>
        <v>2193.9285914448819</v>
      </c>
      <c r="G29" s="35">
        <f t="shared" si="0"/>
        <v>2292.4439808876423</v>
      </c>
      <c r="H29" s="35">
        <f t="shared" si="0"/>
        <v>2404.537912226021</v>
      </c>
    </row>
    <row r="30" spans="2:10" x14ac:dyDescent="0.3">
      <c r="C30" s="203">
        <f>$C$13+0.0075</f>
        <v>0.14505225943997799</v>
      </c>
      <c r="D30" s="35">
        <f t="shared" si="0"/>
        <v>1891.2087705644872</v>
      </c>
      <c r="E30" s="35">
        <f t="shared" si="0"/>
        <v>1955.9632925638757</v>
      </c>
      <c r="F30" s="35">
        <f t="shared" si="0"/>
        <v>2027.9085860555163</v>
      </c>
      <c r="G30" s="35">
        <f t="shared" si="0"/>
        <v>2108.3128310159786</v>
      </c>
      <c r="H30" s="35">
        <f t="shared" si="0"/>
        <v>2198.7610454437549</v>
      </c>
    </row>
    <row r="31" spans="2:10" x14ac:dyDescent="0.3">
      <c r="C31" s="203">
        <f>$C$13+0.015</f>
        <v>0.15255225943997797</v>
      </c>
      <c r="D31" s="35">
        <f t="shared" si="0"/>
        <v>1772.9508030485515</v>
      </c>
      <c r="E31" s="35">
        <f t="shared" si="0"/>
        <v>1827.4756321921097</v>
      </c>
      <c r="F31" s="35">
        <f t="shared" si="0"/>
        <v>1887.5897556745751</v>
      </c>
      <c r="G31" s="35">
        <f t="shared" si="0"/>
        <v>1954.1990337698205</v>
      </c>
      <c r="H31" s="35">
        <f t="shared" si="0"/>
        <v>2028.4162569393909</v>
      </c>
    </row>
    <row r="33" spans="2:10" ht="16.5" customHeight="1" x14ac:dyDescent="0.3">
      <c r="B33" s="10" t="s">
        <v>928</v>
      </c>
      <c r="C33" s="10"/>
      <c r="D33" s="10"/>
      <c r="E33" s="10"/>
      <c r="F33" s="10"/>
      <c r="G33" s="10"/>
      <c r="H33" s="10"/>
    </row>
    <row r="34" spans="2:10" x14ac:dyDescent="0.3">
      <c r="B34" s="45" t="s">
        <v>929</v>
      </c>
      <c r="D34" s="202">
        <f>$C$8+-0.02</f>
        <v>0.1249999999999999</v>
      </c>
      <c r="E34" s="202">
        <f>$C$8+-0.01</f>
        <v>0.1349999999999999</v>
      </c>
      <c r="F34" s="202">
        <f>$C$8+0</f>
        <v>0.14499999999999991</v>
      </c>
      <c r="G34" s="202">
        <f>$C$8+0.01</f>
        <v>0.15499999999999992</v>
      </c>
      <c r="H34" s="202">
        <f>$C$8+0.02</f>
        <v>0.1649999999999999</v>
      </c>
    </row>
    <row r="35" spans="2:10" x14ac:dyDescent="0.3">
      <c r="C35" s="202">
        <f>$C$7+-0.04</f>
        <v>0.12722109770254633</v>
      </c>
      <c r="D35" s="35">
        <f t="shared" ref="D35:H39" si="1">(($C$6*(1+$C35)^1*(D$34*(1-$C$12)+$C$9*$C$12-$C$10)+$C$11*$C$6*((1+$C35)^1-(1+$C35)^0))*$C$18/(1+$C$13)^$C$18+($C$6*(1+$C35)^2*(D$34*(1-$C$12)+$C$9*$C$12-$C$10)+$C$11*$C$6*((1+$C35)^2-(1+$C35)^1))/(1+$C$13)^($C$18+1)+($C$6*(1+$C35)^3*(D$34*(1-$C$12)+$C$9*$C$12-$C$10)+$C$11*$C$6*((1+$C35)^3-(1+$C35)^2))/(1+$C$13)^($C$18+2)+($C$6*(1+$C35)^4*(D$34*(1-$C$12)+$C$9*$C$12-$C$10)+$C$11*$C$6*((1+$C35)^4-(1+$C35)^3))/(1+$C$13)^($C$18+3)+($C$6*(1+$C35)^5*(D$34*(1-$C$12)+$C$9*$C$12-$C$10)+$C$11*$C$6*((1+$C35)^5-(1+$C35)^4))/(1+$C$13)^($C$18+4)+($C$6*(1+$C35)^5*(D$34*(1-$C$12)+$C$9*$C$12-$C$10)+$C$11*$C$6*((1+$C35)^5-(1+$C35)^4))*(1+$C$14)/($C$13-$C$14)/(1+$C$13)^($C$18+4)-$C$15+$C$16)/$C$17</f>
        <v>1596.6272574754144</v>
      </c>
      <c r="E35" s="35">
        <f t="shared" si="1"/>
        <v>1727.0798339312441</v>
      </c>
      <c r="F35" s="35">
        <f t="shared" si="1"/>
        <v>1857.5324103870739</v>
      </c>
      <c r="G35" s="35">
        <f t="shared" si="1"/>
        <v>1987.9849868429044</v>
      </c>
      <c r="H35" s="35">
        <f t="shared" si="1"/>
        <v>2118.4375632987339</v>
      </c>
    </row>
    <row r="36" spans="2:10" x14ac:dyDescent="0.3">
      <c r="C36" s="202">
        <f>$C$7+-0.02</f>
        <v>0.14722109770254635</v>
      </c>
      <c r="D36" s="35">
        <f t="shared" si="1"/>
        <v>1736.8684172679386</v>
      </c>
      <c r="E36" s="35">
        <f t="shared" si="1"/>
        <v>1878.0887657531932</v>
      </c>
      <c r="F36" s="35">
        <f t="shared" si="1"/>
        <v>2019.3091142384494</v>
      </c>
      <c r="G36" s="35">
        <f t="shared" si="1"/>
        <v>2160.5294627237054</v>
      </c>
      <c r="H36" s="35">
        <f t="shared" si="1"/>
        <v>2301.7498112089602</v>
      </c>
    </row>
    <row r="37" spans="2:10" x14ac:dyDescent="0.3">
      <c r="C37" s="202">
        <f>$C$7+0</f>
        <v>0.16722109770254634</v>
      </c>
      <c r="D37" s="35">
        <f t="shared" si="1"/>
        <v>1888.4901688280677</v>
      </c>
      <c r="E37" s="35">
        <f t="shared" si="1"/>
        <v>2041.2093801364749</v>
      </c>
      <c r="F37" s="204">
        <f t="shared" si="1"/>
        <v>2193.9285914448819</v>
      </c>
      <c r="G37" s="35">
        <f t="shared" si="1"/>
        <v>2346.6478027532899</v>
      </c>
      <c r="H37" s="35">
        <f t="shared" si="1"/>
        <v>2499.3670140616969</v>
      </c>
    </row>
    <row r="38" spans="2:10" x14ac:dyDescent="0.3">
      <c r="C38" s="202">
        <f>$C$7+0.02</f>
        <v>0.18722109770254633</v>
      </c>
      <c r="D38" s="35">
        <f t="shared" si="1"/>
        <v>2052.172536172739</v>
      </c>
      <c r="E38" s="35">
        <f t="shared" si="1"/>
        <v>2217.1592932578633</v>
      </c>
      <c r="F38" s="35">
        <f t="shared" si="1"/>
        <v>2382.146050342988</v>
      </c>
      <c r="G38" s="35">
        <f t="shared" si="1"/>
        <v>2547.1328074281128</v>
      </c>
      <c r="H38" s="35">
        <f t="shared" si="1"/>
        <v>2712.1195645132379</v>
      </c>
    </row>
    <row r="39" spans="2:10" x14ac:dyDescent="0.3">
      <c r="C39" s="202">
        <f>$C$7+0.04</f>
        <v>0.20722109770254635</v>
      </c>
      <c r="D39" s="35">
        <f t="shared" si="1"/>
        <v>2228.621981875071</v>
      </c>
      <c r="E39" s="35">
        <f t="shared" si="1"/>
        <v>2406.683843293501</v>
      </c>
      <c r="F39" s="35">
        <f t="shared" si="1"/>
        <v>2584.745704711931</v>
      </c>
      <c r="G39" s="35">
        <f t="shared" si="1"/>
        <v>2762.8075661303615</v>
      </c>
      <c r="H39" s="35">
        <f t="shared" si="1"/>
        <v>2940.8694275487915</v>
      </c>
    </row>
    <row r="41" spans="2:10" ht="16.5" customHeight="1" x14ac:dyDescent="0.3">
      <c r="B41" s="10" t="s">
        <v>930</v>
      </c>
      <c r="C41" s="10"/>
      <c r="D41" s="10"/>
      <c r="E41" s="10"/>
      <c r="F41" s="10"/>
      <c r="G41" s="10"/>
      <c r="H41" s="10"/>
    </row>
    <row r="42" spans="2:10" ht="25.5" customHeight="1" x14ac:dyDescent="0.3">
      <c r="B42" s="28"/>
      <c r="D42" s="28" t="s">
        <v>931</v>
      </c>
      <c r="E42" s="28" t="s">
        <v>932</v>
      </c>
      <c r="F42" s="28" t="s">
        <v>933</v>
      </c>
      <c r="J42" s="28" t="s">
        <v>934</v>
      </c>
    </row>
    <row r="43" spans="2:10" ht="21.75" customHeight="1" x14ac:dyDescent="0.3">
      <c r="B43" s="32" t="s">
        <v>935</v>
      </c>
      <c r="D43" s="42">
        <f>$C$7+-0.045</f>
        <v>0.12222109770254634</v>
      </c>
      <c r="E43" s="42">
        <f>$C$7+0</f>
        <v>0.16722109770254634</v>
      </c>
      <c r="F43" s="42">
        <f>$C$7+0.035</f>
        <v>0.20222109770254634</v>
      </c>
      <c r="J43" s="31"/>
    </row>
    <row r="44" spans="2:10" ht="21.75" customHeight="1" x14ac:dyDescent="0.3">
      <c r="B44" s="32" t="s">
        <v>916</v>
      </c>
      <c r="D44" s="42">
        <f>$C$8+-0.02</f>
        <v>0.1249999999999999</v>
      </c>
      <c r="E44" s="42">
        <f>$C$8+0</f>
        <v>0.14499999999999991</v>
      </c>
      <c r="F44" s="42">
        <f>$C$8+0.015</f>
        <v>0.15999999999999992</v>
      </c>
      <c r="J44" s="31"/>
    </row>
    <row r="45" spans="2:10" ht="21.75" customHeight="1" x14ac:dyDescent="0.3">
      <c r="B45" s="32" t="s">
        <v>105</v>
      </c>
      <c r="D45" s="46">
        <f>$C$13+0.01</f>
        <v>0.14755225943997799</v>
      </c>
      <c r="E45" s="46">
        <f>$C$13+0</f>
        <v>0.13755225943997798</v>
      </c>
      <c r="F45" s="46">
        <f>$C$13+-0.01</f>
        <v>0.12755225943997797</v>
      </c>
      <c r="J45" s="31"/>
    </row>
    <row r="46" spans="2:10" ht="21.75" customHeight="1" x14ac:dyDescent="0.3">
      <c r="B46" s="32" t="s">
        <v>920</v>
      </c>
      <c r="D46" s="42">
        <f>$C$14+-0.01</f>
        <v>4.4999999999999998E-2</v>
      </c>
      <c r="E46" s="42">
        <f>$C$14+0</f>
        <v>5.5E-2</v>
      </c>
      <c r="F46" s="42">
        <f>$C$14+0.005</f>
        <v>0.06</v>
      </c>
      <c r="J46" s="31"/>
    </row>
    <row r="48" spans="2:10" x14ac:dyDescent="0.3">
      <c r="B48" s="29" t="s">
        <v>887</v>
      </c>
      <c r="D48" s="205">
        <f>(($C$6*(1+D43)^1*(D44*(1-$C$12)+$C$9*$C$12-$C$10)+$C$11*$C$6*((1+D43)^1-(1+D43)^0))*$C$18/(1+D45)^$C$18+($C$6*(1+D43)^2*(D44*(1-$C$12)+$C$9*$C$12-$C$10)+$C$11*$C$6*((1+D43)^2-(1+D43)^1))/(1+D45)^($C$18+1)+($C$6*(1+D43)^3*(D44*(1-$C$12)+$C$9*$C$12-$C$10)+$C$11*$C$6*((1+D43)^3-(1+D43)^2))/(1+D45)^($C$18+2)+($C$6*(1+D43)^4*(D44*(1-$C$12)+$C$9*$C$12-$C$10)+$C$11*$C$6*((1+D43)^4-(1+D43)^3))/(1+D45)^($C$18+3)+($C$6*(1+D43)^5*(D44*(1-$C$12)+$C$9*$C$12-$C$10)+$C$11*$C$6*((1+D43)^5-(1+D43)^4))/(1+D45)^($C$18+4)+($C$6*(1+D43)^5*(D44*(1-$C$12)+$C$9*$C$12-$C$10)+$C$11*$C$6*((1+D43)^5-(1+D43)^4))*(1+D46)/(D45-D46)/(1+D45)^($C$18+4)-$C$15+$C$16)/$C$17</f>
        <v>1336.9129232190116</v>
      </c>
      <c r="E48" s="205">
        <f>(($C$6*(1+E43)^1*(E44*(1-$C$12)+$C$9*$C$12-$C$10)+$C$11*$C$6*((1+E43)^1-(1+E43)^0))*$C$18/(1+E45)^$C$18+($C$6*(1+E43)^2*(E44*(1-$C$12)+$C$9*$C$12-$C$10)+$C$11*$C$6*((1+E43)^2-(1+E43)^1))/(1+E45)^($C$18+1)+($C$6*(1+E43)^3*(E44*(1-$C$12)+$C$9*$C$12-$C$10)+$C$11*$C$6*((1+E43)^3-(1+E43)^2))/(1+E45)^($C$18+2)+($C$6*(1+E43)^4*(E44*(1-$C$12)+$C$9*$C$12-$C$10)+$C$11*$C$6*((1+E43)^4-(1+E43)^3))/(1+E45)^($C$18+3)+($C$6*(1+E43)^5*(E44*(1-$C$12)+$C$9*$C$12-$C$10)+$C$11*$C$6*((1+E43)^5-(1+E43)^4))/(1+E45)^($C$18+4)+($C$6*(1+E43)^5*(E44*(1-$C$12)+$C$9*$C$12-$C$10)+$C$11*$C$6*((1+E43)^5-(1+E43)^4))*(1+E46)/(E45-E46)/(1+E45)^($C$18+4)-$C$15+$C$16)/$C$17</f>
        <v>2193.9285914448819</v>
      </c>
      <c r="F48" s="205">
        <f>(($C$6*(1+F43)^1*(F44*(1-$C$12)+$C$9*$C$12-$C$10)+$C$11*$C$6*((1+F43)^1-(1+F43)^0))*$C$18/(1+F45)^$C$18+($C$6*(1+F43)^2*(F44*(1-$C$12)+$C$9*$C$12-$C$10)+$C$11*$C$6*((1+F43)^2-(1+F43)^1))/(1+F45)^($C$18+1)+($C$6*(1+F43)^3*(F44*(1-$C$12)+$C$9*$C$12-$C$10)+$C$11*$C$6*((1+F43)^3-(1+F43)^2))/(1+F45)^($C$18+2)+($C$6*(1+F43)^4*(F44*(1-$C$12)+$C$9*$C$12-$C$10)+$C$11*$C$6*((1+F43)^4-(1+F43)^3))/(1+F45)^($C$18+3)+($C$6*(1+F43)^5*(F44*(1-$C$12)+$C$9*$C$12-$C$10)+$C$11*$C$6*((1+F43)^5-(1+F43)^4))/(1+F45)^($C$18+4)+($C$6*(1+F43)^5*(F44*(1-$C$12)+$C$9*$C$12-$C$10)+$C$11*$C$6*((1+F43)^5-(1+F43)^4))*(1+F46)/(F45-F46)/(1+F45)^($C$18+4)-$C$15+$C$16)/$C$17</f>
        <v>3337.8820137867147</v>
      </c>
    </row>
    <row r="49" spans="2:8" x14ac:dyDescent="0.3">
      <c r="B49" s="32" t="s">
        <v>936</v>
      </c>
      <c r="D49" s="178">
        <f>D48/'Debt &amp; Cost of Capital'!$C$48-1</f>
        <v>-0.6921683345109344</v>
      </c>
      <c r="E49" s="178">
        <f>E48/'Debt &amp; Cost of Capital'!$C$48-1</f>
        <v>-0.49483569158533691</v>
      </c>
      <c r="F49" s="178">
        <f>F48/'Debt &amp; Cost of Capital'!$C$48-1</f>
        <v>-0.23143402860080253</v>
      </c>
    </row>
    <row r="50" spans="2:8" x14ac:dyDescent="0.3">
      <c r="B50" s="32" t="s">
        <v>937</v>
      </c>
      <c r="D50" s="70">
        <v>0.25</v>
      </c>
      <c r="E50" s="70">
        <v>0.5</v>
      </c>
      <c r="F50" s="70">
        <v>0.25</v>
      </c>
    </row>
    <row r="51" spans="2:8" x14ac:dyDescent="0.3">
      <c r="B51" s="36" t="s">
        <v>938</v>
      </c>
      <c r="C51" s="151">
        <f>SUMPRODUCT(D48:F48,D50:F50)</f>
        <v>2265.6630299738727</v>
      </c>
    </row>
    <row r="53" spans="2:8" ht="16.5" customHeight="1" x14ac:dyDescent="0.3">
      <c r="B53" s="10" t="s">
        <v>939</v>
      </c>
      <c r="C53" s="10"/>
      <c r="D53" s="10"/>
      <c r="E53" s="10"/>
      <c r="F53" s="10"/>
      <c r="G53" s="10"/>
      <c r="H53" s="10"/>
    </row>
    <row r="54" spans="2:8" x14ac:dyDescent="0.3">
      <c r="B54" s="32" t="s">
        <v>111</v>
      </c>
      <c r="C54" s="148">
        <f>'Debt &amp; Cost of Capital'!C48</f>
        <v>4343</v>
      </c>
    </row>
    <row r="55" spans="2:8" x14ac:dyDescent="0.3">
      <c r="B55" s="32" t="s">
        <v>940</v>
      </c>
      <c r="C55" s="148">
        <f>C54*C17</f>
        <v>206330.28409999999</v>
      </c>
    </row>
    <row r="56" spans="2:8" x14ac:dyDescent="0.3">
      <c r="B56" s="32" t="s">
        <v>941</v>
      </c>
      <c r="C56" s="148">
        <f>-C16</f>
        <v>-14478.545512985518</v>
      </c>
    </row>
    <row r="57" spans="2:8" x14ac:dyDescent="0.3">
      <c r="B57" s="32" t="s">
        <v>942</v>
      </c>
      <c r="C57" s="148">
        <f>C55+C56</f>
        <v>191851.73858701446</v>
      </c>
    </row>
    <row r="58" spans="2:8" x14ac:dyDescent="0.3">
      <c r="B58" s="32" t="s">
        <v>943</v>
      </c>
      <c r="C58" s="148">
        <f>C15</f>
        <v>864.39715645118235</v>
      </c>
    </row>
    <row r="59" spans="2:8" x14ac:dyDescent="0.3">
      <c r="B59" s="29" t="s">
        <v>944</v>
      </c>
      <c r="C59" s="176">
        <f>C57+C58</f>
        <v>192716.13574346565</v>
      </c>
    </row>
    <row r="60" spans="2:8" x14ac:dyDescent="0.3">
      <c r="B60" s="32" t="s">
        <v>675</v>
      </c>
      <c r="C60" s="173">
        <f>C59/'Income Statement'!Q18</f>
        <v>31.701946988561549</v>
      </c>
    </row>
    <row r="61" spans="2:8" x14ac:dyDescent="0.3">
      <c r="B61" s="32" t="s">
        <v>945</v>
      </c>
      <c r="C61" s="173">
        <f>C59/'Income Statement'!AF18</f>
        <v>12.977732847939716</v>
      </c>
    </row>
    <row r="62" spans="2:8" x14ac:dyDescent="0.3">
      <c r="B62" s="29" t="s">
        <v>946</v>
      </c>
      <c r="C62" s="161">
        <f>C13-(C6*(1+C7)^5*(C8*(1-C12)+C9*C12-C10)+C11*C6*(1+C7)^4*C7)/C59</f>
        <v>8.7887355187795377E-2</v>
      </c>
    </row>
    <row r="63" spans="2:8" ht="12.75" customHeight="1" x14ac:dyDescent="0.3">
      <c r="B63" s="74"/>
    </row>
    <row r="64" spans="2:8" ht="12.75" customHeight="1" x14ac:dyDescent="0.3">
      <c r="B64" s="74"/>
    </row>
  </sheetData>
  <mergeCells count="6">
    <mergeCell ref="B53:H53"/>
    <mergeCell ref="B1:H1"/>
    <mergeCell ref="B5:H5"/>
    <mergeCell ref="B25:H25"/>
    <mergeCell ref="B33:H33"/>
    <mergeCell ref="B41:H41"/>
  </mergeCells>
  <printOptions horizontalCentered="1"/>
  <pageMargins left="0.75" right="0.75" top="1" bottom="1" header="0.511811023622047" footer="0.511811023622047"/>
  <pageSetup orientation="landscape" horizontalDpi="300" verticalDpi="300"/>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13A44"/>
  </sheetPr>
  <dimension ref="B1:N1030"/>
  <sheetViews>
    <sheetView showGridLines="0" zoomScale="90" zoomScaleNormal="90" workbookViewId="0">
      <pane xSplit="1" ySplit="30" topLeftCell="B31" activePane="bottomRight" state="frozen"/>
      <selection pane="topRight" activeCell="B1" sqref="B1"/>
      <selection pane="bottomLeft" activeCell="A31" sqref="A31"/>
      <selection pane="bottomRight"/>
    </sheetView>
  </sheetViews>
  <sheetFormatPr defaultColWidth="8.6640625" defaultRowHeight="14.4" x14ac:dyDescent="0.3"/>
  <cols>
    <col min="1" max="1" width="2" customWidth="1"/>
    <col min="2" max="2" width="52" customWidth="1"/>
    <col min="3" max="7" width="13" customWidth="1"/>
    <col min="8" max="9" width="14" customWidth="1"/>
    <col min="10" max="10" width="15" customWidth="1"/>
    <col min="11" max="11" width="2" customWidth="1"/>
    <col min="12" max="12" width="13" customWidth="1"/>
    <col min="13" max="13" width="12" customWidth="1"/>
    <col min="14" max="14" width="2" customWidth="1"/>
  </cols>
  <sheetData>
    <row r="1" spans="2:14" ht="24" customHeight="1" x14ac:dyDescent="0.3">
      <c r="B1" s="5" t="s">
        <v>0</v>
      </c>
      <c r="C1" s="5"/>
      <c r="D1" s="5"/>
      <c r="E1" s="5"/>
      <c r="F1" s="5"/>
      <c r="G1" s="5"/>
      <c r="H1" s="5"/>
      <c r="I1" s="5"/>
      <c r="J1" s="5"/>
    </row>
    <row r="2" spans="2:14" ht="15" customHeight="1" x14ac:dyDescent="0.3">
      <c r="B2" s="26" t="s">
        <v>72</v>
      </c>
    </row>
    <row r="3" spans="2:14" ht="13.5" customHeight="1" x14ac:dyDescent="0.3">
      <c r="B3" s="27" t="s">
        <v>947</v>
      </c>
    </row>
    <row r="5" spans="2:14" ht="16.5" customHeight="1" x14ac:dyDescent="0.3">
      <c r="B5" s="10" t="s">
        <v>948</v>
      </c>
      <c r="C5" s="10"/>
      <c r="D5" s="10"/>
      <c r="E5" s="10"/>
      <c r="F5" s="10"/>
      <c r="G5" s="10"/>
      <c r="H5" s="10"/>
      <c r="I5" s="10"/>
      <c r="J5" s="10"/>
    </row>
    <row r="6" spans="2:14" ht="25.5" customHeight="1" x14ac:dyDescent="0.3">
      <c r="B6" s="28" t="s">
        <v>949</v>
      </c>
      <c r="C6" s="28" t="s">
        <v>950</v>
      </c>
      <c r="D6" s="28" t="s">
        <v>951</v>
      </c>
      <c r="E6" s="28" t="s">
        <v>952</v>
      </c>
      <c r="N6" s="56"/>
    </row>
    <row r="7" spans="2:14" x14ac:dyDescent="0.3">
      <c r="B7" s="29" t="s">
        <v>105</v>
      </c>
      <c r="C7" s="150" t="s">
        <v>953</v>
      </c>
      <c r="D7" s="157">
        <f>'Sensitivity &amp; Scenarios'!C13</f>
        <v>0.13755225943997798</v>
      </c>
      <c r="E7" s="69">
        <f>0.01*'Control Panel'!$C$79</f>
        <v>0.01</v>
      </c>
      <c r="N7" s="31"/>
    </row>
    <row r="8" spans="2:14" x14ac:dyDescent="0.3">
      <c r="B8" s="29" t="s">
        <v>920</v>
      </c>
      <c r="C8" s="150" t="s">
        <v>954</v>
      </c>
      <c r="D8" s="157">
        <f>'Sensitivity &amp; Scenarios'!C14</f>
        <v>5.5E-2</v>
      </c>
      <c r="E8" s="69">
        <f>0.006*'Control Panel'!$C$79</f>
        <v>6.0000000000000001E-3</v>
      </c>
      <c r="N8" s="31"/>
    </row>
    <row r="9" spans="2:14" x14ac:dyDescent="0.3">
      <c r="B9" s="29" t="s">
        <v>955</v>
      </c>
      <c r="C9" s="150" t="s">
        <v>953</v>
      </c>
      <c r="D9" s="157">
        <f>'Sensitivity &amp; Scenarios'!C7</f>
        <v>0.16722109770254634</v>
      </c>
      <c r="E9" s="69">
        <f>0.03*'Control Panel'!$C$79</f>
        <v>0.03</v>
      </c>
      <c r="N9" s="31"/>
    </row>
    <row r="10" spans="2:14" x14ac:dyDescent="0.3">
      <c r="B10" s="29" t="s">
        <v>916</v>
      </c>
      <c r="C10" s="150" t="s">
        <v>953</v>
      </c>
      <c r="D10" s="157">
        <f>'Sensitivity &amp; Scenarios'!C8</f>
        <v>0.14499999999999991</v>
      </c>
      <c r="E10" s="69">
        <f>0.012*'Control Panel'!$C$79</f>
        <v>1.2E-2</v>
      </c>
      <c r="N10" s="31"/>
    </row>
    <row r="12" spans="2:14" x14ac:dyDescent="0.3">
      <c r="B12" s="32" t="s">
        <v>956</v>
      </c>
      <c r="C12" s="129">
        <v>1000</v>
      </c>
    </row>
    <row r="13" spans="2:14" x14ac:dyDescent="0.3">
      <c r="B13" s="32" t="s">
        <v>957</v>
      </c>
      <c r="C13" s="129">
        <v>42</v>
      </c>
    </row>
    <row r="14" spans="2:14" ht="12.75" customHeight="1" x14ac:dyDescent="0.3">
      <c r="B14" s="74"/>
    </row>
    <row r="16" spans="2:14" ht="16.5" customHeight="1" x14ac:dyDescent="0.3">
      <c r="B16" s="10" t="s">
        <v>958</v>
      </c>
      <c r="C16" s="10"/>
      <c r="D16" s="10"/>
      <c r="E16" s="10"/>
      <c r="F16" s="10"/>
      <c r="G16" s="10"/>
      <c r="H16" s="10"/>
      <c r="I16" s="10"/>
      <c r="J16" s="10"/>
    </row>
    <row r="17" spans="2:13" x14ac:dyDescent="0.3">
      <c r="B17" s="29" t="s">
        <v>959</v>
      </c>
      <c r="C17" s="205">
        <f>AVERAGE($J$31:$J$1030)</f>
        <v>2235.181786377867</v>
      </c>
    </row>
    <row r="18" spans="2:13" x14ac:dyDescent="0.3">
      <c r="B18" s="29" t="s">
        <v>960</v>
      </c>
      <c r="C18" s="205">
        <f>MEDIAN($J$31:$J$1030)</f>
        <v>2185.4860586212849</v>
      </c>
    </row>
    <row r="19" spans="2:13" x14ac:dyDescent="0.3">
      <c r="B19" s="32" t="s">
        <v>961</v>
      </c>
      <c r="C19" s="148">
        <f>STDEV($J$31:$J$1030)</f>
        <v>446.79021345173709</v>
      </c>
    </row>
    <row r="20" spans="2:13" x14ac:dyDescent="0.3">
      <c r="B20" s="32" t="s">
        <v>962</v>
      </c>
      <c r="C20" s="148">
        <f>PERCENTILE($J$31:$J$1030,0.05)</f>
        <v>1602.8347487713329</v>
      </c>
    </row>
    <row r="21" spans="2:13" x14ac:dyDescent="0.3">
      <c r="B21" s="32" t="s">
        <v>963</v>
      </c>
      <c r="C21" s="148">
        <f>PERCENTILE($J$31:$J$1030,0.25)</f>
        <v>1924.9670278558913</v>
      </c>
    </row>
    <row r="22" spans="2:13" x14ac:dyDescent="0.3">
      <c r="B22" s="32" t="s">
        <v>964</v>
      </c>
      <c r="C22" s="148">
        <f>PERCENTILE($J$31:$J$1030,0.75)</f>
        <v>2480.8023682654025</v>
      </c>
    </row>
    <row r="23" spans="2:13" x14ac:dyDescent="0.3">
      <c r="B23" s="32" t="s">
        <v>965</v>
      </c>
      <c r="C23" s="148">
        <f>PERCENTILE($J$31:$J$1030,0.95)</f>
        <v>3027.490437426155</v>
      </c>
    </row>
    <row r="24" spans="2:13" x14ac:dyDescent="0.3">
      <c r="B24" s="32" t="s">
        <v>111</v>
      </c>
      <c r="C24" s="148">
        <f>'Debt &amp; Cost of Capital'!C48</f>
        <v>4343</v>
      </c>
    </row>
    <row r="25" spans="2:13" x14ac:dyDescent="0.3">
      <c r="B25" s="29" t="s">
        <v>966</v>
      </c>
      <c r="C25" s="197">
        <f>COUNTIF($J$31:$J$1030,"&gt;"&amp;C24)/C12</f>
        <v>1E-3</v>
      </c>
    </row>
    <row r="26" spans="2:13" x14ac:dyDescent="0.3">
      <c r="B26" s="29" t="s">
        <v>967</v>
      </c>
      <c r="C26" s="197">
        <f>COUNTIF($J$31:$J$1030,"&lt;"&amp;C24*0.8)/C12</f>
        <v>0.98499999999999999</v>
      </c>
    </row>
    <row r="28" spans="2:13" ht="16.5" customHeight="1" x14ac:dyDescent="0.3">
      <c r="B28" s="10" t="s">
        <v>968</v>
      </c>
      <c r="C28" s="10"/>
      <c r="D28" s="10"/>
      <c r="E28" s="10"/>
      <c r="F28" s="10"/>
      <c r="G28" s="10"/>
      <c r="H28" s="10"/>
      <c r="I28" s="10"/>
      <c r="J28" s="10"/>
    </row>
    <row r="30" spans="2:13" ht="25.5" customHeight="1" x14ac:dyDescent="0.3">
      <c r="B30" s="28" t="s">
        <v>969</v>
      </c>
      <c r="C30" s="28" t="s">
        <v>105</v>
      </c>
      <c r="D30" s="28" t="s">
        <v>124</v>
      </c>
      <c r="E30" s="28" t="s">
        <v>970</v>
      </c>
      <c r="F30" s="28" t="s">
        <v>971</v>
      </c>
      <c r="G30" s="28" t="s">
        <v>972</v>
      </c>
      <c r="H30" s="28" t="s">
        <v>973</v>
      </c>
      <c r="I30" s="28" t="s">
        <v>974</v>
      </c>
      <c r="J30" s="28" t="s">
        <v>975</v>
      </c>
      <c r="L30" s="28" t="s">
        <v>277</v>
      </c>
      <c r="M30" s="28" t="s">
        <v>278</v>
      </c>
    </row>
    <row r="31" spans="2:13" x14ac:dyDescent="0.3">
      <c r="B31" s="127">
        <v>1</v>
      </c>
      <c r="C31" s="206">
        <f>$D$7+0.304717*$E$7</f>
        <v>0.14059942943997797</v>
      </c>
      <c r="D31" s="206">
        <f>MIN($D$8+-1.039984*$E$8,'Debt &amp; Cost of Capital'!$C$38)</f>
        <v>4.8760096000000003E-2</v>
      </c>
      <c r="E31" s="207">
        <f>$D$9+0.750451*$E$9</f>
        <v>0.18973462770254634</v>
      </c>
      <c r="F31" s="207">
        <f>$D$10+0.940565*$E$10</f>
        <v>0.1562867799999999</v>
      </c>
      <c r="G31" s="208">
        <f>$F31*(1-'Sensitivity &amp; Scenarios'!$C$12)+'Sensitivity &amp; Scenarios'!$C$9*'Sensitivity &amp; Scenarios'!$C$12-'Sensitivity &amp; Scenarios'!$C$10</f>
        <v>8.614481556246463E-2</v>
      </c>
      <c r="H31" s="209">
        <f>('Sensitivity &amp; Scenarios'!$C$6*(1+$E31)^1*$G31+'Sensitivity &amp; Scenarios'!$C$11*'Sensitivity &amp; Scenarios'!$C$6*((1+$E31)^1-(1+$E31)^0))*'Sensitivity &amp; Scenarios'!$C$18/(1+$C31)^'Sensitivity &amp; Scenarios'!$C$18+('Sensitivity &amp; Scenarios'!$C$6*(1+$E31)^2*$G31+'Sensitivity &amp; Scenarios'!$C$11*'Sensitivity &amp; Scenarios'!$C$6*((1+$E31)^2-(1+$E31)^1))/(1+$C31)^('Sensitivity &amp; Scenarios'!$C$18+1)+('Sensitivity &amp; Scenarios'!$C$6*(1+$E31)^3*$G31+'Sensitivity &amp; Scenarios'!$C$11*'Sensitivity &amp; Scenarios'!$C$6*((1+$E31)^3-(1+$E31)^2))/(1+$C31)^('Sensitivity &amp; Scenarios'!$C$18+2)+('Sensitivity &amp; Scenarios'!$C$6*(1+$E31)^4*$G31+'Sensitivity &amp; Scenarios'!$C$11*'Sensitivity &amp; Scenarios'!$C$6*((1+$E31)^4-(1+$E31)^3))/(1+$C31)^('Sensitivity &amp; Scenarios'!$C$18+3)+('Sensitivity &amp; Scenarios'!$C$6*(1+$E31)^5*$G31+'Sensitivity &amp; Scenarios'!$C$11*'Sensitivity &amp; Scenarios'!$C$6*((1+$E31)^5-(1+$E31)^4))/(1+$C31)^('Sensitivity &amp; Scenarios'!$C$18+4)</f>
        <v>27270.33432058373</v>
      </c>
      <c r="I31" s="209">
        <f>('Sensitivity &amp; Scenarios'!$C$6*(1+$E31)^5*$G31+'Sensitivity &amp; Scenarios'!$C$11*'Sensitivity &amp; Scenarios'!$C$6*((1+$E31)^5-(1+$E31)^4))*(1+$D31)/($C31-$D31)/(1+$C31)^('Sensitivity &amp; Scenarios'!$C$18+4)</f>
        <v>72530.044761321144</v>
      </c>
      <c r="J31" s="209">
        <f>($H31+$I31-'Sensitivity &amp; Scenarios'!$C$15+'Sensitivity &amp; Scenarios'!$C$16)/'Sensitivity &amp; Scenarios'!$C$17</f>
        <v>2387.2370205549551</v>
      </c>
      <c r="L31" s="209">
        <f>$C$20+($C$23-$C$20)/20*1</f>
        <v>1674.0675332040739</v>
      </c>
      <c r="M31" s="210">
        <f>COUNTIF($J$31:$J$1030,"&lt;="&amp;L31)</f>
        <v>78</v>
      </c>
    </row>
    <row r="32" spans="2:13" x14ac:dyDescent="0.3">
      <c r="B32" s="127">
        <v>2</v>
      </c>
      <c r="C32" s="206">
        <f>$D$7+-1.951035*$E$7</f>
        <v>0.11804190943997797</v>
      </c>
      <c r="D32" s="206">
        <f>MIN($D$8+-1.30218*$E$8,'Debt &amp; Cost of Capital'!$C$38)</f>
        <v>4.718692E-2</v>
      </c>
      <c r="E32" s="207">
        <f>$D$9+0.12784*$E$9</f>
        <v>0.17105629770254635</v>
      </c>
      <c r="F32" s="207">
        <f>$D$10+-0.316243*$E$10</f>
        <v>0.1412050839999999</v>
      </c>
      <c r="G32" s="208">
        <f>$F32*(1-'Sensitivity &amp; Scenarios'!$C$12)+'Sensitivity &amp; Scenarios'!$C$9*'Sensitivity &amp; Scenarios'!$C$12-'Sensitivity &amp; Scenarios'!$C$10</f>
        <v>7.4859182445664627E-2</v>
      </c>
      <c r="H32" s="209">
        <f>('Sensitivity &amp; Scenarios'!$C$6*(1+$E32)^1*$G32+'Sensitivity &amp; Scenarios'!$C$11*'Sensitivity &amp; Scenarios'!$C$6*((1+$E32)^1-(1+$E32)^0))*'Sensitivity &amp; Scenarios'!$C$18/(1+$C32)^'Sensitivity &amp; Scenarios'!$C$18+('Sensitivity &amp; Scenarios'!$C$6*(1+$E32)^2*$G32+'Sensitivity &amp; Scenarios'!$C$11*'Sensitivity &amp; Scenarios'!$C$6*((1+$E32)^2-(1+$E32)^1))/(1+$C32)^('Sensitivity &amp; Scenarios'!$C$18+1)+('Sensitivity &amp; Scenarios'!$C$6*(1+$E32)^3*$G32+'Sensitivity &amp; Scenarios'!$C$11*'Sensitivity &amp; Scenarios'!$C$6*((1+$E32)^3-(1+$E32)^2))/(1+$C32)^('Sensitivity &amp; Scenarios'!$C$18+2)+('Sensitivity &amp; Scenarios'!$C$6*(1+$E32)^4*$G32+'Sensitivity &amp; Scenarios'!$C$11*'Sensitivity &amp; Scenarios'!$C$6*((1+$E32)^4-(1+$E32)^3))/(1+$C32)^('Sensitivity &amp; Scenarios'!$C$18+3)+('Sensitivity &amp; Scenarios'!$C$6*(1+$E32)^5*$G32+'Sensitivity &amp; Scenarios'!$C$11*'Sensitivity &amp; Scenarios'!$C$6*((1+$E32)^5-(1+$E32)^4))/(1+$C32)^('Sensitivity &amp; Scenarios'!$C$18+4)</f>
        <v>24060.855309006503</v>
      </c>
      <c r="I32" s="209">
        <f>('Sensitivity &amp; Scenarios'!$C$6*(1+$E32)^5*$G32+'Sensitivity &amp; Scenarios'!$C$11*'Sensitivity &amp; Scenarios'!$C$6*((1+$E32)^5-(1+$E32)^4))*(1+$D32)/($C32-$D32)/(1+$C32)^('Sensitivity &amp; Scenarios'!$C$18+4)</f>
        <v>83429.620071607889</v>
      </c>
      <c r="J32" s="209">
        <f>($H32+$I32-'Sensitivity &amp; Scenarios'!$C$15+'Sensitivity &amp; Scenarios'!$C$16)/'Sensitivity &amp; Scenarios'!$C$17</f>
        <v>2549.1041374979477</v>
      </c>
      <c r="L32" s="209">
        <f>$C$20+($C$23-$C$20)/20*2</f>
        <v>1745.3003176368152</v>
      </c>
      <c r="M32" s="210">
        <f t="shared" ref="M32:M50" si="0">COUNTIF($J$31:$J$1030,"&lt;="&amp;L32)-COUNTIF($J$31:$J$1030,"&lt;="&amp;L31)</f>
        <v>36</v>
      </c>
    </row>
    <row r="33" spans="2:13" x14ac:dyDescent="0.3">
      <c r="B33" s="127">
        <v>3</v>
      </c>
      <c r="C33" s="206">
        <f>$D$7+-0.016801*$E$7</f>
        <v>0.13738424943997798</v>
      </c>
      <c r="D33" s="206">
        <f>MIN($D$8+-0.853044*$E$8,'Debt &amp; Cost of Capital'!$C$38)</f>
        <v>4.9881736000000003E-2</v>
      </c>
      <c r="E33" s="207">
        <f>$D$9+0.879398*$E$9</f>
        <v>0.19360303770254633</v>
      </c>
      <c r="F33" s="207">
        <f>$D$10+0.777792*$E$10</f>
        <v>0.1543335039999999</v>
      </c>
      <c r="G33" s="208">
        <f>$F33*(1-'Sensitivity &amp; Scenarios'!$C$12)+'Sensitivity &amp; Scenarios'!$C$9*'Sensitivity &amp; Scenarios'!$C$12-'Sensitivity &amp; Scenarios'!$C$10</f>
        <v>8.4683179131664635E-2</v>
      </c>
      <c r="H33" s="209">
        <f>('Sensitivity &amp; Scenarios'!$C$6*(1+$E33)^1*$G33+'Sensitivity &amp; Scenarios'!$C$11*'Sensitivity &amp; Scenarios'!$C$6*((1+$E33)^1-(1+$E33)^0))*'Sensitivity &amp; Scenarios'!$C$18/(1+$C33)^'Sensitivity &amp; Scenarios'!$C$18+('Sensitivity &amp; Scenarios'!$C$6*(1+$E33)^2*$G33+'Sensitivity &amp; Scenarios'!$C$11*'Sensitivity &amp; Scenarios'!$C$6*((1+$E33)^2-(1+$E33)^1))/(1+$C33)^('Sensitivity &amp; Scenarios'!$C$18+1)+('Sensitivity &amp; Scenarios'!$C$6*(1+$E33)^3*$G33+'Sensitivity &amp; Scenarios'!$C$11*'Sensitivity &amp; Scenarios'!$C$6*((1+$E33)^3-(1+$E33)^2))/(1+$C33)^('Sensitivity &amp; Scenarios'!$C$18+2)+('Sensitivity &amp; Scenarios'!$C$6*(1+$E33)^4*$G33+'Sensitivity &amp; Scenarios'!$C$11*'Sensitivity &amp; Scenarios'!$C$6*((1+$E33)^4-(1+$E33)^3))/(1+$C33)^('Sensitivity &amp; Scenarios'!$C$18+3)+('Sensitivity &amp; Scenarios'!$C$6*(1+$E33)^5*$G33+'Sensitivity &amp; Scenarios'!$C$11*'Sensitivity &amp; Scenarios'!$C$6*((1+$E33)^5-(1+$E33)^4))/(1+$C33)^('Sensitivity &amp; Scenarios'!$C$18+4)</f>
        <v>27471.766159654013</v>
      </c>
      <c r="I33" s="209">
        <f>('Sensitivity &amp; Scenarios'!$C$6*(1+$E33)^5*$G33+'Sensitivity &amp; Scenarios'!$C$11*'Sensitivity &amp; Scenarios'!$C$6*((1+$E33)^5-(1+$E33)^4))*(1+$D33)/($C33-$D33)/(1+$C33)^('Sensitivity &amp; Scenarios'!$C$18+4)</f>
        <v>77593.367853465563</v>
      </c>
      <c r="J33" s="209">
        <f>($H33+$I33-'Sensitivity &amp; Scenarios'!$C$15+'Sensitivity &amp; Scenarios'!$C$16)/'Sensitivity &amp; Scenarios'!$C$17</f>
        <v>2498.0536695311366</v>
      </c>
      <c r="L33" s="209">
        <f>$C$20+($C$23-$C$20)/20*3</f>
        <v>1816.5331020695562</v>
      </c>
      <c r="M33" s="210">
        <f t="shared" si="0"/>
        <v>55</v>
      </c>
    </row>
    <row r="34" spans="2:13" x14ac:dyDescent="0.3">
      <c r="B34" s="127">
        <v>4</v>
      </c>
      <c r="C34" s="206">
        <f>$D$7+0.066031*$E$7</f>
        <v>0.13821256943997798</v>
      </c>
      <c r="D34" s="206">
        <f>MIN($D$8+1.127241*$E$8,'Debt &amp; Cost of Capital'!$C$38)</f>
        <v>6.1763446E-2</v>
      </c>
      <c r="E34" s="207">
        <f>$D$9+0.467509*$E$9</f>
        <v>0.18124636770254635</v>
      </c>
      <c r="F34" s="207">
        <f>$D$10+-0.859292*$E$10</f>
        <v>0.13468849599999991</v>
      </c>
      <c r="G34" s="208">
        <f>$F34*(1-'Sensitivity &amp; Scenarios'!$C$12)+'Sensitivity &amp; Scenarios'!$C$9*'Sensitivity &amp; Scenarios'!$C$12-'Sensitivity &amp; Scenarios'!$C$10</f>
        <v>6.9982819645264635E-2</v>
      </c>
      <c r="H34" s="209">
        <f>('Sensitivity &amp; Scenarios'!$C$6*(1+$E34)^1*$G34+'Sensitivity &amp; Scenarios'!$C$11*'Sensitivity &amp; Scenarios'!$C$6*((1+$E34)^1-(1+$E34)^0))*'Sensitivity &amp; Scenarios'!$C$18/(1+$C34)^'Sensitivity &amp; Scenarios'!$C$18+('Sensitivity &amp; Scenarios'!$C$6*(1+$E34)^2*$G34+'Sensitivity &amp; Scenarios'!$C$11*'Sensitivity &amp; Scenarios'!$C$6*((1+$E34)^2-(1+$E34)^1))/(1+$C34)^('Sensitivity &amp; Scenarios'!$C$18+1)+('Sensitivity &amp; Scenarios'!$C$6*(1+$E34)^3*$G34+'Sensitivity &amp; Scenarios'!$C$11*'Sensitivity &amp; Scenarios'!$C$6*((1+$E34)^3-(1+$E34)^2))/(1+$C34)^('Sensitivity &amp; Scenarios'!$C$18+2)+('Sensitivity &amp; Scenarios'!$C$6*(1+$E34)^4*$G34+'Sensitivity &amp; Scenarios'!$C$11*'Sensitivity &amp; Scenarios'!$C$6*((1+$E34)^4-(1+$E34)^3))/(1+$C34)^('Sensitivity &amp; Scenarios'!$C$18+3)+('Sensitivity &amp; Scenarios'!$C$6*(1+$E34)^5*$G34+'Sensitivity &amp; Scenarios'!$C$11*'Sensitivity &amp; Scenarios'!$C$6*((1+$E34)^5-(1+$E34)^4))/(1+$C34)^('Sensitivity &amp; Scenarios'!$C$18+4)</f>
        <v>22456.866669270603</v>
      </c>
      <c r="I34" s="209">
        <f>('Sensitivity &amp; Scenarios'!$C$6*(1+$E34)^5*$G34+'Sensitivity &amp; Scenarios'!$C$11*'Sensitivity &amp; Scenarios'!$C$6*((1+$E34)^5-(1+$E34)^4))*(1+$D34)/($C34-$D34)/(1+$C34)^('Sensitivity &amp; Scenarios'!$C$18+4)</f>
        <v>71993.177590824358</v>
      </c>
      <c r="J34" s="209">
        <f>($H34+$I34-'Sensitivity &amp; Scenarios'!$C$15+'Sensitivity &amp; Scenarios'!$C$16)/'Sensitivity &amp; Scenarios'!$C$17</f>
        <v>2274.6190196033422</v>
      </c>
      <c r="L34" s="209">
        <f>$C$20+($C$23-$C$20)/20*4</f>
        <v>1887.7658865022972</v>
      </c>
      <c r="M34" s="210">
        <f t="shared" si="0"/>
        <v>47</v>
      </c>
    </row>
    <row r="35" spans="2:13" x14ac:dyDescent="0.3">
      <c r="B35" s="127">
        <v>5</v>
      </c>
      <c r="C35" s="206">
        <f>$D$7+0.368751*$E$7</f>
        <v>0.14123976943997799</v>
      </c>
      <c r="D35" s="206">
        <f>MIN($D$8+-0.958883*$E$8,'Debt &amp; Cost of Capital'!$C$38)</f>
        <v>4.9246702000000003E-2</v>
      </c>
      <c r="E35" s="207">
        <f>$D$9+0.87845*$E$9</f>
        <v>0.19357459770254634</v>
      </c>
      <c r="F35" s="207">
        <f>$D$10+-0.049926*$E$10</f>
        <v>0.14440088799999989</v>
      </c>
      <c r="G35" s="208">
        <f>$F35*(1-'Sensitivity &amp; Scenarios'!$C$12)+'Sensitivity &amp; Scenarios'!$C$9*'Sensitivity &amp; Scenarios'!$C$12-'Sensitivity &amp; Scenarios'!$C$10</f>
        <v>7.7250602578864624E-2</v>
      </c>
      <c r="H35" s="209">
        <f>('Sensitivity &amp; Scenarios'!$C$6*(1+$E35)^1*$G35+'Sensitivity &amp; Scenarios'!$C$11*'Sensitivity &amp; Scenarios'!$C$6*((1+$E35)^1-(1+$E35)^0))*'Sensitivity &amp; Scenarios'!$C$18/(1+$C35)^'Sensitivity &amp; Scenarios'!$C$18+('Sensitivity &amp; Scenarios'!$C$6*(1+$E35)^2*$G35+'Sensitivity &amp; Scenarios'!$C$11*'Sensitivity &amp; Scenarios'!$C$6*((1+$E35)^2-(1+$E35)^1))/(1+$C35)^('Sensitivity &amp; Scenarios'!$C$18+1)+('Sensitivity &amp; Scenarios'!$C$6*(1+$E35)^3*$G35+'Sensitivity &amp; Scenarios'!$C$11*'Sensitivity &amp; Scenarios'!$C$6*((1+$E35)^3-(1+$E35)^2))/(1+$C35)^('Sensitivity &amp; Scenarios'!$C$18+2)+('Sensitivity &amp; Scenarios'!$C$6*(1+$E35)^4*$G35+'Sensitivity &amp; Scenarios'!$C$11*'Sensitivity &amp; Scenarios'!$C$6*((1+$E35)^4-(1+$E35)^3))/(1+$C35)^('Sensitivity &amp; Scenarios'!$C$18+3)+('Sensitivity &amp; Scenarios'!$C$6*(1+$E35)^5*$G35+'Sensitivity &amp; Scenarios'!$C$11*'Sensitivity &amp; Scenarios'!$C$6*((1+$E35)^5-(1+$E35)^4))/(1+$C35)^('Sensitivity &amp; Scenarios'!$C$18+4)</f>
        <v>25230.915348939212</v>
      </c>
      <c r="I35" s="209">
        <f>('Sensitivity &amp; Scenarios'!$C$6*(1+$E35)^5*$G35+'Sensitivity &amp; Scenarios'!$C$11*'Sensitivity &amp; Scenarios'!$C$6*((1+$E35)^5-(1+$E35)^4))*(1+$D35)/($C35-$D35)/(1+$C35)^('Sensitivity &amp; Scenarios'!$C$18+4)</f>
        <v>67339.955910295277</v>
      </c>
      <c r="J35" s="209">
        <f>($H35+$I35-'Sensitivity &amp; Scenarios'!$C$15+'Sensitivity &amp; Scenarios'!$C$16)/'Sensitivity &amp; Scenarios'!$C$17</f>
        <v>2235.0647274240055</v>
      </c>
      <c r="L35" s="209">
        <f>$C$20+($C$23-$C$20)/20*5</f>
        <v>1958.9986709350385</v>
      </c>
      <c r="M35" s="210">
        <f t="shared" si="0"/>
        <v>62</v>
      </c>
    </row>
    <row r="36" spans="2:13" x14ac:dyDescent="0.3">
      <c r="B36" s="127">
        <v>6</v>
      </c>
      <c r="C36" s="206">
        <f>$D$7+-0.184862*$E$7</f>
        <v>0.13570363943997799</v>
      </c>
      <c r="D36" s="206">
        <f>MIN($D$8+-0.68093*$E$8,'Debt &amp; Cost of Capital'!$C$38)</f>
        <v>5.0914420000000002E-2</v>
      </c>
      <c r="E36" s="207">
        <f>$D$9+1.222541*$E$9</f>
        <v>0.20389732770254634</v>
      </c>
      <c r="F36" s="207">
        <f>$D$10+-0.154529*$E$10</f>
        <v>0.1431456519999999</v>
      </c>
      <c r="G36" s="208">
        <f>$F36*(1-'Sensitivity &amp; Scenarios'!$C$12)+'Sensitivity &amp; Scenarios'!$C$9*'Sensitivity &amp; Scenarios'!$C$12-'Sensitivity &amp; Scenarios'!$C$10</f>
        <v>7.6311309480064635E-2</v>
      </c>
      <c r="H36" s="209">
        <f>('Sensitivity &amp; Scenarios'!$C$6*(1+$E36)^1*$G36+'Sensitivity &amp; Scenarios'!$C$11*'Sensitivity &amp; Scenarios'!$C$6*((1+$E36)^1-(1+$E36)^0))*'Sensitivity &amp; Scenarios'!$C$18/(1+$C36)^'Sensitivity &amp; Scenarios'!$C$18+('Sensitivity &amp; Scenarios'!$C$6*(1+$E36)^2*$G36+'Sensitivity &amp; Scenarios'!$C$11*'Sensitivity &amp; Scenarios'!$C$6*((1+$E36)^2-(1+$E36)^1))/(1+$C36)^('Sensitivity &amp; Scenarios'!$C$18+1)+('Sensitivity &amp; Scenarios'!$C$6*(1+$E36)^3*$G36+'Sensitivity &amp; Scenarios'!$C$11*'Sensitivity &amp; Scenarios'!$C$6*((1+$E36)^3-(1+$E36)^2))/(1+$C36)^('Sensitivity &amp; Scenarios'!$C$18+2)+('Sensitivity &amp; Scenarios'!$C$6*(1+$E36)^4*$G36+'Sensitivity &amp; Scenarios'!$C$11*'Sensitivity &amp; Scenarios'!$C$6*((1+$E36)^4-(1+$E36)^3))/(1+$C36)^('Sensitivity &amp; Scenarios'!$C$18+3)+('Sensitivity &amp; Scenarios'!$C$6*(1+$E36)^5*$G36+'Sensitivity &amp; Scenarios'!$C$11*'Sensitivity &amp; Scenarios'!$C$6*((1+$E36)^5-(1+$E36)^4))/(1+$C36)^('Sensitivity &amp; Scenarios'!$C$18+4)</f>
        <v>26272.708862007956</v>
      </c>
      <c r="I36" s="209">
        <f>('Sensitivity &amp; Scenarios'!$C$6*(1+$E36)^5*$G36+'Sensitivity &amp; Scenarios'!$C$11*'Sensitivity &amp; Scenarios'!$C$6*((1+$E36)^5-(1+$E36)^4))*(1+$D36)/($C36-$D36)/(1+$C36)^('Sensitivity &amp; Scenarios'!$C$18+4)</f>
        <v>78015.186107056026</v>
      </c>
      <c r="J36" s="209">
        <f>($H36+$I36-'Sensitivity &amp; Scenarios'!$C$15+'Sensitivity &amp; Scenarios'!$C$16)/'Sensitivity &amp; Scenarios'!$C$17</f>
        <v>2481.6937387383432</v>
      </c>
      <c r="L36" s="209">
        <f>$C$20+($C$23-$C$20)/20*6</f>
        <v>2030.2314553677795</v>
      </c>
      <c r="M36" s="210">
        <f t="shared" si="0"/>
        <v>64</v>
      </c>
    </row>
    <row r="37" spans="2:13" x14ac:dyDescent="0.3">
      <c r="B37" s="127">
        <v>7</v>
      </c>
      <c r="C37" s="206">
        <f>$D$7+-0.428328*$E$7</f>
        <v>0.13326897943997798</v>
      </c>
      <c r="D37" s="206">
        <f>MIN($D$8+-0.352134*$E$8,'Debt &amp; Cost of Capital'!$C$38)</f>
        <v>5.2887195999999997E-2</v>
      </c>
      <c r="E37" s="207">
        <f>$D$9+0.532309*$E$9</f>
        <v>0.18319036770254635</v>
      </c>
      <c r="F37" s="207">
        <f>$D$10+0.365444*$E$10</f>
        <v>0.1493853279999999</v>
      </c>
      <c r="G37" s="208">
        <f>$F37*(1-'Sensitivity &amp; Scenarios'!$C$12)+'Sensitivity &amp; Scenarios'!$C$9*'Sensitivity &amp; Scenarios'!$C$12-'Sensitivity &amp; Scenarios'!$C$10</f>
        <v>8.0980459030864635E-2</v>
      </c>
      <c r="H37" s="209">
        <f>('Sensitivity &amp; Scenarios'!$C$6*(1+$E37)^1*$G37+'Sensitivity &amp; Scenarios'!$C$11*'Sensitivity &amp; Scenarios'!$C$6*((1+$E37)^1-(1+$E37)^0))*'Sensitivity &amp; Scenarios'!$C$18/(1+$C37)^'Sensitivity &amp; Scenarios'!$C$18+('Sensitivity &amp; Scenarios'!$C$6*(1+$E37)^2*$G37+'Sensitivity &amp; Scenarios'!$C$11*'Sensitivity &amp; Scenarios'!$C$6*((1+$E37)^2-(1+$E37)^1))/(1+$C37)^('Sensitivity &amp; Scenarios'!$C$18+1)+('Sensitivity &amp; Scenarios'!$C$6*(1+$E37)^3*$G37+'Sensitivity &amp; Scenarios'!$C$11*'Sensitivity &amp; Scenarios'!$C$6*((1+$E37)^3-(1+$E37)^2))/(1+$C37)^('Sensitivity &amp; Scenarios'!$C$18+2)+('Sensitivity &amp; Scenarios'!$C$6*(1+$E37)^4*$G37+'Sensitivity &amp; Scenarios'!$C$11*'Sensitivity &amp; Scenarios'!$C$6*((1+$E37)^4-(1+$E37)^3))/(1+$C37)^('Sensitivity &amp; Scenarios'!$C$18+3)+('Sensitivity &amp; Scenarios'!$C$6*(1+$E37)^5*$G37+'Sensitivity &amp; Scenarios'!$C$11*'Sensitivity &amp; Scenarios'!$C$6*((1+$E37)^5-(1+$E37)^4))/(1+$C37)^('Sensitivity &amp; Scenarios'!$C$18+4)</f>
        <v>25794.288864164198</v>
      </c>
      <c r="I37" s="209">
        <f>('Sensitivity &amp; Scenarios'!$C$6*(1+$E37)^5*$G37+'Sensitivity &amp; Scenarios'!$C$11*'Sensitivity &amp; Scenarios'!$C$6*((1+$E37)^5-(1+$E37)^4))*(1+$D37)/($C37-$D37)/(1+$C37)^('Sensitivity &amp; Scenarios'!$C$18+4)</f>
        <v>78820.972585239128</v>
      </c>
      <c r="J37" s="209">
        <f>($H37+$I37-'Sensitivity &amp; Scenarios'!$C$15+'Sensitivity &amp; Scenarios'!$C$16)/'Sensitivity &amp; Scenarios'!$C$17</f>
        <v>2488.5844025607453</v>
      </c>
      <c r="L37" s="209">
        <f>$C$20+($C$23-$C$20)/20*7</f>
        <v>2101.4642398005208</v>
      </c>
      <c r="M37" s="210">
        <f t="shared" si="0"/>
        <v>77</v>
      </c>
    </row>
    <row r="38" spans="2:13" x14ac:dyDescent="0.3">
      <c r="B38" s="127">
        <v>8</v>
      </c>
      <c r="C38" s="206">
        <f>$D$7+0.412733*$E$7</f>
        <v>0.14167958943997799</v>
      </c>
      <c r="D38" s="206">
        <f>MIN($D$8+0.430821*$E$8,'Debt &amp; Cost of Capital'!$C$38)</f>
        <v>5.7584926000000002E-2</v>
      </c>
      <c r="E38" s="207">
        <f>$D$9+2.141648*$E$9</f>
        <v>0.23147053770254633</v>
      </c>
      <c r="F38" s="207">
        <f>$D$10+-0.406415*$E$10</f>
        <v>0.1401230199999999</v>
      </c>
      <c r="G38" s="208">
        <f>$F38*(1-'Sensitivity &amp; Scenarios'!$C$12)+'Sensitivity &amp; Scenarios'!$C$9*'Sensitivity &amp; Scenarios'!$C$12-'Sensitivity &amp; Scenarios'!$C$10</f>
        <v>7.4049473954464637E-2</v>
      </c>
      <c r="H38" s="209">
        <f>('Sensitivity &amp; Scenarios'!$C$6*(1+$E38)^1*$G38+'Sensitivity &amp; Scenarios'!$C$11*'Sensitivity &amp; Scenarios'!$C$6*((1+$E38)^1-(1+$E38)^0))*'Sensitivity &amp; Scenarios'!$C$18/(1+$C38)^'Sensitivity &amp; Scenarios'!$C$18+('Sensitivity &amp; Scenarios'!$C$6*(1+$E38)^2*$G38+'Sensitivity &amp; Scenarios'!$C$11*'Sensitivity &amp; Scenarios'!$C$6*((1+$E38)^2-(1+$E38)^1))/(1+$C38)^('Sensitivity &amp; Scenarios'!$C$18+1)+('Sensitivity &amp; Scenarios'!$C$6*(1+$E38)^3*$G38+'Sensitivity &amp; Scenarios'!$C$11*'Sensitivity &amp; Scenarios'!$C$6*((1+$E38)^3-(1+$E38)^2))/(1+$C38)^('Sensitivity &amp; Scenarios'!$C$18+2)+('Sensitivity &amp; Scenarios'!$C$6*(1+$E38)^4*$G38+'Sensitivity &amp; Scenarios'!$C$11*'Sensitivity &amp; Scenarios'!$C$6*((1+$E38)^4-(1+$E38)^3))/(1+$C38)^('Sensitivity &amp; Scenarios'!$C$18+3)+('Sensitivity &amp; Scenarios'!$C$6*(1+$E38)^5*$G38+'Sensitivity &amp; Scenarios'!$C$11*'Sensitivity &amp; Scenarios'!$C$6*((1+$E38)^5-(1+$E38)^4))/(1+$C38)^('Sensitivity &amp; Scenarios'!$C$18+4)</f>
        <v>27805.450990899568</v>
      </c>
      <c r="I38" s="209">
        <f>('Sensitivity &amp; Scenarios'!$C$6*(1+$E38)^5*$G38+'Sensitivity &amp; Scenarios'!$C$11*'Sensitivity &amp; Scenarios'!$C$6*((1+$E38)^5-(1+$E38)^4))*(1+$D38)/($C38-$D38)/(1+$C38)^('Sensitivity &amp; Scenarios'!$C$18+4)</f>
        <v>86322.400988660884</v>
      </c>
      <c r="J38" s="209">
        <f>($H38+$I38-'Sensitivity &amp; Scenarios'!$C$15+'Sensitivity &amp; Scenarios'!$C$16)/'Sensitivity &amp; Scenarios'!$C$17</f>
        <v>2688.8127929430775</v>
      </c>
      <c r="L38" s="209">
        <f>$C$20+($C$23-$C$20)/20*8</f>
        <v>2172.6970242332618</v>
      </c>
      <c r="M38" s="210">
        <f t="shared" si="0"/>
        <v>66</v>
      </c>
    </row>
    <row r="39" spans="2:13" x14ac:dyDescent="0.3">
      <c r="B39" s="127">
        <v>9</v>
      </c>
      <c r="C39" s="206">
        <f>$D$7+-0.512243*$E$7</f>
        <v>0.13242982943997797</v>
      </c>
      <c r="D39" s="206">
        <f>MIN($D$8+-0.813773*$E$8,'Debt &amp; Cost of Capital'!$C$38)</f>
        <v>5.0117361999999999E-2</v>
      </c>
      <c r="E39" s="207">
        <f>$D$9+0.615979*$E$9</f>
        <v>0.18570046770254633</v>
      </c>
      <c r="F39" s="207">
        <f>$D$10+1.128972*$E$10</f>
        <v>0.15854766399999992</v>
      </c>
      <c r="G39" s="208">
        <f>$F39*(1-'Sensitivity &amp; Scenarios'!$C$12)+'Sensitivity &amp; Scenarios'!$C$9*'Sensitivity &amp; Scenarios'!$C$12-'Sensitivity &amp; Scenarios'!$C$10</f>
        <v>8.7836635059664644E-2</v>
      </c>
      <c r="H39" s="209">
        <f>('Sensitivity &amp; Scenarios'!$C$6*(1+$E39)^1*$G39+'Sensitivity &amp; Scenarios'!$C$11*'Sensitivity &amp; Scenarios'!$C$6*((1+$E39)^1-(1+$E39)^0))*'Sensitivity &amp; Scenarios'!$C$18/(1+$C39)^'Sensitivity &amp; Scenarios'!$C$18+('Sensitivity &amp; Scenarios'!$C$6*(1+$E39)^2*$G39+'Sensitivity &amp; Scenarios'!$C$11*'Sensitivity &amp; Scenarios'!$C$6*((1+$E39)^2-(1+$E39)^1))/(1+$C39)^('Sensitivity &amp; Scenarios'!$C$18+1)+('Sensitivity &amp; Scenarios'!$C$6*(1+$E39)^3*$G39+'Sensitivity &amp; Scenarios'!$C$11*'Sensitivity &amp; Scenarios'!$C$6*((1+$E39)^3-(1+$E39)^2))/(1+$C39)^('Sensitivity &amp; Scenarios'!$C$18+2)+('Sensitivity &amp; Scenarios'!$C$6*(1+$E39)^4*$G39+'Sensitivity &amp; Scenarios'!$C$11*'Sensitivity &amp; Scenarios'!$C$6*((1+$E39)^4-(1+$E39)^3))/(1+$C39)^('Sensitivity &amp; Scenarios'!$C$18+3)+('Sensitivity &amp; Scenarios'!$C$6*(1+$E39)^5*$G39+'Sensitivity &amp; Scenarios'!$C$11*'Sensitivity &amp; Scenarios'!$C$6*((1+$E39)^5-(1+$E39)^4))/(1+$C39)^('Sensitivity &amp; Scenarios'!$C$18+4)</f>
        <v>27900.214972193127</v>
      </c>
      <c r="I39" s="209">
        <f>('Sensitivity &amp; Scenarios'!$C$6*(1+$E39)^5*$G39+'Sensitivity &amp; Scenarios'!$C$11*'Sensitivity &amp; Scenarios'!$C$6*((1+$E39)^5-(1+$E39)^4))*(1+$D39)/($C39-$D39)/(1+$C39)^('Sensitivity &amp; Scenarios'!$C$18+4)</f>
        <v>83456.650783358346</v>
      </c>
      <c r="J39" s="209">
        <f>($H39+$I39-'Sensitivity &amp; Scenarios'!$C$15+'Sensitivity &amp; Scenarios'!$C$16)/'Sensitivity &amp; Scenarios'!$C$17</f>
        <v>2630.4869237020966</v>
      </c>
      <c r="L39" s="209">
        <f>$C$20+($C$23-$C$20)/20*9</f>
        <v>2243.9298086660028</v>
      </c>
      <c r="M39" s="210">
        <f t="shared" si="0"/>
        <v>75</v>
      </c>
    </row>
    <row r="40" spans="2:13" x14ac:dyDescent="0.3">
      <c r="B40" s="127">
        <v>10</v>
      </c>
      <c r="C40" s="206">
        <f>$D$7+-0.113947*$E$7</f>
        <v>0.13641278943997798</v>
      </c>
      <c r="D40" s="206">
        <f>MIN($D$8+-0.840156*$E$8,'Debt &amp; Cost of Capital'!$C$38)</f>
        <v>4.9959063999999997E-2</v>
      </c>
      <c r="E40" s="207">
        <f>$D$9+-0.824481*$E$9</f>
        <v>0.14248666770254634</v>
      </c>
      <c r="F40" s="207">
        <f>$D$10+0.650593*$E$10</f>
        <v>0.15280711599999991</v>
      </c>
      <c r="G40" s="208">
        <f>$F40*(1-'Sensitivity &amp; Scenarios'!$C$12)+'Sensitivity &amp; Scenarios'!$C$9*'Sensitivity &amp; Scenarios'!$C$12-'Sensitivity &amp; Scenarios'!$C$10</f>
        <v>8.354098299126464E-2</v>
      </c>
      <c r="H40" s="209">
        <f>('Sensitivity &amp; Scenarios'!$C$6*(1+$E40)^1*$G40+'Sensitivity &amp; Scenarios'!$C$11*'Sensitivity &amp; Scenarios'!$C$6*((1+$E40)^1-(1+$E40)^0))*'Sensitivity &amp; Scenarios'!$C$18/(1+$C40)^'Sensitivity &amp; Scenarios'!$C$18+('Sensitivity &amp; Scenarios'!$C$6*(1+$E40)^2*$G40+'Sensitivity &amp; Scenarios'!$C$11*'Sensitivity &amp; Scenarios'!$C$6*((1+$E40)^2-(1+$E40)^1))/(1+$C40)^('Sensitivity &amp; Scenarios'!$C$18+1)+('Sensitivity &amp; Scenarios'!$C$6*(1+$E40)^3*$G40+'Sensitivity &amp; Scenarios'!$C$11*'Sensitivity &amp; Scenarios'!$C$6*((1+$E40)^3-(1+$E40)^2))/(1+$C40)^('Sensitivity &amp; Scenarios'!$C$18+2)+('Sensitivity &amp; Scenarios'!$C$6*(1+$E40)^4*$G40+'Sensitivity &amp; Scenarios'!$C$11*'Sensitivity &amp; Scenarios'!$C$6*((1+$E40)^4-(1+$E40)^3))/(1+$C40)^('Sensitivity &amp; Scenarios'!$C$18+3)+('Sensitivity &amp; Scenarios'!$C$6*(1+$E40)^5*$G40+'Sensitivity &amp; Scenarios'!$C$11*'Sensitivity &amp; Scenarios'!$C$6*((1+$E40)^5-(1+$E40)^4))/(1+$C40)^('Sensitivity &amp; Scenarios'!$C$18+4)</f>
        <v>22702.902354971782</v>
      </c>
      <c r="I40" s="209">
        <f>('Sensitivity &amp; Scenarios'!$C$6*(1+$E40)^5*$G40+'Sensitivity &amp; Scenarios'!$C$11*'Sensitivity &amp; Scenarios'!$C$6*((1+$E40)^5-(1+$E40)^4))*(1+$D40)/($C40-$D40)/(1+$C40)^('Sensitivity &amp; Scenarios'!$C$18+4)</f>
        <v>60099.553300872496</v>
      </c>
      <c r="J40" s="209">
        <f>($H40+$I40-'Sensitivity &amp; Scenarios'!$C$15+'Sensitivity &amp; Scenarios'!$C$16)/'Sensitivity &amp; Scenarios'!$C$17</f>
        <v>2029.4515322957398</v>
      </c>
      <c r="L40" s="209">
        <f>$C$20+($C$23-$C$20)/20*10</f>
        <v>2315.1625930987439</v>
      </c>
      <c r="M40" s="210">
        <f t="shared" si="0"/>
        <v>65</v>
      </c>
    </row>
    <row r="41" spans="2:13" x14ac:dyDescent="0.3">
      <c r="B41" s="127">
        <v>11</v>
      </c>
      <c r="C41" s="206">
        <f>$D$7+0.743254*$E$7</f>
        <v>0.14498479943997797</v>
      </c>
      <c r="D41" s="206">
        <f>MIN($D$8+0.543154*$E$8,'Debt &amp; Cost of Capital'!$C$38)</f>
        <v>5.8258924000000004E-2</v>
      </c>
      <c r="E41" s="207">
        <f>$D$9+-0.66551*$E$9</f>
        <v>0.14725579770254635</v>
      </c>
      <c r="F41" s="207">
        <f>$D$10+0.232161*$E$10</f>
        <v>0.1477859319999999</v>
      </c>
      <c r="G41" s="208">
        <f>$F41*(1-'Sensitivity &amp; Scenarios'!$C$12)+'Sensitivity &amp; Scenarios'!$C$9*'Sensitivity &amp; Scenarios'!$C$12-'Sensitivity &amp; Scenarios'!$C$10</f>
        <v>7.9783631004064631E-2</v>
      </c>
      <c r="H41" s="209">
        <f>('Sensitivity &amp; Scenarios'!$C$6*(1+$E41)^1*$G41+'Sensitivity &amp; Scenarios'!$C$11*'Sensitivity &amp; Scenarios'!$C$6*((1+$E41)^1-(1+$E41)^0))*'Sensitivity &amp; Scenarios'!$C$18/(1+$C41)^'Sensitivity &amp; Scenarios'!$C$18+('Sensitivity &amp; Scenarios'!$C$6*(1+$E41)^2*$G41+'Sensitivity &amp; Scenarios'!$C$11*'Sensitivity &amp; Scenarios'!$C$6*((1+$E41)^2-(1+$E41)^1))/(1+$C41)^('Sensitivity &amp; Scenarios'!$C$18+1)+('Sensitivity &amp; Scenarios'!$C$6*(1+$E41)^3*$G41+'Sensitivity &amp; Scenarios'!$C$11*'Sensitivity &amp; Scenarios'!$C$6*((1+$E41)^3-(1+$E41)^2))/(1+$C41)^('Sensitivity &amp; Scenarios'!$C$18+2)+('Sensitivity &amp; Scenarios'!$C$6*(1+$E41)^4*$G41+'Sensitivity &amp; Scenarios'!$C$11*'Sensitivity &amp; Scenarios'!$C$6*((1+$E41)^4-(1+$E41)^3))/(1+$C41)^('Sensitivity &amp; Scenarios'!$C$18+3)+('Sensitivity &amp; Scenarios'!$C$6*(1+$E41)^5*$G41+'Sensitivity &amp; Scenarios'!$C$11*'Sensitivity &amp; Scenarios'!$C$6*((1+$E41)^5-(1+$E41)^4))/(1+$C41)^('Sensitivity &amp; Scenarios'!$C$18+4)</f>
        <v>21748.060810733863</v>
      </c>
      <c r="I41" s="209">
        <f>('Sensitivity &amp; Scenarios'!$C$6*(1+$E41)^5*$G41+'Sensitivity &amp; Scenarios'!$C$11*'Sensitivity &amp; Scenarios'!$C$6*((1+$E41)^5-(1+$E41)^4))*(1+$D41)/($C41-$D41)/(1+$C41)^('Sensitivity &amp; Scenarios'!$C$18+4)</f>
        <v>57490.513851856034</v>
      </c>
      <c r="J41" s="209">
        <f>($H41+$I41-'Sensitivity &amp; Scenarios'!$C$15+'Sensitivity &amp; Scenarios'!$C$16)/'Sensitivity &amp; Scenarios'!$C$17</f>
        <v>1954.4361984041711</v>
      </c>
      <c r="L41" s="209">
        <f>$C$20+($C$23-$C$20)/20*11</f>
        <v>2386.3953775314849</v>
      </c>
      <c r="M41" s="210">
        <f t="shared" si="0"/>
        <v>56</v>
      </c>
    </row>
    <row r="42" spans="2:13" x14ac:dyDescent="0.3">
      <c r="B42" s="127">
        <v>12</v>
      </c>
      <c r="C42" s="206">
        <f>$D$7+0.116686*$E$7</f>
        <v>0.13871911943997797</v>
      </c>
      <c r="D42" s="206">
        <f>MIN($D$8+0.218689*$E$8,'Debt &amp; Cost of Capital'!$C$38)</f>
        <v>5.6312134E-2</v>
      </c>
      <c r="E42" s="207">
        <f>$D$9+0.871429*$E$9</f>
        <v>0.19336396770254632</v>
      </c>
      <c r="F42" s="207">
        <f>$D$10+0.223596*$E$10</f>
        <v>0.1476831519999999</v>
      </c>
      <c r="G42" s="208">
        <f>$F42*(1-'Sensitivity &amp; Scenarios'!$C$12)+'Sensitivity &amp; Scenarios'!$C$9*'Sensitivity &amp; Scenarios'!$C$12-'Sensitivity &amp; Scenarios'!$C$10</f>
        <v>7.9706720730064629E-2</v>
      </c>
      <c r="H42" s="209">
        <f>('Sensitivity &amp; Scenarios'!$C$6*(1+$E42)^1*$G42+'Sensitivity &amp; Scenarios'!$C$11*'Sensitivity &amp; Scenarios'!$C$6*((1+$E42)^1-(1+$E42)^0))*'Sensitivity &amp; Scenarios'!$C$18/(1+$C42)^'Sensitivity &amp; Scenarios'!$C$18+('Sensitivity &amp; Scenarios'!$C$6*(1+$E42)^2*$G42+'Sensitivity &amp; Scenarios'!$C$11*'Sensitivity &amp; Scenarios'!$C$6*((1+$E42)^2-(1+$E42)^1))/(1+$C42)^('Sensitivity &amp; Scenarios'!$C$18+1)+('Sensitivity &amp; Scenarios'!$C$6*(1+$E42)^3*$G42+'Sensitivity &amp; Scenarios'!$C$11*'Sensitivity &amp; Scenarios'!$C$6*((1+$E42)^3-(1+$E42)^2))/(1+$C42)^('Sensitivity &amp; Scenarios'!$C$18+2)+('Sensitivity &amp; Scenarios'!$C$6*(1+$E42)^4*$G42+'Sensitivity &amp; Scenarios'!$C$11*'Sensitivity &amp; Scenarios'!$C$6*((1+$E42)^4-(1+$E42)^3))/(1+$C42)^('Sensitivity &amp; Scenarios'!$C$18+3)+('Sensitivity &amp; Scenarios'!$C$6*(1+$E42)^5*$G42+'Sensitivity &amp; Scenarios'!$C$11*'Sensitivity &amp; Scenarios'!$C$6*((1+$E42)^5-(1+$E42)^4))/(1+$C42)^('Sensitivity &amp; Scenarios'!$C$18+4)</f>
        <v>26028.396368281647</v>
      </c>
      <c r="I42" s="209">
        <f>('Sensitivity &amp; Scenarios'!$C$6*(1+$E42)^5*$G42+'Sensitivity &amp; Scenarios'!$C$11*'Sensitivity &amp; Scenarios'!$C$6*((1+$E42)^5-(1+$E42)^4))*(1+$D42)/($C42-$D42)/(1+$C42)^('Sensitivity &amp; Scenarios'!$C$18+4)</f>
        <v>78351.419245117591</v>
      </c>
      <c r="J42" s="209">
        <f>($H42+$I42-'Sensitivity &amp; Scenarios'!$C$15+'Sensitivity &amp; Scenarios'!$C$16)/'Sensitivity &amp; Scenarios'!$C$17</f>
        <v>2483.6285558210093</v>
      </c>
      <c r="L42" s="209">
        <f>$C$20+($C$23-$C$20)/20*12</f>
        <v>2457.6281619642264</v>
      </c>
      <c r="M42" s="210">
        <f t="shared" si="0"/>
        <v>54</v>
      </c>
    </row>
    <row r="43" spans="2:13" x14ac:dyDescent="0.3">
      <c r="B43" s="127">
        <v>13</v>
      </c>
      <c r="C43" s="206">
        <f>$D$7+0.678914*$E$7</f>
        <v>0.14434139943997798</v>
      </c>
      <c r="D43" s="206">
        <f>MIN($D$8+0.067579*$E$8,'Debt &amp; Cost of Capital'!$C$38)</f>
        <v>5.5405474000000003E-2</v>
      </c>
      <c r="E43" s="207">
        <f>$D$9+0.289119*$E$9</f>
        <v>0.17589466770254633</v>
      </c>
      <c r="F43" s="207">
        <f>$D$10+0.631288*$E$10</f>
        <v>0.15257545599999991</v>
      </c>
      <c r="G43" s="208">
        <f>$F43*(1-'Sensitivity &amp; Scenarios'!$C$12)+'Sensitivity &amp; Scenarios'!$C$9*'Sensitivity &amp; Scenarios'!$C$12-'Sensitivity &amp; Scenarios'!$C$10</f>
        <v>8.3367631813264648E-2</v>
      </c>
      <c r="H43" s="209">
        <f>('Sensitivity &amp; Scenarios'!$C$6*(1+$E43)^1*$G43+'Sensitivity &amp; Scenarios'!$C$11*'Sensitivity &amp; Scenarios'!$C$6*((1+$E43)^1-(1+$E43)^0))*'Sensitivity &amp; Scenarios'!$C$18/(1+$C43)^'Sensitivity &amp; Scenarios'!$C$18+('Sensitivity &amp; Scenarios'!$C$6*(1+$E43)^2*$G43+'Sensitivity &amp; Scenarios'!$C$11*'Sensitivity &amp; Scenarios'!$C$6*((1+$E43)^2-(1+$E43)^1))/(1+$C43)^('Sensitivity &amp; Scenarios'!$C$18+1)+('Sensitivity &amp; Scenarios'!$C$6*(1+$E43)^3*$G43+'Sensitivity &amp; Scenarios'!$C$11*'Sensitivity &amp; Scenarios'!$C$6*((1+$E43)^3-(1+$E43)^2))/(1+$C43)^('Sensitivity &amp; Scenarios'!$C$18+2)+('Sensitivity &amp; Scenarios'!$C$6*(1+$E43)^4*$G43+'Sensitivity &amp; Scenarios'!$C$11*'Sensitivity &amp; Scenarios'!$C$6*((1+$E43)^4-(1+$E43)^3))/(1+$C43)^('Sensitivity &amp; Scenarios'!$C$18+3)+('Sensitivity &amp; Scenarios'!$C$6*(1+$E43)^5*$G43+'Sensitivity &amp; Scenarios'!$C$11*'Sensitivity &amp; Scenarios'!$C$6*((1+$E43)^5-(1+$E43)^4))/(1+$C43)^('Sensitivity &amp; Scenarios'!$C$18+4)</f>
        <v>25047.308684747026</v>
      </c>
      <c r="I43" s="209">
        <f>('Sensitivity &amp; Scenarios'!$C$6*(1+$E43)^5*$G43+'Sensitivity &amp; Scenarios'!$C$11*'Sensitivity &amp; Scenarios'!$C$6*((1+$E43)^5-(1+$E43)^4))*(1+$D43)/($C43-$D43)/(1+$C43)^('Sensitivity &amp; Scenarios'!$C$18+4)</f>
        <v>67408.468798281872</v>
      </c>
      <c r="J43" s="209">
        <f>($H43+$I43-'Sensitivity &amp; Scenarios'!$C$15+'Sensitivity &amp; Scenarios'!$C$16)/'Sensitivity &amp; Scenarios'!$C$17</f>
        <v>2232.6421442717487</v>
      </c>
      <c r="L43" s="209">
        <f>$C$20+($C$23-$C$20)/20*13</f>
        <v>2528.8609463969674</v>
      </c>
      <c r="M43" s="210">
        <f t="shared" si="0"/>
        <v>46</v>
      </c>
    </row>
    <row r="44" spans="2:13" x14ac:dyDescent="0.3">
      <c r="B44" s="127">
        <v>14</v>
      </c>
      <c r="C44" s="206">
        <f>$D$7+-1.457156*$E$7</f>
        <v>0.12298069943997798</v>
      </c>
      <c r="D44" s="206">
        <f>MIN($D$8+-0.319671*$E$8,'Debt &amp; Cost of Capital'!$C$38)</f>
        <v>5.3081973999999997E-2</v>
      </c>
      <c r="E44" s="207">
        <f>$D$9+-0.470373*$E$9</f>
        <v>0.15310990770254634</v>
      </c>
      <c r="F44" s="207">
        <f>$D$10+-0.638878*$E$10</f>
        <v>0.13733346399999991</v>
      </c>
      <c r="G44" s="208">
        <f>$F44*(1-'Sensitivity &amp; Scenarios'!$C$12)+'Sensitivity &amp; Scenarios'!$C$9*'Sensitivity &amp; Scenarios'!$C$12-'Sensitivity &amp; Scenarios'!$C$10</f>
        <v>7.1962049199664632E-2</v>
      </c>
      <c r="H44" s="209">
        <f>('Sensitivity &amp; Scenarios'!$C$6*(1+$E44)^1*$G44+'Sensitivity &amp; Scenarios'!$C$11*'Sensitivity &amp; Scenarios'!$C$6*((1+$E44)^1-(1+$E44)^0))*'Sensitivity &amp; Scenarios'!$C$18/(1+$C44)^'Sensitivity &amp; Scenarios'!$C$18+('Sensitivity &amp; Scenarios'!$C$6*(1+$E44)^2*$G44+'Sensitivity &amp; Scenarios'!$C$11*'Sensitivity &amp; Scenarios'!$C$6*((1+$E44)^2-(1+$E44)^1))/(1+$C44)^('Sensitivity &amp; Scenarios'!$C$18+1)+('Sensitivity &amp; Scenarios'!$C$6*(1+$E44)^3*$G44+'Sensitivity &amp; Scenarios'!$C$11*'Sensitivity &amp; Scenarios'!$C$6*((1+$E44)^3-(1+$E44)^2))/(1+$C44)^('Sensitivity &amp; Scenarios'!$C$18+2)+('Sensitivity &amp; Scenarios'!$C$6*(1+$E44)^4*$G44+'Sensitivity &amp; Scenarios'!$C$11*'Sensitivity &amp; Scenarios'!$C$6*((1+$E44)^4-(1+$E44)^3))/(1+$C44)^('Sensitivity &amp; Scenarios'!$C$18+3)+('Sensitivity &amp; Scenarios'!$C$6*(1+$E44)^5*$G44+'Sensitivity &amp; Scenarios'!$C$11*'Sensitivity &amp; Scenarios'!$C$6*((1+$E44)^5-(1+$E44)^4))/(1+$C44)^('Sensitivity &amp; Scenarios'!$C$18+4)</f>
        <v>21521.845600360724</v>
      </c>
      <c r="I44" s="209">
        <f>('Sensitivity &amp; Scenarios'!$C$6*(1+$E44)^5*$G44+'Sensitivity &amp; Scenarios'!$C$11*'Sensitivity &amp; Scenarios'!$C$6*((1+$E44)^5-(1+$E44)^4))*(1+$D44)/($C44-$D44)/(1+$C44)^('Sensitivity &amp; Scenarios'!$C$18+4)</f>
        <v>73437.864363361718</v>
      </c>
      <c r="J44" s="209">
        <f>($H44+$I44-'Sensitivity &amp; Scenarios'!$C$15+'Sensitivity &amp; Scenarios'!$C$16)/'Sensitivity &amp; Scenarios'!$C$17</f>
        <v>2285.3468590017574</v>
      </c>
      <c r="L44" s="209">
        <f>$C$20+($C$23-$C$20)/20*14</f>
        <v>2600.0937308297084</v>
      </c>
      <c r="M44" s="210">
        <f t="shared" si="0"/>
        <v>32</v>
      </c>
    </row>
    <row r="45" spans="2:13" x14ac:dyDescent="0.3">
      <c r="B45" s="127">
        <v>15</v>
      </c>
      <c r="C45" s="206">
        <f>$D$7+-0.275142*$E$7</f>
        <v>0.13480083943997798</v>
      </c>
      <c r="D45" s="206">
        <f>MIN($D$8+1.494941*$E$8,'Debt &amp; Cost of Capital'!$C$38)</f>
        <v>6.3969646000000005E-2</v>
      </c>
      <c r="E45" s="207">
        <f>$D$9+-0.865831*$E$9</f>
        <v>0.14124616770254633</v>
      </c>
      <c r="F45" s="207">
        <f>$D$10+0.968278*$E$10</f>
        <v>0.15661933599999991</v>
      </c>
      <c r="G45" s="208">
        <f>$F45*(1-'Sensitivity &amp; Scenarios'!$C$12)+'Sensitivity &amp; Scenarios'!$C$9*'Sensitivity &amp; Scenarios'!$C$12-'Sensitivity &amp; Scenarios'!$C$10</f>
        <v>8.6393667217264644E-2</v>
      </c>
      <c r="H45" s="209">
        <f>('Sensitivity &amp; Scenarios'!$C$6*(1+$E45)^1*$G45+'Sensitivity &amp; Scenarios'!$C$11*'Sensitivity &amp; Scenarios'!$C$6*((1+$E45)^1-(1+$E45)^0))*'Sensitivity &amp; Scenarios'!$C$18/(1+$C45)^'Sensitivity &amp; Scenarios'!$C$18+('Sensitivity &amp; Scenarios'!$C$6*(1+$E45)^2*$G45+'Sensitivity &amp; Scenarios'!$C$11*'Sensitivity &amp; Scenarios'!$C$6*((1+$E45)^2-(1+$E45)^1))/(1+$C45)^('Sensitivity &amp; Scenarios'!$C$18+1)+('Sensitivity &amp; Scenarios'!$C$6*(1+$E45)^3*$G45+'Sensitivity &amp; Scenarios'!$C$11*'Sensitivity &amp; Scenarios'!$C$6*((1+$E45)^3-(1+$E45)^2))/(1+$C45)^('Sensitivity &amp; Scenarios'!$C$18+2)+('Sensitivity &amp; Scenarios'!$C$6*(1+$E45)^4*$G45+'Sensitivity &amp; Scenarios'!$C$11*'Sensitivity &amp; Scenarios'!$C$6*((1+$E45)^4-(1+$E45)^3))/(1+$C45)^('Sensitivity &amp; Scenarios'!$C$18+3)+('Sensitivity &amp; Scenarios'!$C$6*(1+$E45)^5*$G45+'Sensitivity &amp; Scenarios'!$C$11*'Sensitivity &amp; Scenarios'!$C$6*((1+$E45)^5-(1+$E45)^4))/(1+$C45)^('Sensitivity &amp; Scenarios'!$C$18+4)</f>
        <v>23356.837154951769</v>
      </c>
      <c r="I45" s="209">
        <f>('Sensitivity &amp; Scenarios'!$C$6*(1+$E45)^5*$G45+'Sensitivity &amp; Scenarios'!$C$11*'Sensitivity &amp; Scenarios'!$C$6*((1+$E45)^5-(1+$E45)^4))*(1+$D45)/($C45-$D45)/(1+$C45)^('Sensitivity &amp; Scenarios'!$C$18+4)</f>
        <v>76521.744397874791</v>
      </c>
      <c r="J45" s="209">
        <f>($H45+$I45-'Sensitivity &amp; Scenarios'!$C$15+'Sensitivity &amp; Scenarios'!$C$16)/'Sensitivity &amp; Scenarios'!$C$17</f>
        <v>2388.8830868737919</v>
      </c>
      <c r="L45" s="209">
        <f>$C$20+($C$23-$C$20)/20*15</f>
        <v>2671.3265152624499</v>
      </c>
      <c r="M45" s="210">
        <f t="shared" si="0"/>
        <v>40</v>
      </c>
    </row>
    <row r="46" spans="2:13" x14ac:dyDescent="0.3">
      <c r="B46" s="127">
        <v>16</v>
      </c>
      <c r="C46" s="206">
        <f>$D$7+-1.68287*$E$7</f>
        <v>0.12072355943997798</v>
      </c>
      <c r="D46" s="206">
        <f>MIN($D$8+-0.334885*$E$8,'Debt &amp; Cost of Capital'!$C$38)</f>
        <v>5.299069E-2</v>
      </c>
      <c r="E46" s="207">
        <f>$D$9+0.162753*$E$9</f>
        <v>0.17210368770254633</v>
      </c>
      <c r="F46" s="207">
        <f>$D$10+0.586222*$E$10</f>
        <v>0.1520346639999999</v>
      </c>
      <c r="G46" s="208">
        <f>$F46*(1-'Sensitivity &amp; Scenarios'!$C$12)+'Sensitivity &amp; Scenarios'!$C$9*'Sensitivity &amp; Scenarios'!$C$12-'Sensitivity &amp; Scenarios'!$C$10</f>
        <v>8.2962957159664633E-2</v>
      </c>
      <c r="H46" s="209">
        <f>('Sensitivity &amp; Scenarios'!$C$6*(1+$E46)^1*$G46+'Sensitivity &amp; Scenarios'!$C$11*'Sensitivity &amp; Scenarios'!$C$6*((1+$E46)^1-(1+$E46)^0))*'Sensitivity &amp; Scenarios'!$C$18/(1+$C46)^'Sensitivity &amp; Scenarios'!$C$18+('Sensitivity &amp; Scenarios'!$C$6*(1+$E46)^2*$G46+'Sensitivity &amp; Scenarios'!$C$11*'Sensitivity &amp; Scenarios'!$C$6*((1+$E46)^2-(1+$E46)^1))/(1+$C46)^('Sensitivity &amp; Scenarios'!$C$18+1)+('Sensitivity &amp; Scenarios'!$C$6*(1+$E46)^3*$G46+'Sensitivity &amp; Scenarios'!$C$11*'Sensitivity &amp; Scenarios'!$C$6*((1+$E46)^3-(1+$E46)^2))/(1+$C46)^('Sensitivity &amp; Scenarios'!$C$18+2)+('Sensitivity &amp; Scenarios'!$C$6*(1+$E46)^4*$G46+'Sensitivity &amp; Scenarios'!$C$11*'Sensitivity &amp; Scenarios'!$C$6*((1+$E46)^4-(1+$E46)^3))/(1+$C46)^('Sensitivity &amp; Scenarios'!$C$18+3)+('Sensitivity &amp; Scenarios'!$C$6*(1+$E46)^5*$G46+'Sensitivity &amp; Scenarios'!$C$11*'Sensitivity &amp; Scenarios'!$C$6*((1+$E46)^5-(1+$E46)^4))/(1+$C46)^('Sensitivity &amp; Scenarios'!$C$18+4)</f>
        <v>26123.099229331616</v>
      </c>
      <c r="I46" s="209">
        <f>('Sensitivity &amp; Scenarios'!$C$6*(1+$E46)^5*$G46+'Sensitivity &amp; Scenarios'!$C$11*'Sensitivity &amp; Scenarios'!$C$6*((1+$E46)^5-(1+$E46)^4))*(1+$D46)/($C46-$D46)/(1+$C46)^('Sensitivity &amp; Scenarios'!$C$18+4)</f>
        <v>95029.406893352454</v>
      </c>
      <c r="J46" s="209">
        <f>($H46+$I46-'Sensitivity &amp; Scenarios'!$C$15+'Sensitivity &amp; Scenarios'!$C$16)/'Sensitivity &amp; Scenarios'!$C$17</f>
        <v>2836.6731667929962</v>
      </c>
      <c r="L46" s="209">
        <f>$C$20+($C$23-$C$20)/20*16</f>
        <v>2742.5592996951909</v>
      </c>
      <c r="M46" s="210">
        <f t="shared" si="0"/>
        <v>24</v>
      </c>
    </row>
    <row r="47" spans="2:13" x14ac:dyDescent="0.3">
      <c r="B47" s="127">
        <v>17</v>
      </c>
      <c r="C47" s="206">
        <f>$D$7+0.711227*$E$7</f>
        <v>0.14466452943997798</v>
      </c>
      <c r="D47" s="206">
        <f>MIN($D$8+0.793347*$E$8,'Debt &amp; Cost of Capital'!$C$38)</f>
        <v>5.9760081999999999E-2</v>
      </c>
      <c r="E47" s="207">
        <f>$D$9+-0.348725*$E$9</f>
        <v>0.15675934770254635</v>
      </c>
      <c r="F47" s="207">
        <f>$D$10+-0.462352*$E$10</f>
        <v>0.13945177599999992</v>
      </c>
      <c r="G47" s="208">
        <f>$F47*(1-'Sensitivity &amp; Scenarios'!$C$12)+'Sensitivity &amp; Scenarios'!$C$9*'Sensitivity &amp; Scenarios'!$C$12-'Sensitivity &amp; Scenarios'!$C$10</f>
        <v>7.3547182069264638E-2</v>
      </c>
      <c r="H47" s="209">
        <f>('Sensitivity &amp; Scenarios'!$C$6*(1+$E47)^1*$G47+'Sensitivity &amp; Scenarios'!$C$11*'Sensitivity &amp; Scenarios'!$C$6*((1+$E47)^1-(1+$E47)^0))*'Sensitivity &amp; Scenarios'!$C$18/(1+$C47)^'Sensitivity &amp; Scenarios'!$C$18+('Sensitivity &amp; Scenarios'!$C$6*(1+$E47)^2*$G47+'Sensitivity &amp; Scenarios'!$C$11*'Sensitivity &amp; Scenarios'!$C$6*((1+$E47)^2-(1+$E47)^1))/(1+$C47)^('Sensitivity &amp; Scenarios'!$C$18+1)+('Sensitivity &amp; Scenarios'!$C$6*(1+$E47)^3*$G47+'Sensitivity &amp; Scenarios'!$C$11*'Sensitivity &amp; Scenarios'!$C$6*((1+$E47)^3-(1+$E47)^2))/(1+$C47)^('Sensitivity &amp; Scenarios'!$C$18+2)+('Sensitivity &amp; Scenarios'!$C$6*(1+$E47)^4*$G47+'Sensitivity &amp; Scenarios'!$C$11*'Sensitivity &amp; Scenarios'!$C$6*((1+$E47)^4-(1+$E47)^3))/(1+$C47)^('Sensitivity &amp; Scenarios'!$C$18+3)+('Sensitivity &amp; Scenarios'!$C$6*(1+$E47)^5*$G47+'Sensitivity &amp; Scenarios'!$C$11*'Sensitivity &amp; Scenarios'!$C$6*((1+$E47)^5-(1+$E47)^4))/(1+$C47)^('Sensitivity &amp; Scenarios'!$C$18+4)</f>
        <v>21045.393228075016</v>
      </c>
      <c r="I47" s="209">
        <f>('Sensitivity &amp; Scenarios'!$C$6*(1+$E47)^5*$G47+'Sensitivity &amp; Scenarios'!$C$11*'Sensitivity &amp; Scenarios'!$C$6*((1+$E47)^5-(1+$E47)^4))*(1+$D47)/($C47-$D47)/(1+$C47)^('Sensitivity &amp; Scenarios'!$C$18+4)</f>
        <v>57802.416216154699</v>
      </c>
      <c r="J47" s="209">
        <f>($H47+$I47-'Sensitivity &amp; Scenarios'!$C$15+'Sensitivity &amp; Scenarios'!$C$16)/'Sensitivity &amp; Scenarios'!$C$17</f>
        <v>1946.2110687256027</v>
      </c>
      <c r="L47" s="209">
        <f>$C$20+($C$23-$C$20)/20*17</f>
        <v>2813.792084127932</v>
      </c>
      <c r="M47" s="210">
        <f t="shared" si="0"/>
        <v>29</v>
      </c>
    </row>
    <row r="48" spans="2:13" x14ac:dyDescent="0.3">
      <c r="B48" s="127">
        <v>18</v>
      </c>
      <c r="C48" s="206">
        <f>$D$7+0.857976*$E$7</f>
        <v>0.14613201943997797</v>
      </c>
      <c r="D48" s="206">
        <f>MIN($D$8+-0.191304*$E$8,'Debt &amp; Cost of Capital'!$C$38)</f>
        <v>5.3852176000000002E-2</v>
      </c>
      <c r="E48" s="207">
        <f>$D$9+-1.275686*$E$9</f>
        <v>0.12895051770254634</v>
      </c>
      <c r="F48" s="207">
        <f>$D$10+-1.133287*$E$10</f>
        <v>0.13140055599999992</v>
      </c>
      <c r="G48" s="208">
        <f>$F48*(1-'Sensitivity &amp; Scenarios'!$C$12)+'Sensitivity &amp; Scenarios'!$C$9*'Sensitivity &amp; Scenarios'!$C$12-'Sensitivity &amp; Scenarios'!$C$10</f>
        <v>6.7522454143264646E-2</v>
      </c>
      <c r="H48" s="209">
        <f>('Sensitivity &amp; Scenarios'!$C$6*(1+$E48)^1*$G48+'Sensitivity &amp; Scenarios'!$C$11*'Sensitivity &amp; Scenarios'!$C$6*((1+$E48)^1-(1+$E48)^0))*'Sensitivity &amp; Scenarios'!$C$18/(1+$C48)^'Sensitivity &amp; Scenarios'!$C$18+('Sensitivity &amp; Scenarios'!$C$6*(1+$E48)^2*$G48+'Sensitivity &amp; Scenarios'!$C$11*'Sensitivity &amp; Scenarios'!$C$6*((1+$E48)^2-(1+$E48)^1))/(1+$C48)^('Sensitivity &amp; Scenarios'!$C$18+1)+('Sensitivity &amp; Scenarios'!$C$6*(1+$E48)^3*$G48+'Sensitivity &amp; Scenarios'!$C$11*'Sensitivity &amp; Scenarios'!$C$6*((1+$E48)^3-(1+$E48)^2))/(1+$C48)^('Sensitivity &amp; Scenarios'!$C$18+2)+('Sensitivity &amp; Scenarios'!$C$6*(1+$E48)^4*$G48+'Sensitivity &amp; Scenarios'!$C$11*'Sensitivity &amp; Scenarios'!$C$6*((1+$E48)^4-(1+$E48)^3))/(1+$C48)^('Sensitivity &amp; Scenarios'!$C$18+3)+('Sensitivity &amp; Scenarios'!$C$6*(1+$E48)^5*$G48+'Sensitivity &amp; Scenarios'!$C$11*'Sensitivity &amp; Scenarios'!$C$6*((1+$E48)^5-(1+$E48)^4))/(1+$C48)^('Sensitivity &amp; Scenarios'!$C$18+4)</f>
        <v>17583.893933754105</v>
      </c>
      <c r="I48" s="209">
        <f>('Sensitivity &amp; Scenarios'!$C$6*(1+$E48)^5*$G48+'Sensitivity &amp; Scenarios'!$C$11*'Sensitivity &amp; Scenarios'!$C$6*((1+$E48)^5-(1+$E48)^4))*(1+$D48)/($C48-$D48)/(1+$C48)^('Sensitivity &amp; Scenarios'!$C$18+4)</f>
        <v>42147.058580003017</v>
      </c>
      <c r="J48" s="209">
        <f>($H48+$I48-'Sensitivity &amp; Scenarios'!$C$15+'Sensitivity &amp; Scenarios'!$C$16)/'Sensitivity &amp; Scenarios'!$C$17</f>
        <v>1543.8246230751727</v>
      </c>
      <c r="L48" s="209">
        <f>$C$20+($C$23-$C$20)/20*18</f>
        <v>2885.024868560673</v>
      </c>
      <c r="M48" s="210">
        <f t="shared" si="0"/>
        <v>23</v>
      </c>
    </row>
    <row r="49" spans="2:13" x14ac:dyDescent="0.3">
      <c r="B49" s="127">
        <v>19</v>
      </c>
      <c r="C49" s="206">
        <f>$D$7+-0.919452*$E$7</f>
        <v>0.12835773943997797</v>
      </c>
      <c r="D49" s="206">
        <f>MIN($D$8+0.497161*$E$8,'Debt &amp; Cost of Capital'!$C$38)</f>
        <v>5.7982965999999997E-2</v>
      </c>
      <c r="E49" s="207">
        <f>$D$9+0.142426*$E$9</f>
        <v>0.17149387770254634</v>
      </c>
      <c r="F49" s="207">
        <f>$D$10+0.690485*$E$10</f>
        <v>0.15328581999999991</v>
      </c>
      <c r="G49" s="208">
        <f>$F49*(1-'Sensitivity &amp; Scenarios'!$C$12)+'Sensitivity &amp; Scenarios'!$C$9*'Sensitivity &amp; Scenarios'!$C$12-'Sensitivity &amp; Scenarios'!$C$10</f>
        <v>8.3899197194464634E-2</v>
      </c>
      <c r="H49" s="209">
        <f>('Sensitivity &amp; Scenarios'!$C$6*(1+$E49)^1*$G49+'Sensitivity &amp; Scenarios'!$C$11*'Sensitivity &amp; Scenarios'!$C$6*((1+$E49)^1-(1+$E49)^0))*'Sensitivity &amp; Scenarios'!$C$18/(1+$C49)^'Sensitivity &amp; Scenarios'!$C$18+('Sensitivity &amp; Scenarios'!$C$6*(1+$E49)^2*$G49+'Sensitivity &amp; Scenarios'!$C$11*'Sensitivity &amp; Scenarios'!$C$6*((1+$E49)^2-(1+$E49)^1))/(1+$C49)^('Sensitivity &amp; Scenarios'!$C$18+1)+('Sensitivity &amp; Scenarios'!$C$6*(1+$E49)^3*$G49+'Sensitivity &amp; Scenarios'!$C$11*'Sensitivity &amp; Scenarios'!$C$6*((1+$E49)^3-(1+$E49)^2))/(1+$C49)^('Sensitivity &amp; Scenarios'!$C$18+2)+('Sensitivity &amp; Scenarios'!$C$6*(1+$E49)^4*$G49+'Sensitivity &amp; Scenarios'!$C$11*'Sensitivity &amp; Scenarios'!$C$6*((1+$E49)^4-(1+$E49)^3))/(1+$C49)^('Sensitivity &amp; Scenarios'!$C$18+3)+('Sensitivity &amp; Scenarios'!$C$6*(1+$E49)^5*$G49+'Sensitivity &amp; Scenarios'!$C$11*'Sensitivity &amp; Scenarios'!$C$6*((1+$E49)^5-(1+$E49)^4))/(1+$C49)^('Sensitivity &amp; Scenarios'!$C$18+4)</f>
        <v>25805.688014303974</v>
      </c>
      <c r="I49" s="209">
        <f>('Sensitivity &amp; Scenarios'!$C$6*(1+$E49)^5*$G49+'Sensitivity &amp; Scenarios'!$C$11*'Sensitivity &amp; Scenarios'!$C$6*((1+$E49)^5-(1+$E49)^4))*(1+$D49)/($C49-$D49)/(1+$C49)^('Sensitivity &amp; Scenarios'!$C$18+4)</f>
        <v>89614.115976090514</v>
      </c>
      <c r="J49" s="209">
        <f>($H49+$I49-'Sensitivity &amp; Scenarios'!$C$15+'Sensitivity &amp; Scenarios'!$C$16)/'Sensitivity &amp; Scenarios'!$C$17</f>
        <v>2716.0068018474267</v>
      </c>
      <c r="L49" s="209">
        <f>$C$20+($C$23-$C$20)/20*19</f>
        <v>2956.257652993414</v>
      </c>
      <c r="M49" s="210">
        <f t="shared" si="0"/>
        <v>11</v>
      </c>
    </row>
    <row r="50" spans="2:13" x14ac:dyDescent="0.3">
      <c r="B50" s="127">
        <v>20</v>
      </c>
      <c r="C50" s="206">
        <f>$D$7+-0.427253*$E$7</f>
        <v>0.13327972943997798</v>
      </c>
      <c r="D50" s="206">
        <f>MIN($D$8+0.15854*$E$8,'Debt &amp; Cost of Capital'!$C$38)</f>
        <v>5.5951239999999999E-2</v>
      </c>
      <c r="E50" s="207">
        <f>$D$9+0.62559*$E$9</f>
        <v>0.18598879770254634</v>
      </c>
      <c r="F50" s="207">
        <f>$D$10+-0.309347*$E$10</f>
        <v>0.14128783599999992</v>
      </c>
      <c r="G50" s="208">
        <f>$F50*(1-'Sensitivity &amp; Scenarios'!$C$12)+'Sensitivity &amp; Scenarios'!$C$9*'Sensitivity &amp; Scenarios'!$C$12-'Sensitivity &amp; Scenarios'!$C$10</f>
        <v>7.4921105767264642E-2</v>
      </c>
      <c r="H50" s="209">
        <f>('Sensitivity &amp; Scenarios'!$C$6*(1+$E50)^1*$G50+'Sensitivity &amp; Scenarios'!$C$11*'Sensitivity &amp; Scenarios'!$C$6*((1+$E50)^1-(1+$E50)^0))*'Sensitivity &amp; Scenarios'!$C$18/(1+$C50)^'Sensitivity &amp; Scenarios'!$C$18+('Sensitivity &amp; Scenarios'!$C$6*(1+$E50)^2*$G50+'Sensitivity &amp; Scenarios'!$C$11*'Sensitivity &amp; Scenarios'!$C$6*((1+$E50)^2-(1+$E50)^1))/(1+$C50)^('Sensitivity &amp; Scenarios'!$C$18+1)+('Sensitivity &amp; Scenarios'!$C$6*(1+$E50)^3*$G50+'Sensitivity &amp; Scenarios'!$C$11*'Sensitivity &amp; Scenarios'!$C$6*((1+$E50)^3-(1+$E50)^2))/(1+$C50)^('Sensitivity &amp; Scenarios'!$C$18+2)+('Sensitivity &amp; Scenarios'!$C$6*(1+$E50)^4*$G50+'Sensitivity &amp; Scenarios'!$C$11*'Sensitivity &amp; Scenarios'!$C$6*((1+$E50)^4-(1+$E50)^3))/(1+$C50)^('Sensitivity &amp; Scenarios'!$C$18+3)+('Sensitivity &amp; Scenarios'!$C$6*(1+$E50)^5*$G50+'Sensitivity &amp; Scenarios'!$C$11*'Sensitivity &amp; Scenarios'!$C$6*((1+$E50)^5-(1+$E50)^4))/(1+$C50)^('Sensitivity &amp; Scenarios'!$C$18+4)</f>
        <v>24442.978618206762</v>
      </c>
      <c r="I50" s="209">
        <f>('Sensitivity &amp; Scenarios'!$C$6*(1+$E50)^5*$G50+'Sensitivity &amp; Scenarios'!$C$11*'Sensitivity &amp; Scenarios'!$C$6*((1+$E50)^5-(1+$E50)^4))*(1+$D50)/($C50-$D50)/(1+$C50)^('Sensitivity &amp; Scenarios'!$C$18+4)</f>
        <v>78190.199723328755</v>
      </c>
      <c r="J50" s="209">
        <f>($H50+$I50-'Sensitivity &amp; Scenarios'!$C$15+'Sensitivity &amp; Scenarios'!$C$16)/'Sensitivity &amp; Scenarios'!$C$17</f>
        <v>2446.8639785569767</v>
      </c>
      <c r="L50" s="209">
        <f>$C$20+($C$23-$C$20)/20*20</f>
        <v>3027.490437426155</v>
      </c>
      <c r="M50" s="210">
        <f t="shared" si="0"/>
        <v>10</v>
      </c>
    </row>
    <row r="51" spans="2:13" x14ac:dyDescent="0.3">
      <c r="B51" s="127">
        <v>21</v>
      </c>
      <c r="C51" s="206">
        <f>$D$7+0.456775*$E$7</f>
        <v>0.14212000943997799</v>
      </c>
      <c r="D51" s="206">
        <f>MIN($D$8+-0.661926*$E$8,'Debt &amp; Cost of Capital'!$C$38)</f>
        <v>5.1028443999999999E-2</v>
      </c>
      <c r="E51" s="207">
        <f>$D$9+-0.363054*$E$9</f>
        <v>0.15632947770254635</v>
      </c>
      <c r="F51" s="207">
        <f>$D$10+-0.381738*$E$10</f>
        <v>0.14041914399999991</v>
      </c>
      <c r="G51" s="208">
        <f>$F51*(1-'Sensitivity &amp; Scenarios'!$C$12)+'Sensitivity &amp; Scenarios'!$C$9*'Sensitivity &amp; Scenarios'!$C$12-'Sensitivity &amp; Scenarios'!$C$10</f>
        <v>7.4271063543664639E-2</v>
      </c>
      <c r="H51" s="209">
        <f>('Sensitivity &amp; Scenarios'!$C$6*(1+$E51)^1*$G51+'Sensitivity &amp; Scenarios'!$C$11*'Sensitivity &amp; Scenarios'!$C$6*((1+$E51)^1-(1+$E51)^0))*'Sensitivity &amp; Scenarios'!$C$18/(1+$C51)^'Sensitivity &amp; Scenarios'!$C$18+('Sensitivity &amp; Scenarios'!$C$6*(1+$E51)^2*$G51+'Sensitivity &amp; Scenarios'!$C$11*'Sensitivity &amp; Scenarios'!$C$6*((1+$E51)^2-(1+$E51)^1))/(1+$C51)^('Sensitivity &amp; Scenarios'!$C$18+1)+('Sensitivity &amp; Scenarios'!$C$6*(1+$E51)^3*$G51+'Sensitivity &amp; Scenarios'!$C$11*'Sensitivity &amp; Scenarios'!$C$6*((1+$E51)^3-(1+$E51)^2))/(1+$C51)^('Sensitivity &amp; Scenarios'!$C$18+2)+('Sensitivity &amp; Scenarios'!$C$6*(1+$E51)^4*$G51+'Sensitivity &amp; Scenarios'!$C$11*'Sensitivity &amp; Scenarios'!$C$6*((1+$E51)^4-(1+$E51)^3))/(1+$C51)^('Sensitivity &amp; Scenarios'!$C$18+3)+('Sensitivity &amp; Scenarios'!$C$6*(1+$E51)^5*$G51+'Sensitivity &amp; Scenarios'!$C$11*'Sensitivity &amp; Scenarios'!$C$6*((1+$E51)^5-(1+$E51)^4))/(1+$C51)^('Sensitivity &amp; Scenarios'!$C$18+4)</f>
        <v>21317.153116737976</v>
      </c>
      <c r="I51" s="209">
        <f>('Sensitivity &amp; Scenarios'!$C$6*(1+$E51)^5*$G51+'Sensitivity &amp; Scenarios'!$C$11*'Sensitivity &amp; Scenarios'!$C$6*((1+$E51)^5-(1+$E51)^4))*(1+$D51)/($C51-$D51)/(1+$C51)^('Sensitivity &amp; Scenarios'!$C$18+4)</f>
        <v>54305.418425570679</v>
      </c>
      <c r="J51" s="209">
        <f>($H51+$I51-'Sensitivity &amp; Scenarios'!$C$15+'Sensitivity &amp; Scenarios'!$C$16)/'Sensitivity &amp; Scenarios'!$C$17</f>
        <v>1878.3237575190012</v>
      </c>
    </row>
    <row r="52" spans="2:13" x14ac:dyDescent="0.3">
      <c r="B52" s="127">
        <v>22</v>
      </c>
      <c r="C52" s="206">
        <f>$D$7+-1.19584*$E$7</f>
        <v>0.12559385943997797</v>
      </c>
      <c r="D52" s="206">
        <f>MIN($D$8+0.486972*$E$8,'Debt &amp; Cost of Capital'!$C$38)</f>
        <v>5.7921831999999999E-2</v>
      </c>
      <c r="E52" s="207">
        <f>$D$9+-0.469402*$E$9</f>
        <v>0.15313903770254633</v>
      </c>
      <c r="F52" s="207">
        <f>$D$10+0.012494*$E$10</f>
        <v>0.1451499279999999</v>
      </c>
      <c r="G52" s="208">
        <f>$F52*(1-'Sensitivity &amp; Scenarios'!$C$12)+'Sensitivity &amp; Scenarios'!$C$9*'Sensitivity &amp; Scenarios'!$C$12-'Sensitivity &amp; Scenarios'!$C$10</f>
        <v>7.7811109210864635E-2</v>
      </c>
      <c r="H52" s="209">
        <f>('Sensitivity &amp; Scenarios'!$C$6*(1+$E52)^1*$G52+'Sensitivity &amp; Scenarios'!$C$11*'Sensitivity &amp; Scenarios'!$C$6*((1+$E52)^1-(1+$E52)^0))*'Sensitivity &amp; Scenarios'!$C$18/(1+$C52)^'Sensitivity &amp; Scenarios'!$C$18+('Sensitivity &amp; Scenarios'!$C$6*(1+$E52)^2*$G52+'Sensitivity &amp; Scenarios'!$C$11*'Sensitivity &amp; Scenarios'!$C$6*((1+$E52)^2-(1+$E52)^1))/(1+$C52)^('Sensitivity &amp; Scenarios'!$C$18+1)+('Sensitivity &amp; Scenarios'!$C$6*(1+$E52)^3*$G52+'Sensitivity &amp; Scenarios'!$C$11*'Sensitivity &amp; Scenarios'!$C$6*((1+$E52)^3-(1+$E52)^2))/(1+$C52)^('Sensitivity &amp; Scenarios'!$C$18+2)+('Sensitivity &amp; Scenarios'!$C$6*(1+$E52)^4*$G52+'Sensitivity &amp; Scenarios'!$C$11*'Sensitivity &amp; Scenarios'!$C$6*((1+$E52)^4-(1+$E52)^3))/(1+$C52)^('Sensitivity &amp; Scenarios'!$C$18+3)+('Sensitivity &amp; Scenarios'!$C$6*(1+$E52)^5*$G52+'Sensitivity &amp; Scenarios'!$C$11*'Sensitivity &amp; Scenarios'!$C$6*((1+$E52)^5-(1+$E52)^4))/(1+$C52)^('Sensitivity &amp; Scenarios'!$C$18+4)</f>
        <v>22827.417847865345</v>
      </c>
      <c r="I52" s="209">
        <f>('Sensitivity &amp; Scenarios'!$C$6*(1+$E52)^5*$G52+'Sensitivity &amp; Scenarios'!$C$11*'Sensitivity &amp; Scenarios'!$C$6*((1+$E52)^5-(1+$E52)^4))*(1+$D52)/($C52-$D52)/(1+$C52)^('Sensitivity &amp; Scenarios'!$C$18+4)</f>
        <v>80492.602329999689</v>
      </c>
      <c r="J52" s="209">
        <f>($H52+$I52-'Sensitivity &amp; Scenarios'!$C$15+'Sensitivity &amp; Scenarios'!$C$16)/'Sensitivity &amp; Scenarios'!$C$17</f>
        <v>2461.321158743543</v>
      </c>
    </row>
    <row r="53" spans="2:13" x14ac:dyDescent="0.3">
      <c r="B53" s="127">
        <v>23</v>
      </c>
      <c r="C53" s="206">
        <f>$D$7+0.480747*$E$7</f>
        <v>0.14235972943997799</v>
      </c>
      <c r="D53" s="206">
        <f>MIN($D$8+0.446531*$E$8,'Debt &amp; Cost of Capital'!$C$38)</f>
        <v>5.7679186E-2</v>
      </c>
      <c r="E53" s="207">
        <f>$D$9+0.665385*$E$9</f>
        <v>0.18718264770254633</v>
      </c>
      <c r="F53" s="207">
        <f>$D$10+-0.098485*$E$10</f>
        <v>0.14381817999999991</v>
      </c>
      <c r="G53" s="208">
        <f>$F53*(1-'Sensitivity &amp; Scenarios'!$C$12)+'Sensitivity &amp; Scenarios'!$C$9*'Sensitivity &amp; Scenarios'!$C$12-'Sensitivity &amp; Scenarios'!$C$10</f>
        <v>7.681456218246463E-2</v>
      </c>
      <c r="H53" s="209">
        <f>('Sensitivity &amp; Scenarios'!$C$6*(1+$E53)^1*$G53+'Sensitivity &amp; Scenarios'!$C$11*'Sensitivity &amp; Scenarios'!$C$6*((1+$E53)^1-(1+$E53)^0))*'Sensitivity &amp; Scenarios'!$C$18/(1+$C53)^'Sensitivity &amp; Scenarios'!$C$18+('Sensitivity &amp; Scenarios'!$C$6*(1+$E53)^2*$G53+'Sensitivity &amp; Scenarios'!$C$11*'Sensitivity &amp; Scenarios'!$C$6*((1+$E53)^2-(1+$E53)^1))/(1+$C53)^('Sensitivity &amp; Scenarios'!$C$18+1)+('Sensitivity &amp; Scenarios'!$C$6*(1+$E53)^3*$G53+'Sensitivity &amp; Scenarios'!$C$11*'Sensitivity &amp; Scenarios'!$C$6*((1+$E53)^3-(1+$E53)^2))/(1+$C53)^('Sensitivity &amp; Scenarios'!$C$18+2)+('Sensitivity &amp; Scenarios'!$C$6*(1+$E53)^4*$G53+'Sensitivity &amp; Scenarios'!$C$11*'Sensitivity &amp; Scenarios'!$C$6*((1+$E53)^4-(1+$E53)^3))/(1+$C53)^('Sensitivity &amp; Scenarios'!$C$18+3)+('Sensitivity &amp; Scenarios'!$C$6*(1+$E53)^5*$G53+'Sensitivity &amp; Scenarios'!$C$11*'Sensitivity &amp; Scenarios'!$C$6*((1+$E53)^5-(1+$E53)^4))/(1+$C53)^('Sensitivity &amp; Scenarios'!$C$18+4)</f>
        <v>24484.514816050814</v>
      </c>
      <c r="I53" s="209">
        <f>('Sensitivity &amp; Scenarios'!$C$6*(1+$E53)^5*$G53+'Sensitivity &amp; Scenarios'!$C$11*'Sensitivity &amp; Scenarios'!$C$6*((1+$E53)^5-(1+$E53)^4))*(1+$D53)/($C53-$D53)/(1+$C53)^('Sensitivity &amp; Scenarios'!$C$18+4)</f>
        <v>70763.325050416664</v>
      </c>
      <c r="J53" s="209">
        <f>($H53+$I53-'Sensitivity &amp; Scenarios'!$C$15+'Sensitivity &amp; Scenarios'!$C$16)/'Sensitivity &amp; Scenarios'!$C$17</f>
        <v>2291.4116408784453</v>
      </c>
    </row>
    <row r="54" spans="2:13" x14ac:dyDescent="0.3">
      <c r="B54" s="127">
        <v>24</v>
      </c>
      <c r="C54" s="206">
        <f>$D$7+-0.423298*$E$7</f>
        <v>0.13331927943997798</v>
      </c>
      <c r="D54" s="206">
        <f>MIN($D$8+-0.079718*$E$8,'Debt &amp; Cost of Capital'!$C$38)</f>
        <v>5.4521692000000004E-2</v>
      </c>
      <c r="E54" s="207">
        <f>$D$9+-1.687334*$E$9</f>
        <v>0.11660107770254635</v>
      </c>
      <c r="F54" s="207">
        <f>$D$10+-1.447112*$E$10</f>
        <v>0.1276346559999999</v>
      </c>
      <c r="G54" s="208">
        <f>$F54*(1-'Sensitivity &amp; Scenarios'!$C$12)+'Sensitivity &amp; Scenarios'!$C$9*'Sensitivity &amp; Scenarios'!$C$12-'Sensitivity &amp; Scenarios'!$C$10</f>
        <v>6.4704431173264632E-2</v>
      </c>
      <c r="H54" s="209">
        <f>('Sensitivity &amp; Scenarios'!$C$6*(1+$E54)^1*$G54+'Sensitivity &amp; Scenarios'!$C$11*'Sensitivity &amp; Scenarios'!$C$6*((1+$E54)^1-(1+$E54)^0))*'Sensitivity &amp; Scenarios'!$C$18/(1+$C54)^'Sensitivity &amp; Scenarios'!$C$18+('Sensitivity &amp; Scenarios'!$C$6*(1+$E54)^2*$G54+'Sensitivity &amp; Scenarios'!$C$11*'Sensitivity &amp; Scenarios'!$C$6*((1+$E54)^2-(1+$E54)^1))/(1+$C54)^('Sensitivity &amp; Scenarios'!$C$18+1)+('Sensitivity &amp; Scenarios'!$C$6*(1+$E54)^3*$G54+'Sensitivity &amp; Scenarios'!$C$11*'Sensitivity &amp; Scenarios'!$C$6*((1+$E54)^3-(1+$E54)^2))/(1+$C54)^('Sensitivity &amp; Scenarios'!$C$18+2)+('Sensitivity &amp; Scenarios'!$C$6*(1+$E54)^4*$G54+'Sensitivity &amp; Scenarios'!$C$11*'Sensitivity &amp; Scenarios'!$C$6*((1+$E54)^4-(1+$E54)^3))/(1+$C54)^('Sensitivity &amp; Scenarios'!$C$18+3)+('Sensitivity &amp; Scenarios'!$C$6*(1+$E54)^5*$G54+'Sensitivity &amp; Scenarios'!$C$11*'Sensitivity &amp; Scenarios'!$C$6*((1+$E54)^5-(1+$E54)^4))/(1+$C54)^('Sensitivity &amp; Scenarios'!$C$18+4)</f>
        <v>16672.341631917501</v>
      </c>
      <c r="I54" s="209">
        <f>('Sensitivity &amp; Scenarios'!$C$6*(1+$E54)^5*$G54+'Sensitivity &amp; Scenarios'!$C$11*'Sensitivity &amp; Scenarios'!$C$6*((1+$E54)^5-(1+$E54)^4))*(1+$D54)/($C54-$D54)/(1+$C54)^('Sensitivity &amp; Scenarios'!$C$18+4)</f>
        <v>46850.661501208568</v>
      </c>
      <c r="J54" s="209">
        <f>($H54+$I54-'Sensitivity &amp; Scenarios'!$C$15+'Sensitivity &amp; Scenarios'!$C$16)/'Sensitivity &amp; Scenarios'!$C$17</f>
        <v>1623.6426483919874</v>
      </c>
    </row>
    <row r="55" spans="2:13" x14ac:dyDescent="0.3">
      <c r="B55" s="127">
        <v>25</v>
      </c>
      <c r="C55" s="206">
        <f>$D$7+-1.3227*$E$7</f>
        <v>0.12432525943997798</v>
      </c>
      <c r="D55" s="206">
        <f>MIN($D$8+-0.997247*$E$8,'Debt &amp; Cost of Capital'!$C$38)</f>
        <v>4.9016518000000002E-2</v>
      </c>
      <c r="E55" s="207">
        <f>$D$9+0.399774*$E$9</f>
        <v>0.17921431770254634</v>
      </c>
      <c r="F55" s="207">
        <f>$D$10+-0.905479*$E$10</f>
        <v>0.1341342519999999</v>
      </c>
      <c r="G55" s="208">
        <f>$F55*(1-'Sensitivity &amp; Scenarios'!$C$12)+'Sensitivity &amp; Scenarios'!$C$9*'Sensitivity &amp; Scenarios'!$C$12-'Sensitivity &amp; Scenarios'!$C$10</f>
        <v>6.9568078860064636E-2</v>
      </c>
      <c r="H55" s="209">
        <f>('Sensitivity &amp; Scenarios'!$C$6*(1+$E55)^1*$G55+'Sensitivity &amp; Scenarios'!$C$11*'Sensitivity &amp; Scenarios'!$C$6*((1+$E55)^1-(1+$E55)^0))*'Sensitivity &amp; Scenarios'!$C$18/(1+$C55)^'Sensitivity &amp; Scenarios'!$C$18+('Sensitivity &amp; Scenarios'!$C$6*(1+$E55)^2*$G55+'Sensitivity &amp; Scenarios'!$C$11*'Sensitivity &amp; Scenarios'!$C$6*((1+$E55)^2-(1+$E55)^1))/(1+$C55)^('Sensitivity &amp; Scenarios'!$C$18+1)+('Sensitivity &amp; Scenarios'!$C$6*(1+$E55)^3*$G55+'Sensitivity &amp; Scenarios'!$C$11*'Sensitivity &amp; Scenarios'!$C$6*((1+$E55)^3-(1+$E55)^2))/(1+$C55)^('Sensitivity &amp; Scenarios'!$C$18+2)+('Sensitivity &amp; Scenarios'!$C$6*(1+$E55)^4*$G55+'Sensitivity &amp; Scenarios'!$C$11*'Sensitivity &amp; Scenarios'!$C$6*((1+$E55)^4-(1+$E55)^3))/(1+$C55)^('Sensitivity &amp; Scenarios'!$C$18+3)+('Sensitivity &amp; Scenarios'!$C$6*(1+$E55)^5*$G55+'Sensitivity &amp; Scenarios'!$C$11*'Sensitivity &amp; Scenarios'!$C$6*((1+$E55)^5-(1+$E55)^4))/(1+$C55)^('Sensitivity &amp; Scenarios'!$C$18+4)</f>
        <v>22979.230651400441</v>
      </c>
      <c r="I55" s="209">
        <f>('Sensitivity &amp; Scenarios'!$C$6*(1+$E55)^5*$G55+'Sensitivity &amp; Scenarios'!$C$11*'Sensitivity &amp; Scenarios'!$C$6*((1+$E55)^5-(1+$E55)^4))*(1+$D55)/($C55-$D55)/(1+$C55)^('Sensitivity &amp; Scenarios'!$C$18+4)</f>
        <v>75274.610412770155</v>
      </c>
      <c r="J55" s="209">
        <f>($H55+$I55-'Sensitivity &amp; Scenarios'!$C$15+'Sensitivity &amp; Scenarios'!$C$16)/'Sensitivity &amp; Scenarios'!$C$17</f>
        <v>2354.6842877347713</v>
      </c>
    </row>
    <row r="56" spans="2:13" x14ac:dyDescent="0.3">
      <c r="B56" s="127">
        <v>26</v>
      </c>
      <c r="C56" s="206">
        <f>$D$7+-0.378163*$E$7</f>
        <v>0.13377062943997797</v>
      </c>
      <c r="D56" s="206">
        <f>MIN($D$8+1.299228*$E$8,'Debt &amp; Cost of Capital'!$C$38)</f>
        <v>6.2795368000000004E-2</v>
      </c>
      <c r="E56" s="207">
        <f>$D$9+-0.356264*$E$9</f>
        <v>0.15653317770254635</v>
      </c>
      <c r="F56" s="207">
        <f>$D$10+0.737516*$E$10</f>
        <v>0.15385019199999991</v>
      </c>
      <c r="G56" s="208">
        <f>$F56*(1-'Sensitivity &amp; Scenarios'!$C$12)+'Sensitivity &amp; Scenarios'!$C$9*'Sensitivity &amp; Scenarios'!$C$12-'Sensitivity &amp; Scenarios'!$C$10</f>
        <v>8.4321516762064647E-2</v>
      </c>
      <c r="H56" s="209">
        <f>('Sensitivity &amp; Scenarios'!$C$6*(1+$E56)^1*$G56+'Sensitivity &amp; Scenarios'!$C$11*'Sensitivity &amp; Scenarios'!$C$6*((1+$E56)^1-(1+$E56)^0))*'Sensitivity &amp; Scenarios'!$C$18/(1+$C56)^'Sensitivity &amp; Scenarios'!$C$18+('Sensitivity &amp; Scenarios'!$C$6*(1+$E56)^2*$G56+'Sensitivity &amp; Scenarios'!$C$11*'Sensitivity &amp; Scenarios'!$C$6*((1+$E56)^2-(1+$E56)^1))/(1+$C56)^('Sensitivity &amp; Scenarios'!$C$18+1)+('Sensitivity &amp; Scenarios'!$C$6*(1+$E56)^3*$G56+'Sensitivity &amp; Scenarios'!$C$11*'Sensitivity &amp; Scenarios'!$C$6*((1+$E56)^3-(1+$E56)^2))/(1+$C56)^('Sensitivity &amp; Scenarios'!$C$18+2)+('Sensitivity &amp; Scenarios'!$C$6*(1+$E56)^4*$G56+'Sensitivity &amp; Scenarios'!$C$11*'Sensitivity &amp; Scenarios'!$C$6*((1+$E56)^4-(1+$E56)^3))/(1+$C56)^('Sensitivity &amp; Scenarios'!$C$18+3)+('Sensitivity &amp; Scenarios'!$C$6*(1+$E56)^5*$G56+'Sensitivity &amp; Scenarios'!$C$11*'Sensitivity &amp; Scenarios'!$C$6*((1+$E56)^5-(1+$E56)^4))/(1+$C56)^('Sensitivity &amp; Scenarios'!$C$18+4)</f>
        <v>24234.297089895619</v>
      </c>
      <c r="I56" s="209">
        <f>('Sensitivity &amp; Scenarios'!$C$6*(1+$E56)^5*$G56+'Sensitivity &amp; Scenarios'!$C$11*'Sensitivity &amp; Scenarios'!$C$6*((1+$E56)^5-(1+$E56)^4))*(1+$D56)/($C56-$D56)/(1+$C56)^('Sensitivity &amp; Scenarios'!$C$18+4)</f>
        <v>81220.231561857931</v>
      </c>
      <c r="J56" s="209">
        <f>($H56+$I56-'Sensitivity &amp; Scenarios'!$C$15+'Sensitivity &amp; Scenarios'!$C$16)/'Sensitivity &amp; Scenarios'!$C$17</f>
        <v>2506.2499501836064</v>
      </c>
    </row>
    <row r="57" spans="2:13" x14ac:dyDescent="0.3">
      <c r="B57" s="127">
        <v>27</v>
      </c>
      <c r="C57" s="206">
        <f>$D$7+-0.933618*$E$7</f>
        <v>0.12821607943997798</v>
      </c>
      <c r="D57" s="206">
        <f>MIN($D$8+-0.205438*$E$8,'Debt &amp; Cost of Capital'!$C$38)</f>
        <v>5.3767372000000001E-2</v>
      </c>
      <c r="E57" s="207">
        <f>$D$9+-0.950022*$E$9</f>
        <v>0.13872043770254633</v>
      </c>
      <c r="F57" s="207">
        <f>$D$10+-0.339033*$E$10</f>
        <v>0.1409316039999999</v>
      </c>
      <c r="G57" s="208">
        <f>$F57*(1-'Sensitivity &amp; Scenarios'!$C$12)+'Sensitivity &amp; Scenarios'!$C$9*'Sensitivity &amp; Scenarios'!$C$12-'Sensitivity &amp; Scenarios'!$C$10</f>
        <v>7.4654537361664636E-2</v>
      </c>
      <c r="H57" s="209">
        <f>('Sensitivity &amp; Scenarios'!$C$6*(1+$E57)^1*$G57+'Sensitivity &amp; Scenarios'!$C$11*'Sensitivity &amp; Scenarios'!$C$6*((1+$E57)^1-(1+$E57)^0))*'Sensitivity &amp; Scenarios'!$C$18/(1+$C57)^'Sensitivity &amp; Scenarios'!$C$18+('Sensitivity &amp; Scenarios'!$C$6*(1+$E57)^2*$G57+'Sensitivity &amp; Scenarios'!$C$11*'Sensitivity &amp; Scenarios'!$C$6*((1+$E57)^2-(1+$E57)^1))/(1+$C57)^('Sensitivity &amp; Scenarios'!$C$18+1)+('Sensitivity &amp; Scenarios'!$C$6*(1+$E57)^3*$G57+'Sensitivity &amp; Scenarios'!$C$11*'Sensitivity &amp; Scenarios'!$C$6*((1+$E57)^3-(1+$E57)^2))/(1+$C57)^('Sensitivity &amp; Scenarios'!$C$18+2)+('Sensitivity &amp; Scenarios'!$C$6*(1+$E57)^4*$G57+'Sensitivity &amp; Scenarios'!$C$11*'Sensitivity &amp; Scenarios'!$C$6*((1+$E57)^4-(1+$E57)^3))/(1+$C57)^('Sensitivity &amp; Scenarios'!$C$18+3)+('Sensitivity &amp; Scenarios'!$C$6*(1+$E57)^5*$G57+'Sensitivity &amp; Scenarios'!$C$11*'Sensitivity &amp; Scenarios'!$C$6*((1+$E57)^5-(1+$E57)^4))/(1+$C57)^('Sensitivity &amp; Scenarios'!$C$18+4)</f>
        <v>20757.280471242368</v>
      </c>
      <c r="I57" s="209">
        <f>('Sensitivity &amp; Scenarios'!$C$6*(1+$E57)^5*$G57+'Sensitivity &amp; Scenarios'!$C$11*'Sensitivity &amp; Scenarios'!$C$6*((1+$E57)^5-(1+$E57)^4))*(1+$D57)/($C57-$D57)/(1+$C57)^('Sensitivity &amp; Scenarios'!$C$18+4)</f>
        <v>64503.787307664265</v>
      </c>
      <c r="J57" s="209">
        <f>($H57+$I57-'Sensitivity &amp; Scenarios'!$C$15+'Sensitivity &amp; Scenarios'!$C$16)/'Sensitivity &amp; Scenarios'!$C$17</f>
        <v>2081.2023089548015</v>
      </c>
    </row>
    <row r="58" spans="2:13" x14ac:dyDescent="0.3">
      <c r="B58" s="127">
        <v>28</v>
      </c>
      <c r="C58" s="206">
        <f>$D$7+0.840308*$E$7</f>
        <v>0.14595533943997799</v>
      </c>
      <c r="D58" s="206">
        <f>MIN($D$8+-1.72732*$E$8,'Debt &amp; Cost of Capital'!$C$38)</f>
        <v>4.4636080000000002E-2</v>
      </c>
      <c r="E58" s="207">
        <f>$D$9+0.434424*$E$9</f>
        <v>0.18025381770254634</v>
      </c>
      <c r="F58" s="207">
        <f>$D$10+0.237736*$E$10</f>
        <v>0.14785283199999991</v>
      </c>
      <c r="G58" s="208">
        <f>$F58*(1-'Sensitivity &amp; Scenarios'!$C$12)+'Sensitivity &amp; Scenarios'!$C$9*'Sensitivity &amp; Scenarios'!$C$12-'Sensitivity &amp; Scenarios'!$C$10</f>
        <v>7.983369227406463E-2</v>
      </c>
      <c r="H58" s="209">
        <f>('Sensitivity &amp; Scenarios'!$C$6*(1+$E58)^1*$G58+'Sensitivity &amp; Scenarios'!$C$11*'Sensitivity &amp; Scenarios'!$C$6*((1+$E58)^1-(1+$E58)^0))*'Sensitivity &amp; Scenarios'!$C$18/(1+$C58)^'Sensitivity &amp; Scenarios'!$C$18+('Sensitivity &amp; Scenarios'!$C$6*(1+$E58)^2*$G58+'Sensitivity &amp; Scenarios'!$C$11*'Sensitivity &amp; Scenarios'!$C$6*((1+$E58)^2-(1+$E58)^1))/(1+$C58)^('Sensitivity &amp; Scenarios'!$C$18+1)+('Sensitivity &amp; Scenarios'!$C$6*(1+$E58)^3*$G58+'Sensitivity &amp; Scenarios'!$C$11*'Sensitivity &amp; Scenarios'!$C$6*((1+$E58)^3-(1+$E58)^2))/(1+$C58)^('Sensitivity &amp; Scenarios'!$C$18+2)+('Sensitivity &amp; Scenarios'!$C$6*(1+$E58)^4*$G58+'Sensitivity &amp; Scenarios'!$C$11*'Sensitivity &amp; Scenarios'!$C$6*((1+$E58)^4-(1+$E58)^3))/(1+$C58)^('Sensitivity &amp; Scenarios'!$C$18+3)+('Sensitivity &amp; Scenarios'!$C$6*(1+$E58)^5*$G58+'Sensitivity &amp; Scenarios'!$C$11*'Sensitivity &amp; Scenarios'!$C$6*((1+$E58)^5-(1+$E58)^4))/(1+$C58)^('Sensitivity &amp; Scenarios'!$C$18+4)</f>
        <v>24438.863460271306</v>
      </c>
      <c r="I58" s="209">
        <f>('Sensitivity &amp; Scenarios'!$C$6*(1+$E58)^5*$G58+'Sensitivity &amp; Scenarios'!$C$11*'Sensitivity &amp; Scenarios'!$C$6*((1+$E58)^5-(1+$E58)^4))*(1+$D58)/($C58-$D58)/(1+$C58)^('Sensitivity &amp; Scenarios'!$C$18+4)</f>
        <v>57378.12140413114</v>
      </c>
      <c r="J58" s="209">
        <f>($H58+$I58-'Sensitivity &amp; Scenarios'!$C$15+'Sensitivity &amp; Scenarios'!$C$16)/'Sensitivity &amp; Scenarios'!$C$17</f>
        <v>2008.7085780275359</v>
      </c>
    </row>
    <row r="59" spans="2:13" x14ac:dyDescent="0.3">
      <c r="B59" s="127">
        <v>29</v>
      </c>
      <c r="C59" s="206">
        <f>$D$7+-0.59415*$E$7</f>
        <v>0.13161075943997799</v>
      </c>
      <c r="D59" s="206">
        <f>MIN($D$8+-1.446058*$E$8,'Debt &amp; Cost of Capital'!$C$38)</f>
        <v>4.6323652E-2</v>
      </c>
      <c r="E59" s="207">
        <f>$D$9+0.07213*$E$9</f>
        <v>0.16938499770254634</v>
      </c>
      <c r="F59" s="207">
        <f>$D$10+-0.529493*$E$10</f>
        <v>0.13864608399999992</v>
      </c>
      <c r="G59" s="208">
        <f>$F59*(1-'Sensitivity &amp; Scenarios'!$C$12)+'Sensitivity &amp; Scenarios'!$C$9*'Sensitivity &amp; Scenarios'!$C$12-'Sensitivity &amp; Scenarios'!$C$10</f>
        <v>7.294428274566464E-2</v>
      </c>
      <c r="H59" s="209">
        <f>('Sensitivity &amp; Scenarios'!$C$6*(1+$E59)^1*$G59+'Sensitivity &amp; Scenarios'!$C$11*'Sensitivity &amp; Scenarios'!$C$6*((1+$E59)^1-(1+$E59)^0))*'Sensitivity &amp; Scenarios'!$C$18/(1+$C59)^'Sensitivity &amp; Scenarios'!$C$18+('Sensitivity &amp; Scenarios'!$C$6*(1+$E59)^2*$G59+'Sensitivity &amp; Scenarios'!$C$11*'Sensitivity &amp; Scenarios'!$C$6*((1+$E59)^2-(1+$E59)^1))/(1+$C59)^('Sensitivity &amp; Scenarios'!$C$18+1)+('Sensitivity &amp; Scenarios'!$C$6*(1+$E59)^3*$G59+'Sensitivity &amp; Scenarios'!$C$11*'Sensitivity &amp; Scenarios'!$C$6*((1+$E59)^3-(1+$E59)^2))/(1+$C59)^('Sensitivity &amp; Scenarios'!$C$18+2)+('Sensitivity &amp; Scenarios'!$C$6*(1+$E59)^4*$G59+'Sensitivity &amp; Scenarios'!$C$11*'Sensitivity &amp; Scenarios'!$C$6*((1+$E59)^4-(1+$E59)^3))/(1+$C59)^('Sensitivity &amp; Scenarios'!$C$18+3)+('Sensitivity &amp; Scenarios'!$C$6*(1+$E59)^5*$G59+'Sensitivity &amp; Scenarios'!$C$11*'Sensitivity &amp; Scenarios'!$C$6*((1+$E59)^5-(1+$E59)^4))/(1+$C59)^('Sensitivity &amp; Scenarios'!$C$18+4)</f>
        <v>22615.63713534248</v>
      </c>
      <c r="I59" s="209">
        <f>('Sensitivity &amp; Scenarios'!$C$6*(1+$E59)^5*$G59+'Sensitivity &amp; Scenarios'!$C$11*'Sensitivity &amp; Scenarios'!$C$6*((1+$E59)^5-(1+$E59)^4))*(1+$D59)/($C59-$D59)/(1+$C59)^('Sensitivity &amp; Scenarios'!$C$18+4)</f>
        <v>63558.987689463764</v>
      </c>
      <c r="J59" s="209">
        <f>($H59+$I59-'Sensitivity &amp; Scenarios'!$C$15+'Sensitivity &amp; Scenarios'!$C$16)/'Sensitivity &amp; Scenarios'!$C$17</f>
        <v>2100.4315668780787</v>
      </c>
    </row>
    <row r="60" spans="2:13" x14ac:dyDescent="0.3">
      <c r="B60" s="127">
        <v>30</v>
      </c>
      <c r="C60" s="206">
        <f>$D$7+0.232676*$E$7</f>
        <v>0.13987901943997799</v>
      </c>
      <c r="D60" s="206">
        <f>MIN($D$8+0.021852*$E$8,'Debt &amp; Cost of Capital'!$C$38)</f>
        <v>5.5131112000000003E-2</v>
      </c>
      <c r="E60" s="207">
        <f>$D$9+1.601779*$E$9</f>
        <v>0.21527446770254632</v>
      </c>
      <c r="F60" s="207">
        <f>$D$10+-0.239356*$E$10</f>
        <v>0.1421277279999999</v>
      </c>
      <c r="G60" s="208">
        <f>$F60*(1-'Sensitivity &amp; Scenarios'!$C$12)+'Sensitivity &amp; Scenarios'!$C$9*'Sensitivity &amp; Scenarios'!$C$12-'Sensitivity &amp; Scenarios'!$C$10</f>
        <v>7.5549596950864634E-2</v>
      </c>
      <c r="H60" s="209">
        <f>('Sensitivity &amp; Scenarios'!$C$6*(1+$E60)^1*$G60+'Sensitivity &amp; Scenarios'!$C$11*'Sensitivity &amp; Scenarios'!$C$6*((1+$E60)^1-(1+$E60)^0))*'Sensitivity &amp; Scenarios'!$C$18/(1+$C60)^'Sensitivity &amp; Scenarios'!$C$18+('Sensitivity &amp; Scenarios'!$C$6*(1+$E60)^2*$G60+'Sensitivity &amp; Scenarios'!$C$11*'Sensitivity &amp; Scenarios'!$C$6*((1+$E60)^2-(1+$E60)^1))/(1+$C60)^('Sensitivity &amp; Scenarios'!$C$18+1)+('Sensitivity &amp; Scenarios'!$C$6*(1+$E60)^3*$G60+'Sensitivity &amp; Scenarios'!$C$11*'Sensitivity &amp; Scenarios'!$C$6*((1+$E60)^3-(1+$E60)^2))/(1+$C60)^('Sensitivity &amp; Scenarios'!$C$18+2)+('Sensitivity &amp; Scenarios'!$C$6*(1+$E60)^4*$G60+'Sensitivity &amp; Scenarios'!$C$11*'Sensitivity &amp; Scenarios'!$C$6*((1+$E60)^4-(1+$E60)^3))/(1+$C60)^('Sensitivity &amp; Scenarios'!$C$18+3)+('Sensitivity &amp; Scenarios'!$C$6*(1+$E60)^5*$G60+'Sensitivity &amp; Scenarios'!$C$11*'Sensitivity &amp; Scenarios'!$C$6*((1+$E60)^5-(1+$E60)^4))/(1+$C60)^('Sensitivity &amp; Scenarios'!$C$18+4)</f>
        <v>26832.551269680811</v>
      </c>
      <c r="I60" s="209">
        <f>('Sensitivity &amp; Scenarios'!$C$6*(1+$E60)^5*$G60+'Sensitivity &amp; Scenarios'!$C$11*'Sensitivity &amp; Scenarios'!$C$6*((1+$E60)^5-(1+$E60)^4))*(1+$D60)/($C60-$D60)/(1+$C60)^('Sensitivity &amp; Scenarios'!$C$18+4)</f>
        <v>80834.948360460199</v>
      </c>
      <c r="J60" s="209">
        <f>($H60+$I60-'Sensitivity &amp; Scenarios'!$C$15+'Sensitivity &amp; Scenarios'!$C$16)/'Sensitivity &amp; Scenarios'!$C$17</f>
        <v>2552.8302813311111</v>
      </c>
    </row>
    <row r="61" spans="2:13" x14ac:dyDescent="0.3">
      <c r="B61" s="127">
        <v>31</v>
      </c>
      <c r="C61" s="206">
        <f>$D$7+-1.023497*$E$7</f>
        <v>0.12731728943997797</v>
      </c>
      <c r="D61" s="206">
        <f>MIN($D$8+0.179276*$E$8,'Debt &amp; Cost of Capital'!$C$38)</f>
        <v>5.6075656000000001E-2</v>
      </c>
      <c r="E61" s="207">
        <f>$D$9+0.219997*$E$9</f>
        <v>0.17382100770254633</v>
      </c>
      <c r="F61" s="207">
        <f>$D$10+1.359188*$E$10</f>
        <v>0.1613102559999999</v>
      </c>
      <c r="G61" s="208">
        <f>$F61*(1-'Sensitivity &amp; Scenarios'!$C$12)+'Sensitivity &amp; Scenarios'!$C$9*'Sensitivity &amp; Scenarios'!$C$12-'Sensitivity &amp; Scenarios'!$C$10</f>
        <v>8.9903882653264627E-2</v>
      </c>
      <c r="H61" s="209">
        <f>('Sensitivity &amp; Scenarios'!$C$6*(1+$E61)^1*$G61+'Sensitivity &amp; Scenarios'!$C$11*'Sensitivity &amp; Scenarios'!$C$6*((1+$E61)^1-(1+$E61)^0))*'Sensitivity &amp; Scenarios'!$C$18/(1+$C61)^'Sensitivity &amp; Scenarios'!$C$18+('Sensitivity &amp; Scenarios'!$C$6*(1+$E61)^2*$G61+'Sensitivity &amp; Scenarios'!$C$11*'Sensitivity &amp; Scenarios'!$C$6*((1+$E61)^2-(1+$E61)^1))/(1+$C61)^('Sensitivity &amp; Scenarios'!$C$18+1)+('Sensitivity &amp; Scenarios'!$C$6*(1+$E61)^3*$G61+'Sensitivity &amp; Scenarios'!$C$11*'Sensitivity &amp; Scenarios'!$C$6*((1+$E61)^3-(1+$E61)^2))/(1+$C61)^('Sensitivity &amp; Scenarios'!$C$18+2)+('Sensitivity &amp; Scenarios'!$C$6*(1+$E61)^4*$G61+'Sensitivity &amp; Scenarios'!$C$11*'Sensitivity &amp; Scenarios'!$C$6*((1+$E61)^4-(1+$E61)^3))/(1+$C61)^('Sensitivity &amp; Scenarios'!$C$18+3)+('Sensitivity &amp; Scenarios'!$C$6*(1+$E61)^5*$G61+'Sensitivity &amp; Scenarios'!$C$11*'Sensitivity &amp; Scenarios'!$C$6*((1+$E61)^5-(1+$E61)^4))/(1+$C61)^('Sensitivity &amp; Scenarios'!$C$18+4)</f>
        <v>27652.32051647735</v>
      </c>
      <c r="I61" s="209">
        <f>('Sensitivity &amp; Scenarios'!$C$6*(1+$E61)^5*$G61+'Sensitivity &amp; Scenarios'!$C$11*'Sensitivity &amp; Scenarios'!$C$6*((1+$E61)^5-(1+$E61)^4))*(1+$D61)/($C61-$D61)/(1+$C61)^('Sensitivity &amp; Scenarios'!$C$18+4)</f>
        <v>95176.094185914699</v>
      </c>
      <c r="J61" s="209">
        <f>($H61+$I61-'Sensitivity &amp; Scenarios'!$C$15+'Sensitivity &amp; Scenarios'!$C$16)/'Sensitivity &amp; Scenarios'!$C$17</f>
        <v>2871.9489916357716</v>
      </c>
    </row>
    <row r="62" spans="2:13" x14ac:dyDescent="0.3">
      <c r="B62" s="127">
        <v>32</v>
      </c>
      <c r="C62" s="206">
        <f>$D$7+0.835111*$E$7</f>
        <v>0.14590336943997798</v>
      </c>
      <c r="D62" s="206">
        <f>MIN($D$8+0.356871*$E$8,'Debt &amp; Cost of Capital'!$C$38)</f>
        <v>5.7141226000000003E-2</v>
      </c>
      <c r="E62" s="207">
        <f>$D$9+1.463303*$E$9</f>
        <v>0.21112018770254634</v>
      </c>
      <c r="F62" s="207">
        <f>$D$10+-1.188763*$E$10</f>
        <v>0.13073484399999991</v>
      </c>
      <c r="G62" s="208">
        <f>$F62*(1-'Sensitivity &amp; Scenarios'!$C$12)+'Sensitivity &amp; Scenarios'!$C$9*'Sensitivity &amp; Scenarios'!$C$12-'Sensitivity &amp; Scenarios'!$C$10</f>
        <v>6.7024301853664633E-2</v>
      </c>
      <c r="H62" s="209">
        <f>('Sensitivity &amp; Scenarios'!$C$6*(1+$E62)^1*$G62+'Sensitivity &amp; Scenarios'!$C$11*'Sensitivity &amp; Scenarios'!$C$6*((1+$E62)^1-(1+$E62)^0))*'Sensitivity &amp; Scenarios'!$C$18/(1+$C62)^'Sensitivity &amp; Scenarios'!$C$18+('Sensitivity &amp; Scenarios'!$C$6*(1+$E62)^2*$G62+'Sensitivity &amp; Scenarios'!$C$11*'Sensitivity &amp; Scenarios'!$C$6*((1+$E62)^2-(1+$E62)^1))/(1+$C62)^('Sensitivity &amp; Scenarios'!$C$18+1)+('Sensitivity &amp; Scenarios'!$C$6*(1+$E62)^3*$G62+'Sensitivity &amp; Scenarios'!$C$11*'Sensitivity &amp; Scenarios'!$C$6*((1+$E62)^3-(1+$E62)^2))/(1+$C62)^('Sensitivity &amp; Scenarios'!$C$18+2)+('Sensitivity &amp; Scenarios'!$C$6*(1+$E62)^4*$G62+'Sensitivity &amp; Scenarios'!$C$11*'Sensitivity &amp; Scenarios'!$C$6*((1+$E62)^4-(1+$E62)^3))/(1+$C62)^('Sensitivity &amp; Scenarios'!$C$18+3)+('Sensitivity &amp; Scenarios'!$C$6*(1+$E62)^5*$G62+'Sensitivity &amp; Scenarios'!$C$11*'Sensitivity &amp; Scenarios'!$C$6*((1+$E62)^5-(1+$E62)^4))/(1+$C62)^('Sensitivity &amp; Scenarios'!$C$18+4)</f>
        <v>23702.122105232607</v>
      </c>
      <c r="I62" s="209">
        <f>('Sensitivity &amp; Scenarios'!$C$6*(1+$E62)^5*$G62+'Sensitivity &amp; Scenarios'!$C$11*'Sensitivity &amp; Scenarios'!$C$6*((1+$E62)^5-(1+$E62)^4))*(1+$D62)/($C62-$D62)/(1+$C62)^('Sensitivity &amp; Scenarios'!$C$18+4)</f>
        <v>67283.005524303808</v>
      </c>
      <c r="J62" s="209">
        <f>($H62+$I62-'Sensitivity &amp; Scenarios'!$C$15+'Sensitivity &amp; Scenarios'!$C$16)/'Sensitivity &amp; Scenarios'!$C$17</f>
        <v>2201.6867644467384</v>
      </c>
    </row>
    <row r="63" spans="2:13" x14ac:dyDescent="0.3">
      <c r="B63" s="127">
        <v>33</v>
      </c>
      <c r="C63" s="206">
        <f>$D$7+-0.639752*$E$7</f>
        <v>0.13115473943997799</v>
      </c>
      <c r="D63" s="206">
        <f>MIN($D$8+-0.926576*$E$8,'Debt &amp; Cost of Capital'!$C$38)</f>
        <v>4.9440544000000003E-2</v>
      </c>
      <c r="E63" s="207">
        <f>$D$9+-0.38981*$E$9</f>
        <v>0.15552679770254635</v>
      </c>
      <c r="F63" s="207">
        <f>$D$10+-1.376686*$E$10</f>
        <v>0.12847976799999991</v>
      </c>
      <c r="G63" s="208">
        <f>$F63*(1-'Sensitivity &amp; Scenarios'!$C$12)+'Sensitivity &amp; Scenarios'!$C$9*'Sensitivity &amp; Scenarios'!$C$12-'Sensitivity &amp; Scenarios'!$C$10</f>
        <v>6.5336828482864637E-2</v>
      </c>
      <c r="H63" s="209">
        <f>('Sensitivity &amp; Scenarios'!$C$6*(1+$E63)^1*$G63+'Sensitivity &amp; Scenarios'!$C$11*'Sensitivity &amp; Scenarios'!$C$6*((1+$E63)^1-(1+$E63)^0))*'Sensitivity &amp; Scenarios'!$C$18/(1+$C63)^'Sensitivity &amp; Scenarios'!$C$18+('Sensitivity &amp; Scenarios'!$C$6*(1+$E63)^2*$G63+'Sensitivity &amp; Scenarios'!$C$11*'Sensitivity &amp; Scenarios'!$C$6*((1+$E63)^2-(1+$E63)^1))/(1+$C63)^('Sensitivity &amp; Scenarios'!$C$18+1)+('Sensitivity &amp; Scenarios'!$C$6*(1+$E63)^3*$G63+'Sensitivity &amp; Scenarios'!$C$11*'Sensitivity &amp; Scenarios'!$C$6*((1+$E63)^3-(1+$E63)^2))/(1+$C63)^('Sensitivity &amp; Scenarios'!$C$18+2)+('Sensitivity &amp; Scenarios'!$C$6*(1+$E63)^4*$G63+'Sensitivity &amp; Scenarios'!$C$11*'Sensitivity &amp; Scenarios'!$C$6*((1+$E63)^4-(1+$E63)^3))/(1+$C63)^('Sensitivity &amp; Scenarios'!$C$18+3)+('Sensitivity &amp; Scenarios'!$C$6*(1+$E63)^5*$G63+'Sensitivity &amp; Scenarios'!$C$11*'Sensitivity &amp; Scenarios'!$C$6*((1+$E63)^5-(1+$E63)^4))/(1+$C63)^('Sensitivity &amp; Scenarios'!$C$18+4)</f>
        <v>19650.194545819679</v>
      </c>
      <c r="I63" s="209">
        <f>('Sensitivity &amp; Scenarios'!$C$6*(1+$E63)^5*$G63+'Sensitivity &amp; Scenarios'!$C$11*'Sensitivity &amp; Scenarios'!$C$6*((1+$E63)^5-(1+$E63)^4))*(1+$D63)/($C63-$D63)/(1+$C63)^('Sensitivity &amp; Scenarios'!$C$18+4)</f>
        <v>56629.942520900178</v>
      </c>
      <c r="J63" s="209">
        <f>($H63+$I63-'Sensitivity &amp; Scenarios'!$C$15+'Sensitivity &amp; Scenarios'!$C$16)/'Sensitivity &amp; Scenarios'!$C$17</f>
        <v>1892.1647071642496</v>
      </c>
    </row>
    <row r="64" spans="2:13" x14ac:dyDescent="0.3">
      <c r="B64" s="127">
        <v>34</v>
      </c>
      <c r="C64" s="206">
        <f>$D$7+0.635151*$E$7</f>
        <v>0.14390376943997799</v>
      </c>
      <c r="D64" s="206">
        <f>MIN($D$8+-0.222223*$E$8,'Debt &amp; Cost of Capital'!$C$38)</f>
        <v>5.3666661999999997E-2</v>
      </c>
      <c r="E64" s="207">
        <f>$D$9+-1.470806*$E$9</f>
        <v>0.12309691770254634</v>
      </c>
      <c r="F64" s="207">
        <f>$D$10+-1.015579*$E$10</f>
        <v>0.1328130519999999</v>
      </c>
      <c r="G64" s="208">
        <f>$F64*(1-'Sensitivity &amp; Scenarios'!$C$12)+'Sensitivity &amp; Scenarios'!$C$9*'Sensitivity &amp; Scenarios'!$C$12-'Sensitivity &amp; Scenarios'!$C$10</f>
        <v>6.8579424900064634E-2</v>
      </c>
      <c r="H64" s="209">
        <f>('Sensitivity &amp; Scenarios'!$C$6*(1+$E64)^1*$G64+'Sensitivity &amp; Scenarios'!$C$11*'Sensitivity &amp; Scenarios'!$C$6*((1+$E64)^1-(1+$E64)^0))*'Sensitivity &amp; Scenarios'!$C$18/(1+$C64)^'Sensitivity &amp; Scenarios'!$C$18+('Sensitivity &amp; Scenarios'!$C$6*(1+$E64)^2*$G64+'Sensitivity &amp; Scenarios'!$C$11*'Sensitivity &amp; Scenarios'!$C$6*((1+$E64)^2-(1+$E64)^1))/(1+$C64)^('Sensitivity &amp; Scenarios'!$C$18+1)+('Sensitivity &amp; Scenarios'!$C$6*(1+$E64)^3*$G64+'Sensitivity &amp; Scenarios'!$C$11*'Sensitivity &amp; Scenarios'!$C$6*((1+$E64)^3-(1+$E64)^2))/(1+$C64)^('Sensitivity &amp; Scenarios'!$C$18+2)+('Sensitivity &amp; Scenarios'!$C$6*(1+$E64)^4*$G64+'Sensitivity &amp; Scenarios'!$C$11*'Sensitivity &amp; Scenarios'!$C$6*((1+$E64)^4-(1+$E64)^3))/(1+$C64)^('Sensitivity &amp; Scenarios'!$C$18+3)+('Sensitivity &amp; Scenarios'!$C$6*(1+$E64)^5*$G64+'Sensitivity &amp; Scenarios'!$C$11*'Sensitivity &amp; Scenarios'!$C$6*((1+$E64)^5-(1+$E64)^4))/(1+$C64)^('Sensitivity &amp; Scenarios'!$C$18+4)</f>
        <v>17512.736484848694</v>
      </c>
      <c r="I64" s="209">
        <f>('Sensitivity &amp; Scenarios'!$C$6*(1+$E64)^5*$G64+'Sensitivity &amp; Scenarios'!$C$11*'Sensitivity &amp; Scenarios'!$C$6*((1+$E64)^5-(1+$E64)^4))*(1+$D64)/($C64-$D64)/(1+$C64)^('Sensitivity &amp; Scenarios'!$C$18+4)</f>
        <v>42658.670573310104</v>
      </c>
      <c r="J64" s="209">
        <f>($H64+$I64-'Sensitivity &amp; Scenarios'!$C$15+'Sensitivity &amp; Scenarios'!$C$16)/'Sensitivity &amp; Scenarios'!$C$17</f>
        <v>1553.0956522635463</v>
      </c>
    </row>
    <row r="65" spans="2:10" x14ac:dyDescent="0.3">
      <c r="B65" s="127">
        <v>35</v>
      </c>
      <c r="C65" s="206">
        <f>$D$7+0.313514*$E$7</f>
        <v>0.14068739943997799</v>
      </c>
      <c r="D65" s="206">
        <f>MIN($D$8+0.838127*$E$8,'Debt &amp; Cost of Capital'!$C$38)</f>
        <v>6.0028761999999999E-2</v>
      </c>
      <c r="E65" s="207">
        <f>$D$9+1.996731*$E$9</f>
        <v>0.22712302770254633</v>
      </c>
      <c r="F65" s="207">
        <f>$D$10+2.913862*$E$10</f>
        <v>0.17996634399999992</v>
      </c>
      <c r="G65" s="208">
        <f>$F65*(1-'Sensitivity &amp; Scenarios'!$C$12)+'Sensitivity &amp; Scenarios'!$C$9*'Sensitivity &amp; Scenarios'!$C$12-'Sensitivity &amp; Scenarios'!$C$10</f>
        <v>0.10386423330366465</v>
      </c>
      <c r="H65" s="209">
        <f>('Sensitivity &amp; Scenarios'!$C$6*(1+$E65)^1*$G65+'Sensitivity &amp; Scenarios'!$C$11*'Sensitivity &amp; Scenarios'!$C$6*((1+$E65)^1-(1+$E65)^0))*'Sensitivity &amp; Scenarios'!$C$18/(1+$C65)^'Sensitivity &amp; Scenarios'!$C$18+('Sensitivity &amp; Scenarios'!$C$6*(1+$E65)^2*$G65+'Sensitivity &amp; Scenarios'!$C$11*'Sensitivity &amp; Scenarios'!$C$6*((1+$E65)^2-(1+$E65)^1))/(1+$C65)^('Sensitivity &amp; Scenarios'!$C$18+1)+('Sensitivity &amp; Scenarios'!$C$6*(1+$E65)^3*$G65+'Sensitivity &amp; Scenarios'!$C$11*'Sensitivity &amp; Scenarios'!$C$6*((1+$E65)^3-(1+$E65)^2))/(1+$C65)^('Sensitivity &amp; Scenarios'!$C$18+2)+('Sensitivity &amp; Scenarios'!$C$6*(1+$E65)^4*$G65+'Sensitivity &amp; Scenarios'!$C$11*'Sensitivity &amp; Scenarios'!$C$6*((1+$E65)^4-(1+$E65)^3))/(1+$C65)^('Sensitivity &amp; Scenarios'!$C$18+3)+('Sensitivity &amp; Scenarios'!$C$6*(1+$E65)^5*$G65+'Sensitivity &amp; Scenarios'!$C$11*'Sensitivity &amp; Scenarios'!$C$6*((1+$E65)^5-(1+$E65)^4))/(1+$C65)^('Sensitivity &amp; Scenarios'!$C$18+4)</f>
        <v>36133.944267765328</v>
      </c>
      <c r="I65" s="209">
        <f>('Sensitivity &amp; Scenarios'!$C$6*(1+$E65)^5*$G65+'Sensitivity &amp; Scenarios'!$C$11*'Sensitivity &amp; Scenarios'!$C$6*((1+$E65)^5-(1+$E65)^4))*(1+$D65)/($C65-$D65)/(1+$C65)^('Sensitivity &amp; Scenarios'!$C$18+4)</f>
        <v>116694.72902533664</v>
      </c>
      <c r="J65" s="209">
        <f>($H65+$I65-'Sensitivity &amp; Scenarios'!$C$15+'Sensitivity &amp; Scenarios'!$C$16)/'Sensitivity &amp; Scenarios'!$C$17</f>
        <v>3503.4177245354281</v>
      </c>
    </row>
    <row r="66" spans="2:10" x14ac:dyDescent="0.3">
      <c r="B66" s="127">
        <v>36</v>
      </c>
      <c r="C66" s="206">
        <f>$D$7+0.414409*$E$7</f>
        <v>0.14169634943997797</v>
      </c>
      <c r="D66" s="206">
        <f>MIN($D$8+-0.989538*$E$8,'Debt &amp; Cost of Capital'!$C$38)</f>
        <v>4.9062771999999998E-2</v>
      </c>
      <c r="E66" s="207">
        <f>$D$9+-2.132046*$E$9</f>
        <v>0.10325971770254634</v>
      </c>
      <c r="F66" s="207">
        <f>$D$10+0.267711*$E$10</f>
        <v>0.1482125319999999</v>
      </c>
      <c r="G66" s="208">
        <f>$F66*(1-'Sensitivity &amp; Scenarios'!$C$12)+'Sensitivity &amp; Scenarios'!$C$9*'Sensitivity &amp; Scenarios'!$C$12-'Sensitivity &amp; Scenarios'!$C$10</f>
        <v>8.0102855784064633E-2</v>
      </c>
      <c r="H66" s="209">
        <f>('Sensitivity &amp; Scenarios'!$C$6*(1+$E66)^1*$G66+'Sensitivity &amp; Scenarios'!$C$11*'Sensitivity &amp; Scenarios'!$C$6*((1+$E66)^1-(1+$E66)^0))*'Sensitivity &amp; Scenarios'!$C$18/(1+$C66)^'Sensitivity &amp; Scenarios'!$C$18+('Sensitivity &amp; Scenarios'!$C$6*(1+$E66)^2*$G66+'Sensitivity &amp; Scenarios'!$C$11*'Sensitivity &amp; Scenarios'!$C$6*((1+$E66)^2-(1+$E66)^1))/(1+$C66)^('Sensitivity &amp; Scenarios'!$C$18+1)+('Sensitivity &amp; Scenarios'!$C$6*(1+$E66)^3*$G66+'Sensitivity &amp; Scenarios'!$C$11*'Sensitivity &amp; Scenarios'!$C$6*((1+$E66)^3-(1+$E66)^2))/(1+$C66)^('Sensitivity &amp; Scenarios'!$C$18+2)+('Sensitivity &amp; Scenarios'!$C$6*(1+$E66)^4*$G66+'Sensitivity &amp; Scenarios'!$C$11*'Sensitivity &amp; Scenarios'!$C$6*((1+$E66)^4-(1+$E66)^3))/(1+$C66)^('Sensitivity &amp; Scenarios'!$C$18+3)+('Sensitivity &amp; Scenarios'!$C$6*(1+$E66)^5*$G66+'Sensitivity &amp; Scenarios'!$C$11*'Sensitivity &amp; Scenarios'!$C$6*((1+$E66)^5-(1+$E66)^4))/(1+$C66)^('Sensitivity &amp; Scenarios'!$C$18+4)</f>
        <v>18672.9240822879</v>
      </c>
      <c r="I66" s="209">
        <f>('Sensitivity &amp; Scenarios'!$C$6*(1+$E66)^5*$G66+'Sensitivity &amp; Scenarios'!$C$11*'Sensitivity &amp; Scenarios'!$C$6*((1+$E66)^5-(1+$E66)^4))*(1+$D66)/($C66-$D66)/(1+$C66)^('Sensitivity &amp; Scenarios'!$C$18+4)</f>
        <v>42809.771273231614</v>
      </c>
      <c r="J66" s="209">
        <f>($H66+$I66-'Sensitivity &amp; Scenarios'!$C$15+'Sensitivity &amp; Scenarios'!$C$16)/'Sensitivity &amp; Scenarios'!$C$17</f>
        <v>1580.696666338036</v>
      </c>
    </row>
    <row r="67" spans="2:10" x14ac:dyDescent="0.3">
      <c r="B67" s="127">
        <v>37</v>
      </c>
      <c r="C67" s="206">
        <f>$D$7+-0.812941*$E$7</f>
        <v>0.12942284943997798</v>
      </c>
      <c r="D67" s="206">
        <f>MIN($D$8+-0.415357*$E$8,'Debt &amp; Cost of Capital'!$C$38)</f>
        <v>5.2507857999999998E-2</v>
      </c>
      <c r="E67" s="207">
        <f>$D$9+-0.612097*$E$9</f>
        <v>0.14885818770254633</v>
      </c>
      <c r="F67" s="207">
        <f>$D$10+-0.140791*$E$10</f>
        <v>0.14331050799999992</v>
      </c>
      <c r="G67" s="208">
        <f>$F67*(1-'Sensitivity &amp; Scenarios'!$C$12)+'Sensitivity &amp; Scenarios'!$C$9*'Sensitivity &amp; Scenarios'!$C$12-'Sensitivity &amp; Scenarios'!$C$10</f>
        <v>7.643467122486465E-2</v>
      </c>
      <c r="H67" s="209">
        <f>('Sensitivity &amp; Scenarios'!$C$6*(1+$E67)^1*$G67+'Sensitivity &amp; Scenarios'!$C$11*'Sensitivity &amp; Scenarios'!$C$6*((1+$E67)^1-(1+$E67)^0))*'Sensitivity &amp; Scenarios'!$C$18/(1+$C67)^'Sensitivity &amp; Scenarios'!$C$18+('Sensitivity &amp; Scenarios'!$C$6*(1+$E67)^2*$G67+'Sensitivity &amp; Scenarios'!$C$11*'Sensitivity &amp; Scenarios'!$C$6*((1+$E67)^2-(1+$E67)^1))/(1+$C67)^('Sensitivity &amp; Scenarios'!$C$18+1)+('Sensitivity &amp; Scenarios'!$C$6*(1+$E67)^3*$G67+'Sensitivity &amp; Scenarios'!$C$11*'Sensitivity &amp; Scenarios'!$C$6*((1+$E67)^3-(1+$E67)^2))/(1+$C67)^('Sensitivity &amp; Scenarios'!$C$18+2)+('Sensitivity &amp; Scenarios'!$C$6*(1+$E67)^4*$G67+'Sensitivity &amp; Scenarios'!$C$11*'Sensitivity &amp; Scenarios'!$C$6*((1+$E67)^4-(1+$E67)^3))/(1+$C67)^('Sensitivity &amp; Scenarios'!$C$18+3)+('Sensitivity &amp; Scenarios'!$C$6*(1+$E67)^5*$G67+'Sensitivity &amp; Scenarios'!$C$11*'Sensitivity &amp; Scenarios'!$C$6*((1+$E67)^5-(1+$E67)^4))/(1+$C67)^('Sensitivity &amp; Scenarios'!$C$18+4)</f>
        <v>21923.352983675955</v>
      </c>
      <c r="I67" s="209">
        <f>('Sensitivity &amp; Scenarios'!$C$6*(1+$E67)^5*$G67+'Sensitivity &amp; Scenarios'!$C$11*'Sensitivity &amp; Scenarios'!$C$6*((1+$E67)^5-(1+$E67)^4))*(1+$D67)/($C67-$D67)/(1+$C67)^('Sensitivity &amp; Scenarios'!$C$18+4)</f>
        <v>66803.805646940353</v>
      </c>
      <c r="J67" s="209">
        <f>($H67+$I67-'Sensitivity &amp; Scenarios'!$C$15+'Sensitivity &amp; Scenarios'!$C$16)/'Sensitivity &amp; Scenarios'!$C$17</f>
        <v>2154.1592800297763</v>
      </c>
    </row>
    <row r="68" spans="2:10" x14ac:dyDescent="0.3">
      <c r="B68" s="127">
        <v>38</v>
      </c>
      <c r="C68" s="206">
        <f>$D$7+1.06598*$E$7</f>
        <v>0.14821205943997798</v>
      </c>
      <c r="D68" s="206">
        <f>MIN($D$8+0.157049*$E$8,'Debt &amp; Cost of Capital'!$C$38)</f>
        <v>5.5942294000000004E-2</v>
      </c>
      <c r="E68" s="207">
        <f>$D$9+-0.158635*$E$9</f>
        <v>0.16246204770254635</v>
      </c>
      <c r="F68" s="207">
        <f>$D$10+-1.035654*$E$10</f>
        <v>0.13257215199999992</v>
      </c>
      <c r="G68" s="208">
        <f>$F68*(1-'Sensitivity &amp; Scenarios'!$C$12)+'Sensitivity &amp; Scenarios'!$C$9*'Sensitivity &amp; Scenarios'!$C$12-'Sensitivity &amp; Scenarios'!$C$10</f>
        <v>6.8399159430064638E-2</v>
      </c>
      <c r="H68" s="209">
        <f>('Sensitivity &amp; Scenarios'!$C$6*(1+$E68)^1*$G68+'Sensitivity &amp; Scenarios'!$C$11*'Sensitivity &amp; Scenarios'!$C$6*((1+$E68)^1-(1+$E68)^0))*'Sensitivity &amp; Scenarios'!$C$18/(1+$C68)^'Sensitivity &amp; Scenarios'!$C$18+('Sensitivity &amp; Scenarios'!$C$6*(1+$E68)^2*$G68+'Sensitivity &amp; Scenarios'!$C$11*'Sensitivity &amp; Scenarios'!$C$6*((1+$E68)^2-(1+$E68)^1))/(1+$C68)^('Sensitivity &amp; Scenarios'!$C$18+1)+('Sensitivity &amp; Scenarios'!$C$6*(1+$E68)^3*$G68+'Sensitivity &amp; Scenarios'!$C$11*'Sensitivity &amp; Scenarios'!$C$6*((1+$E68)^3-(1+$E68)^2))/(1+$C68)^('Sensitivity &amp; Scenarios'!$C$18+2)+('Sensitivity &amp; Scenarios'!$C$6*(1+$E68)^4*$G68+'Sensitivity &amp; Scenarios'!$C$11*'Sensitivity &amp; Scenarios'!$C$6*((1+$E68)^4-(1+$E68)^3))/(1+$C68)^('Sensitivity &amp; Scenarios'!$C$18+3)+('Sensitivity &amp; Scenarios'!$C$6*(1+$E68)^5*$G68+'Sensitivity &amp; Scenarios'!$C$11*'Sensitivity &amp; Scenarios'!$C$6*((1+$E68)^5-(1+$E68)^4))/(1+$C68)^('Sensitivity &amp; Scenarios'!$C$18+4)</f>
        <v>20070.207234823436</v>
      </c>
      <c r="I68" s="209">
        <f>('Sensitivity &amp; Scenarios'!$C$6*(1+$E68)^5*$G68+'Sensitivity &amp; Scenarios'!$C$11*'Sensitivity &amp; Scenarios'!$C$6*((1+$E68)^5-(1+$E68)^4))*(1+$D68)/($C68-$D68)/(1+$C68)^('Sensitivity &amp; Scenarios'!$C$18+4)</f>
        <v>50709.147500932952</v>
      </c>
      <c r="J68" s="209">
        <f>($H68+$I68-'Sensitivity &amp; Scenarios'!$C$15+'Sensitivity &amp; Scenarios'!$C$16)/'Sensitivity &amp; Scenarios'!$C$17</f>
        <v>1776.3799702431495</v>
      </c>
    </row>
    <row r="69" spans="2:10" x14ac:dyDescent="0.3">
      <c r="B69" s="127">
        <v>39</v>
      </c>
      <c r="C69" s="206">
        <f>$D$7+-1.674683*$E$7</f>
        <v>0.12080542943997798</v>
      </c>
      <c r="D69" s="206">
        <f>MIN($D$8+-0.486308*$E$8,'Debt &amp; Cost of Capital'!$C$38)</f>
        <v>5.2082152E-2</v>
      </c>
      <c r="E69" s="207">
        <f>$D$9+-0.053783*$E$9</f>
        <v>0.16560760770254634</v>
      </c>
      <c r="F69" s="207">
        <f>$D$10+1.76793*$E$10</f>
        <v>0.16621515999999992</v>
      </c>
      <c r="G69" s="208">
        <f>$F69*(1-'Sensitivity &amp; Scenarios'!$C$12)+'Sensitivity &amp; Scenarios'!$C$9*'Sensitivity &amp; Scenarios'!$C$12-'Sensitivity &amp; Scenarios'!$C$10</f>
        <v>9.3574222316464645E-2</v>
      </c>
      <c r="H69" s="209">
        <f>('Sensitivity &amp; Scenarios'!$C$6*(1+$E69)^1*$G69+'Sensitivity &amp; Scenarios'!$C$11*'Sensitivity &amp; Scenarios'!$C$6*((1+$E69)^1-(1+$E69)^0))*'Sensitivity &amp; Scenarios'!$C$18/(1+$C69)^'Sensitivity &amp; Scenarios'!$C$18+('Sensitivity &amp; Scenarios'!$C$6*(1+$E69)^2*$G69+'Sensitivity &amp; Scenarios'!$C$11*'Sensitivity &amp; Scenarios'!$C$6*((1+$E69)^2-(1+$E69)^1))/(1+$C69)^('Sensitivity &amp; Scenarios'!$C$18+1)+('Sensitivity &amp; Scenarios'!$C$6*(1+$E69)^3*$G69+'Sensitivity &amp; Scenarios'!$C$11*'Sensitivity &amp; Scenarios'!$C$6*((1+$E69)^3-(1+$E69)^2))/(1+$C69)^('Sensitivity &amp; Scenarios'!$C$18+2)+('Sensitivity &amp; Scenarios'!$C$6*(1+$E69)^4*$G69+'Sensitivity &amp; Scenarios'!$C$11*'Sensitivity &amp; Scenarios'!$C$6*((1+$E69)^4-(1+$E69)^3))/(1+$C69)^('Sensitivity &amp; Scenarios'!$C$18+3)+('Sensitivity &amp; Scenarios'!$C$6*(1+$E69)^5*$G69+'Sensitivity &amp; Scenarios'!$C$11*'Sensitivity &amp; Scenarios'!$C$6*((1+$E69)^5-(1+$E69)^4))/(1+$C69)^('Sensitivity &amp; Scenarios'!$C$18+4)</f>
        <v>28263.304953182902</v>
      </c>
      <c r="I69" s="209">
        <f>('Sensitivity &amp; Scenarios'!$C$6*(1+$E69)^5*$G69+'Sensitivity &amp; Scenarios'!$C$11*'Sensitivity &amp; Scenarios'!$C$6*((1+$E69)^5-(1+$E69)^4))*(1+$D69)/($C69-$D69)/(1+$C69)^('Sensitivity &amp; Scenarios'!$C$18+4)</f>
        <v>100244.31789237529</v>
      </c>
      <c r="J69" s="209">
        <f>($H69+$I69-'Sensitivity &amp; Scenarios'!$C$15+'Sensitivity &amp; Scenarios'!$C$16)/'Sensitivity &amp; Scenarios'!$C$17</f>
        <v>2991.4893735693154</v>
      </c>
    </row>
    <row r="70" spans="2:10" x14ac:dyDescent="0.3">
      <c r="B70" s="127">
        <v>40</v>
      </c>
      <c r="C70" s="206">
        <f>$D$7+0.130275*$E$7</f>
        <v>0.13885500943997797</v>
      </c>
      <c r="D70" s="206">
        <f>MIN($D$8+0.98274*$E$8,'Debt &amp; Cost of Capital'!$C$38)</f>
        <v>6.0896440000000003E-2</v>
      </c>
      <c r="E70" s="207">
        <f>$D$9+-0.499296*$E$9</f>
        <v>0.15224221770254634</v>
      </c>
      <c r="F70" s="207">
        <f>$D$10+-1.184944*$E$10</f>
        <v>0.1307806719999999</v>
      </c>
      <c r="G70" s="208">
        <f>$F70*(1-'Sensitivity &amp; Scenarios'!$C$12)+'Sensitivity &amp; Scenarios'!$C$9*'Sensitivity &amp; Scenarios'!$C$12-'Sensitivity &amp; Scenarios'!$C$10</f>
        <v>6.7058594946064629E-2</v>
      </c>
      <c r="H70" s="209">
        <f>('Sensitivity &amp; Scenarios'!$C$6*(1+$E70)^1*$G70+'Sensitivity &amp; Scenarios'!$C$11*'Sensitivity &amp; Scenarios'!$C$6*((1+$E70)^1-(1+$E70)^0))*'Sensitivity &amp; Scenarios'!$C$18/(1+$C70)^'Sensitivity &amp; Scenarios'!$C$18+('Sensitivity &amp; Scenarios'!$C$6*(1+$E70)^2*$G70+'Sensitivity &amp; Scenarios'!$C$11*'Sensitivity &amp; Scenarios'!$C$6*((1+$E70)^2-(1+$E70)^1))/(1+$C70)^('Sensitivity &amp; Scenarios'!$C$18+1)+('Sensitivity &amp; Scenarios'!$C$6*(1+$E70)^3*$G70+'Sensitivity &amp; Scenarios'!$C$11*'Sensitivity &amp; Scenarios'!$C$6*((1+$E70)^3-(1+$E70)^2))/(1+$C70)^('Sensitivity &amp; Scenarios'!$C$18+2)+('Sensitivity &amp; Scenarios'!$C$6*(1+$E70)^4*$G70+'Sensitivity &amp; Scenarios'!$C$11*'Sensitivity &amp; Scenarios'!$C$6*((1+$E70)^4-(1+$E70)^3))/(1+$C70)^('Sensitivity &amp; Scenarios'!$C$18+3)+('Sensitivity &amp; Scenarios'!$C$6*(1+$E70)^5*$G70+'Sensitivity &amp; Scenarios'!$C$11*'Sensitivity &amp; Scenarios'!$C$6*((1+$E70)^5-(1+$E70)^4))/(1+$C70)^('Sensitivity &amp; Scenarios'!$C$18+4)</f>
        <v>19449.212271264692</v>
      </c>
      <c r="I70" s="209">
        <f>('Sensitivity &amp; Scenarios'!$C$6*(1+$E70)^5*$G70+'Sensitivity &amp; Scenarios'!$C$11*'Sensitivity &amp; Scenarios'!$C$6*((1+$E70)^5-(1+$E70)^4))*(1+$D70)/($C70-$D70)/(1+$C70)^('Sensitivity &amp; Scenarios'!$C$18+4)</f>
        <v>58365.053381507023</v>
      </c>
      <c r="J70" s="209">
        <f>($H70+$I70-'Sensitivity &amp; Scenarios'!$C$15+'Sensitivity &amp; Scenarios'!$C$16)/'Sensitivity &amp; Scenarios'!$C$17</f>
        <v>1924.4562366325758</v>
      </c>
    </row>
    <row r="71" spans="2:10" x14ac:dyDescent="0.3">
      <c r="B71" s="127">
        <v>41</v>
      </c>
      <c r="C71" s="206">
        <f>$D$7+-0.965117*$E$7</f>
        <v>0.12790108943997797</v>
      </c>
      <c r="D71" s="206">
        <f>MIN($D$8+-0.725226*$E$8,'Debt &amp; Cost of Capital'!$C$38)</f>
        <v>5.0648644E-2</v>
      </c>
      <c r="E71" s="207">
        <f>$D$9+2.12847*$E$9</f>
        <v>0.23107519770254634</v>
      </c>
      <c r="F71" s="207">
        <f>$D$10+-0.821387*$E$10</f>
        <v>0.13514335599999991</v>
      </c>
      <c r="G71" s="208">
        <f>$F71*(1-'Sensitivity &amp; Scenarios'!$C$12)+'Sensitivity &amp; Scenarios'!$C$9*'Sensitivity &amp; Scenarios'!$C$12-'Sensitivity &amp; Scenarios'!$C$10</f>
        <v>7.0323191383264635E-2</v>
      </c>
      <c r="H71" s="209">
        <f>('Sensitivity &amp; Scenarios'!$C$6*(1+$E71)^1*$G71+'Sensitivity &amp; Scenarios'!$C$11*'Sensitivity &amp; Scenarios'!$C$6*((1+$E71)^1-(1+$E71)^0))*'Sensitivity &amp; Scenarios'!$C$18/(1+$C71)^'Sensitivity &amp; Scenarios'!$C$18+('Sensitivity &amp; Scenarios'!$C$6*(1+$E71)^2*$G71+'Sensitivity &amp; Scenarios'!$C$11*'Sensitivity &amp; Scenarios'!$C$6*((1+$E71)^2-(1+$E71)^1))/(1+$C71)^('Sensitivity &amp; Scenarios'!$C$18+1)+('Sensitivity &amp; Scenarios'!$C$6*(1+$E71)^3*$G71+'Sensitivity &amp; Scenarios'!$C$11*'Sensitivity &amp; Scenarios'!$C$6*((1+$E71)^3-(1+$E71)^2))/(1+$C71)^('Sensitivity &amp; Scenarios'!$C$18+2)+('Sensitivity &amp; Scenarios'!$C$6*(1+$E71)^4*$G71+'Sensitivity &amp; Scenarios'!$C$11*'Sensitivity &amp; Scenarios'!$C$6*((1+$E71)^4-(1+$E71)^3))/(1+$C71)^('Sensitivity &amp; Scenarios'!$C$18+3)+('Sensitivity &amp; Scenarios'!$C$6*(1+$E71)^5*$G71+'Sensitivity &amp; Scenarios'!$C$11*'Sensitivity &amp; Scenarios'!$C$6*((1+$E71)^5-(1+$E71)^4))/(1+$C71)^('Sensitivity &amp; Scenarios'!$C$18+4)</f>
        <v>27643.820135382586</v>
      </c>
      <c r="I71" s="209">
        <f>('Sensitivity &amp; Scenarios'!$C$6*(1+$E71)^5*$G71+'Sensitivity &amp; Scenarios'!$C$11*'Sensitivity &amp; Scenarios'!$C$6*((1+$E71)^5-(1+$E71)^4))*(1+$D71)/($C71-$D71)/(1+$C71)^('Sensitivity &amp; Scenarios'!$C$18+4)</f>
        <v>94686.645483626358</v>
      </c>
      <c r="J71" s="209">
        <f>($H71+$I71-'Sensitivity &amp; Scenarios'!$C$15+'Sensitivity &amp; Scenarios'!$C$16)/'Sensitivity &amp; Scenarios'!$C$17</f>
        <v>2861.4677727562166</v>
      </c>
    </row>
    <row r="72" spans="2:10" x14ac:dyDescent="0.3">
      <c r="B72" s="127">
        <v>42</v>
      </c>
      <c r="C72" s="206">
        <f>$D$7+0.838489*$E$7</f>
        <v>0.14593714943997799</v>
      </c>
      <c r="D72" s="206">
        <f>MIN($D$8+-0.902927*$E$8,'Debt &amp; Cost of Capital'!$C$38)</f>
        <v>4.9582438E-2</v>
      </c>
      <c r="E72" s="207">
        <f>$D$9+0.931573*$E$9</f>
        <v>0.19516828770254635</v>
      </c>
      <c r="F72" s="207">
        <f>$D$10+0.384951*$E$10</f>
        <v>0.1496194119999999</v>
      </c>
      <c r="G72" s="208">
        <f>$F72*(1-'Sensitivity &amp; Scenarios'!$C$12)+'Sensitivity &amp; Scenarios'!$C$9*'Sensitivity &amp; Scenarios'!$C$12-'Sensitivity &amp; Scenarios'!$C$10</f>
        <v>8.1155624088064635E-2</v>
      </c>
      <c r="H72" s="209">
        <f>('Sensitivity &amp; Scenarios'!$C$6*(1+$E72)^1*$G72+'Sensitivity &amp; Scenarios'!$C$11*'Sensitivity &amp; Scenarios'!$C$6*((1+$E72)^1-(1+$E72)^0))*'Sensitivity &amp; Scenarios'!$C$18/(1+$C72)^'Sensitivity &amp; Scenarios'!$C$18+('Sensitivity &amp; Scenarios'!$C$6*(1+$E72)^2*$G72+'Sensitivity &amp; Scenarios'!$C$11*'Sensitivity &amp; Scenarios'!$C$6*((1+$E72)^2-(1+$E72)^1))/(1+$C72)^('Sensitivity &amp; Scenarios'!$C$18+1)+('Sensitivity &amp; Scenarios'!$C$6*(1+$E72)^3*$G72+'Sensitivity &amp; Scenarios'!$C$11*'Sensitivity &amp; Scenarios'!$C$6*((1+$E72)^3-(1+$E72)^2))/(1+$C72)^('Sensitivity &amp; Scenarios'!$C$18+2)+('Sensitivity &amp; Scenarios'!$C$6*(1+$E72)^4*$G72+'Sensitivity &amp; Scenarios'!$C$11*'Sensitivity &amp; Scenarios'!$C$6*((1+$E72)^4-(1+$E72)^3))/(1+$C72)^('Sensitivity &amp; Scenarios'!$C$18+3)+('Sensitivity &amp; Scenarios'!$C$6*(1+$E72)^5*$G72+'Sensitivity &amp; Scenarios'!$C$11*'Sensitivity &amp; Scenarios'!$C$6*((1+$E72)^5-(1+$E72)^4))/(1+$C72)^('Sensitivity &amp; Scenarios'!$C$18+4)</f>
        <v>26103.954159662426</v>
      </c>
      <c r="I72" s="209">
        <f>('Sensitivity &amp; Scenarios'!$C$6*(1+$E72)^5*$G72+'Sensitivity &amp; Scenarios'!$C$11*'Sensitivity &amp; Scenarios'!$C$6*((1+$E72)^5-(1+$E72)^4))*(1+$D72)/($C72-$D72)/(1+$C72)^('Sensitivity &amp; Scenarios'!$C$18+4)</f>
        <v>66213.111958875612</v>
      </c>
      <c r="J72" s="209">
        <f>($H72+$I72-'Sensitivity &amp; Scenarios'!$C$15+'Sensitivity &amp; Scenarios'!$C$16)/'Sensitivity &amp; Scenarios'!$C$17</f>
        <v>2229.7224397862365</v>
      </c>
    </row>
    <row r="73" spans="2:10" x14ac:dyDescent="0.3">
      <c r="B73" s="127">
        <v>43</v>
      </c>
      <c r="C73" s="206">
        <f>$D$7+-0.156638*$E$7</f>
        <v>0.13598587943997797</v>
      </c>
      <c r="D73" s="206">
        <f>MIN($D$8+-0.040763*$E$8,'Debt &amp; Cost of Capital'!$C$38)</f>
        <v>5.4755421999999998E-2</v>
      </c>
      <c r="E73" s="207">
        <f>$D$9+-0.654788*$E$9</f>
        <v>0.14757745770254635</v>
      </c>
      <c r="F73" s="207">
        <f>$D$10+0.446072*$E$10</f>
        <v>0.15035286399999992</v>
      </c>
      <c r="G73" s="208">
        <f>$F73*(1-'Sensitivity &amp; Scenarios'!$C$12)+'Sensitivity &amp; Scenarios'!$C$9*'Sensitivity &amp; Scenarios'!$C$12-'Sensitivity &amp; Scenarios'!$C$10</f>
        <v>8.1704466219664651E-2</v>
      </c>
      <c r="H73" s="209">
        <f>('Sensitivity &amp; Scenarios'!$C$6*(1+$E73)^1*$G73+'Sensitivity &amp; Scenarios'!$C$11*'Sensitivity &amp; Scenarios'!$C$6*((1+$E73)^1-(1+$E73)^0))*'Sensitivity &amp; Scenarios'!$C$18/(1+$C73)^'Sensitivity &amp; Scenarios'!$C$18+('Sensitivity &amp; Scenarios'!$C$6*(1+$E73)^2*$G73+'Sensitivity &amp; Scenarios'!$C$11*'Sensitivity &amp; Scenarios'!$C$6*((1+$E73)^2-(1+$E73)^1))/(1+$C73)^('Sensitivity &amp; Scenarios'!$C$18+1)+('Sensitivity &amp; Scenarios'!$C$6*(1+$E73)^3*$G73+'Sensitivity &amp; Scenarios'!$C$11*'Sensitivity &amp; Scenarios'!$C$6*((1+$E73)^3-(1+$E73)^2))/(1+$C73)^('Sensitivity &amp; Scenarios'!$C$18+2)+('Sensitivity &amp; Scenarios'!$C$6*(1+$E73)^4*$G73+'Sensitivity &amp; Scenarios'!$C$11*'Sensitivity &amp; Scenarios'!$C$6*((1+$E73)^4-(1+$E73)^3))/(1+$C73)^('Sensitivity &amp; Scenarios'!$C$18+3)+('Sensitivity &amp; Scenarios'!$C$6*(1+$E73)^5*$G73+'Sensitivity &amp; Scenarios'!$C$11*'Sensitivity &amp; Scenarios'!$C$6*((1+$E73)^5-(1+$E73)^4))/(1+$C73)^('Sensitivity &amp; Scenarios'!$C$18+4)</f>
        <v>22715.665823214971</v>
      </c>
      <c r="I73" s="209">
        <f>('Sensitivity &amp; Scenarios'!$C$6*(1+$E73)^5*$G73+'Sensitivity &amp; Scenarios'!$C$11*'Sensitivity &amp; Scenarios'!$C$6*((1+$E73)^5-(1+$E73)^4))*(1+$D73)/($C73-$D73)/(1+$C73)^('Sensitivity &amp; Scenarios'!$C$18+4)</f>
        <v>64861.402488308835</v>
      </c>
      <c r="J73" s="209">
        <f>($H73+$I73-'Sensitivity &amp; Scenarios'!$C$15+'Sensitivity &amp; Scenarios'!$C$16)/'Sensitivity &amp; Scenarios'!$C$17</f>
        <v>2129.9512861446037</v>
      </c>
    </row>
    <row r="74" spans="2:10" x14ac:dyDescent="0.3">
      <c r="B74" s="127">
        <v>44</v>
      </c>
      <c r="C74" s="206">
        <f>$D$7+-0.454983*$E$7</f>
        <v>0.13300242943997798</v>
      </c>
      <c r="D74" s="206">
        <f>MIN($D$8+-1.225606*$E$8,'Debt &amp; Cost of Capital'!$C$38)</f>
        <v>4.7646363999999997E-2</v>
      </c>
      <c r="E74" s="207">
        <f>$D$9+-1.277938*$E$9</f>
        <v>0.12888295770254635</v>
      </c>
      <c r="F74" s="207">
        <f>$D$10+0.172588*$E$10</f>
        <v>0.14707105599999989</v>
      </c>
      <c r="G74" s="208">
        <f>$F74*(1-'Sensitivity &amp; Scenarios'!$C$12)+'Sensitivity &amp; Scenarios'!$C$9*'Sensitivity &amp; Scenarios'!$C$12-'Sensitivity &amp; Scenarios'!$C$10</f>
        <v>7.9248689293264632E-2</v>
      </c>
      <c r="H74" s="209">
        <f>('Sensitivity &amp; Scenarios'!$C$6*(1+$E74)^1*$G74+'Sensitivity &amp; Scenarios'!$C$11*'Sensitivity &amp; Scenarios'!$C$6*((1+$E74)^1-(1+$E74)^0))*'Sensitivity &amp; Scenarios'!$C$18/(1+$C74)^'Sensitivity &amp; Scenarios'!$C$18+('Sensitivity &amp; Scenarios'!$C$6*(1+$E74)^2*$G74+'Sensitivity &amp; Scenarios'!$C$11*'Sensitivity &amp; Scenarios'!$C$6*((1+$E74)^2-(1+$E74)^1))/(1+$C74)^('Sensitivity &amp; Scenarios'!$C$18+1)+('Sensitivity &amp; Scenarios'!$C$6*(1+$E74)^3*$G74+'Sensitivity &amp; Scenarios'!$C$11*'Sensitivity &amp; Scenarios'!$C$6*((1+$E74)^3-(1+$E74)^2))/(1+$C74)^('Sensitivity &amp; Scenarios'!$C$18+2)+('Sensitivity &amp; Scenarios'!$C$6*(1+$E74)^4*$G74+'Sensitivity &amp; Scenarios'!$C$11*'Sensitivity &amp; Scenarios'!$C$6*((1+$E74)^4-(1+$E74)^3))/(1+$C74)^('Sensitivity &amp; Scenarios'!$C$18+3)+('Sensitivity &amp; Scenarios'!$C$6*(1+$E74)^5*$G74+'Sensitivity &amp; Scenarios'!$C$11*'Sensitivity &amp; Scenarios'!$C$6*((1+$E74)^5-(1+$E74)^4))/(1+$C74)^('Sensitivity &amp; Scenarios'!$C$18+4)</f>
        <v>20808.050521810899</v>
      </c>
      <c r="I74" s="209">
        <f>('Sensitivity &amp; Scenarios'!$C$6*(1+$E74)^5*$G74+'Sensitivity &amp; Scenarios'!$C$11*'Sensitivity &amp; Scenarios'!$C$6*((1+$E74)^5-(1+$E74)^4))*(1+$D74)/($C74-$D74)/(1+$C74)^('Sensitivity &amp; Scenarios'!$C$18+4)</f>
        <v>54757.372816980729</v>
      </c>
      <c r="J74" s="209">
        <f>($H74+$I74-'Sensitivity &amp; Scenarios'!$C$15+'Sensitivity &amp; Scenarios'!$C$16)/'Sensitivity &amp; Scenarios'!$C$17</f>
        <v>1877.1208577655452</v>
      </c>
    </row>
    <row r="75" spans="2:10" x14ac:dyDescent="0.3">
      <c r="B75" s="127">
        <v>45</v>
      </c>
      <c r="C75" s="206">
        <f>$D$7+1.579091*$E$7</f>
        <v>0.15334316943997797</v>
      </c>
      <c r="D75" s="206">
        <f>MIN($D$8+0.159992*$E$8,'Debt &amp; Cost of Capital'!$C$38)</f>
        <v>5.5959952E-2</v>
      </c>
      <c r="E75" s="207">
        <f>$D$9+-0.118638*$E$9</f>
        <v>0.16366195770254635</v>
      </c>
      <c r="F75" s="207">
        <f>$D$10+0.285826*$E$10</f>
        <v>0.14842991199999991</v>
      </c>
      <c r="G75" s="208">
        <f>$F75*(1-'Sensitivity &amp; Scenarios'!$C$12)+'Sensitivity &amp; Scenarios'!$C$9*'Sensitivity &amp; Scenarios'!$C$12-'Sensitivity &amp; Scenarios'!$C$10</f>
        <v>8.0265521238064644E-2</v>
      </c>
      <c r="H75" s="209">
        <f>('Sensitivity &amp; Scenarios'!$C$6*(1+$E75)^1*$G75+'Sensitivity &amp; Scenarios'!$C$11*'Sensitivity &amp; Scenarios'!$C$6*((1+$E75)^1-(1+$E75)^0))*'Sensitivity &amp; Scenarios'!$C$18/(1+$C75)^'Sensitivity &amp; Scenarios'!$C$18+('Sensitivity &amp; Scenarios'!$C$6*(1+$E75)^2*$G75+'Sensitivity &amp; Scenarios'!$C$11*'Sensitivity &amp; Scenarios'!$C$6*((1+$E75)^2-(1+$E75)^1))/(1+$C75)^('Sensitivity &amp; Scenarios'!$C$18+1)+('Sensitivity &amp; Scenarios'!$C$6*(1+$E75)^3*$G75+'Sensitivity &amp; Scenarios'!$C$11*'Sensitivity &amp; Scenarios'!$C$6*((1+$E75)^3-(1+$E75)^2))/(1+$C75)^('Sensitivity &amp; Scenarios'!$C$18+2)+('Sensitivity &amp; Scenarios'!$C$6*(1+$E75)^4*$G75+'Sensitivity &amp; Scenarios'!$C$11*'Sensitivity &amp; Scenarios'!$C$6*((1+$E75)^4-(1+$E75)^3))/(1+$C75)^('Sensitivity &amp; Scenarios'!$C$18+3)+('Sensitivity &amp; Scenarios'!$C$6*(1+$E75)^5*$G75+'Sensitivity &amp; Scenarios'!$C$11*'Sensitivity &amp; Scenarios'!$C$6*((1+$E75)^5-(1+$E75)^4))/(1+$C75)^('Sensitivity &amp; Scenarios'!$C$18+4)</f>
        <v>22725.259686604244</v>
      </c>
      <c r="I75" s="209">
        <f>('Sensitivity &amp; Scenarios'!$C$6*(1+$E75)^5*$G75+'Sensitivity &amp; Scenarios'!$C$11*'Sensitivity &amp; Scenarios'!$C$6*((1+$E75)^5-(1+$E75)^4))*(1+$D75)/($C75-$D75)/(1+$C75)^('Sensitivity &amp; Scenarios'!$C$18+4)</f>
        <v>54064.683870933644</v>
      </c>
      <c r="J75" s="209">
        <f>($H75+$I75-'Sensitivity &amp; Scenarios'!$C$15+'Sensitivity &amp; Scenarios'!$C$16)/'Sensitivity &amp; Scenarios'!$C$17</f>
        <v>1902.8955099607488</v>
      </c>
    </row>
    <row r="76" spans="2:10" x14ac:dyDescent="0.3">
      <c r="B76" s="127">
        <v>46</v>
      </c>
      <c r="C76" s="206">
        <f>$D$7+1.306002*$E$7</f>
        <v>0.15061227943997799</v>
      </c>
      <c r="D76" s="206">
        <f>MIN($D$8+0.219383*$E$8,'Debt &amp; Cost of Capital'!$C$38)</f>
        <v>5.6316298000000001E-2</v>
      </c>
      <c r="E76" s="207">
        <f>$D$9+-0.410927*$E$9</f>
        <v>0.15489328770254635</v>
      </c>
      <c r="F76" s="207">
        <f>$D$10+1.106289*$E$10</f>
        <v>0.15827546799999992</v>
      </c>
      <c r="G76" s="208">
        <f>$F76*(1-'Sensitivity &amp; Scenarios'!$C$12)+'Sensitivity &amp; Scenarios'!$C$9*'Sensitivity &amp; Scenarios'!$C$12-'Sensitivity &amp; Scenarios'!$C$10</f>
        <v>8.763295079286465E-2</v>
      </c>
      <c r="H76" s="209">
        <f>('Sensitivity &amp; Scenarios'!$C$6*(1+$E76)^1*$G76+'Sensitivity &amp; Scenarios'!$C$11*'Sensitivity &amp; Scenarios'!$C$6*((1+$E76)^1-(1+$E76)^0))*'Sensitivity &amp; Scenarios'!$C$18/(1+$C76)^'Sensitivity &amp; Scenarios'!$C$18+('Sensitivity &amp; Scenarios'!$C$6*(1+$E76)^2*$G76+'Sensitivity &amp; Scenarios'!$C$11*'Sensitivity &amp; Scenarios'!$C$6*((1+$E76)^2-(1+$E76)^1))/(1+$C76)^('Sensitivity &amp; Scenarios'!$C$18+1)+('Sensitivity &amp; Scenarios'!$C$6*(1+$E76)^3*$G76+'Sensitivity &amp; Scenarios'!$C$11*'Sensitivity &amp; Scenarios'!$C$6*((1+$E76)^3-(1+$E76)^2))/(1+$C76)^('Sensitivity &amp; Scenarios'!$C$18+2)+('Sensitivity &amp; Scenarios'!$C$6*(1+$E76)^4*$G76+'Sensitivity &amp; Scenarios'!$C$11*'Sensitivity &amp; Scenarios'!$C$6*((1+$E76)^4-(1+$E76)^3))/(1+$C76)^('Sensitivity &amp; Scenarios'!$C$18+3)+('Sensitivity &amp; Scenarios'!$C$6*(1+$E76)^5*$G76+'Sensitivity &amp; Scenarios'!$C$11*'Sensitivity &amp; Scenarios'!$C$6*((1+$E76)^5-(1+$E76)^4))/(1+$C76)^('Sensitivity &amp; Scenarios'!$C$18+4)</f>
        <v>23886.098867717868</v>
      </c>
      <c r="I76" s="209">
        <f>('Sensitivity &amp; Scenarios'!$C$6*(1+$E76)^5*$G76+'Sensitivity &amp; Scenarios'!$C$11*'Sensitivity &amp; Scenarios'!$C$6*((1+$E76)^5-(1+$E76)^4))*(1+$D76)/($C76-$D76)/(1+$C76)^('Sensitivity &amp; Scenarios'!$C$18+4)</f>
        <v>58151.367165471805</v>
      </c>
      <c r="J76" s="209">
        <f>($H76+$I76-'Sensitivity &amp; Scenarios'!$C$15+'Sensitivity &amp; Scenarios'!$C$16)/'Sensitivity &amp; Scenarios'!$C$17</f>
        <v>2013.3494368341801</v>
      </c>
    </row>
    <row r="77" spans="2:10" x14ac:dyDescent="0.3">
      <c r="B77" s="127">
        <v>47</v>
      </c>
      <c r="C77" s="206">
        <f>$D$7+0.428756*$E$7</f>
        <v>0.14183981943997798</v>
      </c>
      <c r="D77" s="206">
        <f>MIN($D$8+1.535756*$E$8,'Debt &amp; Cost of Capital'!$C$38)</f>
        <v>6.4214536000000003E-2</v>
      </c>
      <c r="E77" s="207">
        <f>$D$9+0.183234*$E$9</f>
        <v>0.17271811770254633</v>
      </c>
      <c r="F77" s="207">
        <f>$D$10+-1.224469*$E$10</f>
        <v>0.13030637199999989</v>
      </c>
      <c r="G77" s="208">
        <f>$F77*(1-'Sensitivity &amp; Scenarios'!$C$12)+'Sensitivity &amp; Scenarios'!$C$9*'Sensitivity &amp; Scenarios'!$C$12-'Sensitivity &amp; Scenarios'!$C$10</f>
        <v>6.6703676256064631E-2</v>
      </c>
      <c r="H77" s="209">
        <f>('Sensitivity &amp; Scenarios'!$C$6*(1+$E77)^1*$G77+'Sensitivity &amp; Scenarios'!$C$11*'Sensitivity &amp; Scenarios'!$C$6*((1+$E77)^1-(1+$E77)^0))*'Sensitivity &amp; Scenarios'!$C$18/(1+$C77)^'Sensitivity &amp; Scenarios'!$C$18+('Sensitivity &amp; Scenarios'!$C$6*(1+$E77)^2*$G77+'Sensitivity &amp; Scenarios'!$C$11*'Sensitivity &amp; Scenarios'!$C$6*((1+$E77)^2-(1+$E77)^1))/(1+$C77)^('Sensitivity &amp; Scenarios'!$C$18+1)+('Sensitivity &amp; Scenarios'!$C$6*(1+$E77)^3*$G77+'Sensitivity &amp; Scenarios'!$C$11*'Sensitivity &amp; Scenarios'!$C$6*((1+$E77)^3-(1+$E77)^2))/(1+$C77)^('Sensitivity &amp; Scenarios'!$C$18+2)+('Sensitivity &amp; Scenarios'!$C$6*(1+$E77)^4*$G77+'Sensitivity &amp; Scenarios'!$C$11*'Sensitivity &amp; Scenarios'!$C$6*((1+$E77)^4-(1+$E77)^3))/(1+$C77)^('Sensitivity &amp; Scenarios'!$C$18+3)+('Sensitivity &amp; Scenarios'!$C$6*(1+$E77)^5*$G77+'Sensitivity &amp; Scenarios'!$C$11*'Sensitivity &amp; Scenarios'!$C$6*((1+$E77)^5-(1+$E77)^4))/(1+$C77)^('Sensitivity &amp; Scenarios'!$C$18+4)</f>
        <v>20751.288109433397</v>
      </c>
      <c r="I77" s="209">
        <f>('Sensitivity &amp; Scenarios'!$C$6*(1+$E77)^5*$G77+'Sensitivity &amp; Scenarios'!$C$11*'Sensitivity &amp; Scenarios'!$C$6*((1+$E77)^5-(1+$E77)^4))*(1+$D77)/($C77-$D77)/(1+$C77)^('Sensitivity &amp; Scenarios'!$C$18+4)</f>
        <v>64458.489295350591</v>
      </c>
      <c r="J77" s="209">
        <f>($H77+$I77-'Sensitivity &amp; Scenarios'!$C$15+'Sensitivity &amp; Scenarios'!$C$16)/'Sensitivity &amp; Scenarios'!$C$17</f>
        <v>2080.1227093420434</v>
      </c>
    </row>
    <row r="78" spans="2:10" x14ac:dyDescent="0.3">
      <c r="B78" s="127">
        <v>48</v>
      </c>
      <c r="C78" s="206">
        <f>$D$7+-1.368159*$E$7</f>
        <v>0.12387066943997799</v>
      </c>
      <c r="D78" s="206">
        <f>MIN($D$8+1.650928*$E$8,'Debt &amp; Cost of Capital'!$C$38)</f>
        <v>6.4905567999999997E-2</v>
      </c>
      <c r="E78" s="207">
        <f>$D$9+1.723666*$E$9</f>
        <v>0.21893107770254633</v>
      </c>
      <c r="F78" s="207">
        <f>$D$10+-0.179519*$E$10</f>
        <v>0.1428457719999999</v>
      </c>
      <c r="G78" s="208">
        <f>$F78*(1-'Sensitivity &amp; Scenarios'!$C$12)+'Sensitivity &amp; Scenarios'!$C$9*'Sensitivity &amp; Scenarios'!$C$12-'Sensitivity &amp; Scenarios'!$C$10</f>
        <v>7.6086909276064624E-2</v>
      </c>
      <c r="H78" s="209">
        <f>('Sensitivity &amp; Scenarios'!$C$6*(1+$E78)^1*$G78+'Sensitivity &amp; Scenarios'!$C$11*'Sensitivity &amp; Scenarios'!$C$6*((1+$E78)^1-(1+$E78)^0))*'Sensitivity &amp; Scenarios'!$C$18/(1+$C78)^'Sensitivity &amp; Scenarios'!$C$18+('Sensitivity &amp; Scenarios'!$C$6*(1+$E78)^2*$G78+'Sensitivity &amp; Scenarios'!$C$11*'Sensitivity &amp; Scenarios'!$C$6*((1+$E78)^2-(1+$E78)^1))/(1+$C78)^('Sensitivity &amp; Scenarios'!$C$18+1)+('Sensitivity &amp; Scenarios'!$C$6*(1+$E78)^3*$G78+'Sensitivity &amp; Scenarios'!$C$11*'Sensitivity &amp; Scenarios'!$C$6*((1+$E78)^3-(1+$E78)^2))/(1+$C78)^('Sensitivity &amp; Scenarios'!$C$18+2)+('Sensitivity &amp; Scenarios'!$C$6*(1+$E78)^4*$G78+'Sensitivity &amp; Scenarios'!$C$11*'Sensitivity &amp; Scenarios'!$C$6*((1+$E78)^4-(1+$E78)^3))/(1+$C78)^('Sensitivity &amp; Scenarios'!$C$18+3)+('Sensitivity &amp; Scenarios'!$C$6*(1+$E78)^5*$G78+'Sensitivity &amp; Scenarios'!$C$11*'Sensitivity &amp; Scenarios'!$C$6*((1+$E78)^5-(1+$E78)^4))/(1+$C78)^('Sensitivity &amp; Scenarios'!$C$18+4)</f>
        <v>28482.972946653612</v>
      </c>
      <c r="I78" s="209">
        <f>('Sensitivity &amp; Scenarios'!$C$6*(1+$E78)^5*$G78+'Sensitivity &amp; Scenarios'!$C$11*'Sensitivity &amp; Scenarios'!$C$6*((1+$E78)^5-(1+$E78)^4))*(1+$D78)/($C78-$D78)/(1+$C78)^('Sensitivity &amp; Scenarios'!$C$18+4)</f>
        <v>128173.83273698896</v>
      </c>
      <c r="J78" s="209">
        <f>($H78+$I78-'Sensitivity &amp; Scenarios'!$C$15+'Sensitivity &amp; Scenarios'!$C$16)/'Sensitivity &amp; Scenarios'!$C$17</f>
        <v>3583.9952269832033</v>
      </c>
    </row>
    <row r="79" spans="2:10" x14ac:dyDescent="0.3">
      <c r="B79" s="127">
        <v>49</v>
      </c>
      <c r="C79" s="206">
        <f>$D$7+-0.383187*$E$7</f>
        <v>0.13372038943997799</v>
      </c>
      <c r="D79" s="206">
        <f>MIN($D$8+1.461444*$E$8,'Debt &amp; Cost of Capital'!$C$38)</f>
        <v>6.3768664000000003E-2</v>
      </c>
      <c r="E79" s="207">
        <f>$D$9+-1.107046*$E$9</f>
        <v>0.13400971770254633</v>
      </c>
      <c r="F79" s="207">
        <f>$D$10+-0.894727*$E$10</f>
        <v>0.1342632759999999</v>
      </c>
      <c r="G79" s="208">
        <f>$F79*(1-'Sensitivity &amp; Scenarios'!$C$12)+'Sensitivity &amp; Scenarios'!$C$9*'Sensitivity &amp; Scenarios'!$C$12-'Sensitivity &amp; Scenarios'!$C$10</f>
        <v>6.9664627519264638E-2</v>
      </c>
      <c r="H79" s="209">
        <f>('Sensitivity &amp; Scenarios'!$C$6*(1+$E79)^1*$G79+'Sensitivity &amp; Scenarios'!$C$11*'Sensitivity &amp; Scenarios'!$C$6*((1+$E79)^1-(1+$E79)^0))*'Sensitivity &amp; Scenarios'!$C$18/(1+$C79)^'Sensitivity &amp; Scenarios'!$C$18+('Sensitivity &amp; Scenarios'!$C$6*(1+$E79)^2*$G79+'Sensitivity &amp; Scenarios'!$C$11*'Sensitivity &amp; Scenarios'!$C$6*((1+$E79)^2-(1+$E79)^1))/(1+$C79)^('Sensitivity &amp; Scenarios'!$C$18+1)+('Sensitivity &amp; Scenarios'!$C$6*(1+$E79)^3*$G79+'Sensitivity &amp; Scenarios'!$C$11*'Sensitivity &amp; Scenarios'!$C$6*((1+$E79)^3-(1+$E79)^2))/(1+$C79)^('Sensitivity &amp; Scenarios'!$C$18+2)+('Sensitivity &amp; Scenarios'!$C$6*(1+$E79)^4*$G79+'Sensitivity &amp; Scenarios'!$C$11*'Sensitivity &amp; Scenarios'!$C$6*((1+$E79)^4-(1+$E79)^3))/(1+$C79)^('Sensitivity &amp; Scenarios'!$C$18+3)+('Sensitivity &amp; Scenarios'!$C$6*(1+$E79)^5*$G79+'Sensitivity &amp; Scenarios'!$C$11*'Sensitivity &amp; Scenarios'!$C$6*((1+$E79)^5-(1+$E79)^4))/(1+$C79)^('Sensitivity &amp; Scenarios'!$C$18+4)</f>
        <v>18971.934288879991</v>
      </c>
      <c r="I79" s="209">
        <f>('Sensitivity &amp; Scenarios'!$C$6*(1+$E79)^5*$G79+'Sensitivity &amp; Scenarios'!$C$11*'Sensitivity &amp; Scenarios'!$C$6*((1+$E79)^5-(1+$E79)^4))*(1+$D79)/($C79-$D79)/(1+$C79)^('Sensitivity &amp; Scenarios'!$C$18+4)</f>
        <v>62303.677103804766</v>
      </c>
      <c r="J79" s="209">
        <f>($H79+$I79-'Sensitivity &amp; Scenarios'!$C$15+'Sensitivity &amp; Scenarios'!$C$16)/'Sensitivity &amp; Scenarios'!$C$17</f>
        <v>1997.3133289106856</v>
      </c>
    </row>
    <row r="80" spans="2:10" x14ac:dyDescent="0.3">
      <c r="B80" s="127">
        <v>50</v>
      </c>
      <c r="C80" s="206">
        <f>$D$7+0.643327*$E$7</f>
        <v>0.14398552943997797</v>
      </c>
      <c r="D80" s="206">
        <f>MIN($D$8+-0.394605*$E$8,'Debt &amp; Cost of Capital'!$C$38)</f>
        <v>5.2632369999999998E-2</v>
      </c>
      <c r="E80" s="207">
        <f>$D$9+-0.005122*$E$9</f>
        <v>0.16706743770254634</v>
      </c>
      <c r="F80" s="207">
        <f>$D$10+-0.163443*$E$10</f>
        <v>0.14303868399999992</v>
      </c>
      <c r="G80" s="208">
        <f>$F80*(1-'Sensitivity &amp; Scenarios'!$C$12)+'Sensitivity &amp; Scenarios'!$C$9*'Sensitivity &amp; Scenarios'!$C$12-'Sensitivity &amp; Scenarios'!$C$10</f>
        <v>7.6231265325664641E-2</v>
      </c>
      <c r="H80" s="209">
        <f>('Sensitivity &amp; Scenarios'!$C$6*(1+$E80)^1*$G80+'Sensitivity &amp; Scenarios'!$C$11*'Sensitivity &amp; Scenarios'!$C$6*((1+$E80)^1-(1+$E80)^0))*'Sensitivity &amp; Scenarios'!$C$18/(1+$C80)^'Sensitivity &amp; Scenarios'!$C$18+('Sensitivity &amp; Scenarios'!$C$6*(1+$E80)^2*$G80+'Sensitivity &amp; Scenarios'!$C$11*'Sensitivity &amp; Scenarios'!$C$6*((1+$E80)^2-(1+$E80)^1))/(1+$C80)^('Sensitivity &amp; Scenarios'!$C$18+1)+('Sensitivity &amp; Scenarios'!$C$6*(1+$E80)^3*$G80+'Sensitivity &amp; Scenarios'!$C$11*'Sensitivity &amp; Scenarios'!$C$6*((1+$E80)^3-(1+$E80)^2))/(1+$C80)^('Sensitivity &amp; Scenarios'!$C$18+2)+('Sensitivity &amp; Scenarios'!$C$6*(1+$E80)^4*$G80+'Sensitivity &amp; Scenarios'!$C$11*'Sensitivity &amp; Scenarios'!$C$6*((1+$E80)^4-(1+$E80)^3))/(1+$C80)^('Sensitivity &amp; Scenarios'!$C$18+3)+('Sensitivity &amp; Scenarios'!$C$6*(1+$E80)^5*$G80+'Sensitivity &amp; Scenarios'!$C$11*'Sensitivity &amp; Scenarios'!$C$6*((1+$E80)^5-(1+$E80)^4))/(1+$C80)^('Sensitivity &amp; Scenarios'!$C$18+4)</f>
        <v>22548.930548133474</v>
      </c>
      <c r="I80" s="209">
        <f>('Sensitivity &amp; Scenarios'!$C$6*(1+$E80)^5*$G80+'Sensitivity &amp; Scenarios'!$C$11*'Sensitivity &amp; Scenarios'!$C$6*((1+$E80)^5-(1+$E80)^4))*(1+$D80)/($C80-$D80)/(1+$C80)^('Sensitivity &amp; Scenarios'!$C$18+4)</f>
        <v>58163.029514519963</v>
      </c>
      <c r="J80" s="209">
        <f>($H80+$I80-'Sensitivity &amp; Scenarios'!$C$15+'Sensitivity &amp; Scenarios'!$C$16)/'Sensitivity &amp; Scenarios'!$C$17</f>
        <v>1985.4491581370944</v>
      </c>
    </row>
    <row r="81" spans="2:10" x14ac:dyDescent="0.3">
      <c r="B81" s="127">
        <v>51</v>
      </c>
      <c r="C81" s="206">
        <f>$D$7+0.337575*$E$7</f>
        <v>0.14092800943997799</v>
      </c>
      <c r="D81" s="206">
        <f>MIN($D$8+1.407482*$E$8,'Debt &amp; Cost of Capital'!$C$38)</f>
        <v>6.3444892000000003E-2</v>
      </c>
      <c r="E81" s="207">
        <f>$D$9+0.090585*$E$9</f>
        <v>0.16993864770254635</v>
      </c>
      <c r="F81" s="207">
        <f>$D$10+0.643939*$E$10</f>
        <v>0.15272726799999992</v>
      </c>
      <c r="G81" s="208">
        <f>$F81*(1-'Sensitivity &amp; Scenarios'!$C$12)+'Sensitivity &amp; Scenarios'!$C$9*'Sensitivity &amp; Scenarios'!$C$12-'Sensitivity &amp; Scenarios'!$C$10</f>
        <v>8.3481232732864646E-2</v>
      </c>
      <c r="H81" s="209">
        <f>('Sensitivity &amp; Scenarios'!$C$6*(1+$E81)^1*$G81+'Sensitivity &amp; Scenarios'!$C$11*'Sensitivity &amp; Scenarios'!$C$6*((1+$E81)^1-(1+$E81)^0))*'Sensitivity &amp; Scenarios'!$C$18/(1+$C81)^'Sensitivity &amp; Scenarios'!$C$18+('Sensitivity &amp; Scenarios'!$C$6*(1+$E81)^2*$G81+'Sensitivity &amp; Scenarios'!$C$11*'Sensitivity &amp; Scenarios'!$C$6*((1+$E81)^2-(1+$E81)^1))/(1+$C81)^('Sensitivity &amp; Scenarios'!$C$18+1)+('Sensitivity &amp; Scenarios'!$C$6*(1+$E81)^3*$G81+'Sensitivity &amp; Scenarios'!$C$11*'Sensitivity &amp; Scenarios'!$C$6*((1+$E81)^3-(1+$E81)^2))/(1+$C81)^('Sensitivity &amp; Scenarios'!$C$18+2)+('Sensitivity &amp; Scenarios'!$C$6*(1+$E81)^4*$G81+'Sensitivity &amp; Scenarios'!$C$11*'Sensitivity &amp; Scenarios'!$C$6*((1+$E81)^4-(1+$E81)^3))/(1+$C81)^('Sensitivity &amp; Scenarios'!$C$18+3)+('Sensitivity &amp; Scenarios'!$C$6*(1+$E81)^5*$G81+'Sensitivity &amp; Scenarios'!$C$11*'Sensitivity &amp; Scenarios'!$C$6*((1+$E81)^5-(1+$E81)^4))/(1+$C81)^('Sensitivity &amp; Scenarios'!$C$18+4)</f>
        <v>24762.435761423912</v>
      </c>
      <c r="I81" s="209">
        <f>('Sensitivity &amp; Scenarios'!$C$6*(1+$E81)^5*$G81+'Sensitivity &amp; Scenarios'!$C$11*'Sensitivity &amp; Scenarios'!$C$6*((1+$E81)^5-(1+$E81)^4))*(1+$D81)/($C81-$D81)/(1+$C81)^('Sensitivity &amp; Scenarios'!$C$18+4)</f>
        <v>76786.269116735202</v>
      </c>
      <c r="J81" s="209">
        <f>($H81+$I81-'Sensitivity &amp; Scenarios'!$C$15+'Sensitivity &amp; Scenarios'!$C$16)/'Sensitivity &amp; Scenarios'!$C$17</f>
        <v>2424.0371391912099</v>
      </c>
    </row>
    <row r="82" spans="2:10" x14ac:dyDescent="0.3">
      <c r="B82" s="127">
        <v>52</v>
      </c>
      <c r="C82" s="206">
        <f>$D$7+-2.050172*$E$7</f>
        <v>0.11705053943997798</v>
      </c>
      <c r="D82" s="206">
        <f>MIN($D$8+-0.048718*$E$8,'Debt &amp; Cost of Capital'!$C$38)</f>
        <v>5.4707692000000002E-2</v>
      </c>
      <c r="E82" s="207">
        <f>$D$9+-0.84323*$E$9</f>
        <v>0.14192419770254633</v>
      </c>
      <c r="F82" s="207">
        <f>$D$10+-1.218813*$E$10</f>
        <v>0.13037424399999992</v>
      </c>
      <c r="G82" s="208">
        <f>$F82*(1-'Sensitivity &amp; Scenarios'!$C$12)+'Sensitivity &amp; Scenarios'!$C$9*'Sensitivity &amp; Scenarios'!$C$12-'Sensitivity &amp; Scenarios'!$C$10</f>
        <v>6.675446487366464E-2</v>
      </c>
      <c r="H82" s="209">
        <f>('Sensitivity &amp; Scenarios'!$C$6*(1+$E82)^1*$G82+'Sensitivity &amp; Scenarios'!$C$11*'Sensitivity &amp; Scenarios'!$C$6*((1+$E82)^1-(1+$E82)^0))*'Sensitivity &amp; Scenarios'!$C$18/(1+$C82)^'Sensitivity &amp; Scenarios'!$C$18+('Sensitivity &amp; Scenarios'!$C$6*(1+$E82)^2*$G82+'Sensitivity &amp; Scenarios'!$C$11*'Sensitivity &amp; Scenarios'!$C$6*((1+$E82)^2-(1+$E82)^1))/(1+$C82)^('Sensitivity &amp; Scenarios'!$C$18+1)+('Sensitivity &amp; Scenarios'!$C$6*(1+$E82)^3*$G82+'Sensitivity &amp; Scenarios'!$C$11*'Sensitivity &amp; Scenarios'!$C$6*((1+$E82)^3-(1+$E82)^2))/(1+$C82)^('Sensitivity &amp; Scenarios'!$C$18+2)+('Sensitivity &amp; Scenarios'!$C$6*(1+$E82)^4*$G82+'Sensitivity &amp; Scenarios'!$C$11*'Sensitivity &amp; Scenarios'!$C$6*((1+$E82)^4-(1+$E82)^3))/(1+$C82)^('Sensitivity &amp; Scenarios'!$C$18+3)+('Sensitivity &amp; Scenarios'!$C$6*(1+$E82)^5*$G82+'Sensitivity &amp; Scenarios'!$C$11*'Sensitivity &amp; Scenarios'!$C$6*((1+$E82)^5-(1+$E82)^4))/(1+$C82)^('Sensitivity &amp; Scenarios'!$C$18+4)</f>
        <v>19673.464289419968</v>
      </c>
      <c r="I82" s="209">
        <f>('Sensitivity &amp; Scenarios'!$C$6*(1+$E82)^5*$G82+'Sensitivity &amp; Scenarios'!$C$11*'Sensitivity &amp; Scenarios'!$C$6*((1+$E82)^5-(1+$E82)^4))*(1+$D82)/($C82-$D82)/(1+$C82)^('Sensitivity &amp; Scenarios'!$C$18+4)</f>
        <v>74782.081209570082</v>
      </c>
      <c r="J82" s="209">
        <f>($H82+$I82-'Sensitivity &amp; Scenarios'!$C$15+'Sensitivity &amp; Scenarios'!$C$16)/'Sensitivity &amp; Scenarios'!$C$17</f>
        <v>2274.7348139503792</v>
      </c>
    </row>
    <row r="83" spans="2:10" x14ac:dyDescent="0.3">
      <c r="B83" s="127">
        <v>53</v>
      </c>
      <c r="C83" s="206">
        <f>$D$7+-0.878152*$E$7</f>
        <v>0.12877073943997797</v>
      </c>
      <c r="D83" s="206">
        <f>MIN($D$8+-0.334123*$E$8,'Debt &amp; Cost of Capital'!$C$38)</f>
        <v>5.2995262000000001E-2</v>
      </c>
      <c r="E83" s="207">
        <f>$D$9+0.915903*$E$9</f>
        <v>0.19469818770254635</v>
      </c>
      <c r="F83" s="207">
        <f>$D$10+-1.326393*$E$10</f>
        <v>0.12908328399999991</v>
      </c>
      <c r="G83" s="208">
        <f>$F83*(1-'Sensitivity &amp; Scenarios'!$C$12)+'Sensitivity &amp; Scenarios'!$C$9*'Sensitivity &amp; Scenarios'!$C$12-'Sensitivity &amp; Scenarios'!$C$10</f>
        <v>6.5788439505664639E-2</v>
      </c>
      <c r="H83" s="209">
        <f>('Sensitivity &amp; Scenarios'!$C$6*(1+$E83)^1*$G83+'Sensitivity &amp; Scenarios'!$C$11*'Sensitivity &amp; Scenarios'!$C$6*((1+$E83)^1-(1+$E83)^0))*'Sensitivity &amp; Scenarios'!$C$18/(1+$C83)^'Sensitivity &amp; Scenarios'!$C$18+('Sensitivity &amp; Scenarios'!$C$6*(1+$E83)^2*$G83+'Sensitivity &amp; Scenarios'!$C$11*'Sensitivity &amp; Scenarios'!$C$6*((1+$E83)^2-(1+$E83)^1))/(1+$C83)^('Sensitivity &amp; Scenarios'!$C$18+1)+('Sensitivity &amp; Scenarios'!$C$6*(1+$E83)^3*$G83+'Sensitivity &amp; Scenarios'!$C$11*'Sensitivity &amp; Scenarios'!$C$6*((1+$E83)^3-(1+$E83)^2))/(1+$C83)^('Sensitivity &amp; Scenarios'!$C$18+2)+('Sensitivity &amp; Scenarios'!$C$6*(1+$E83)^4*$G83+'Sensitivity &amp; Scenarios'!$C$11*'Sensitivity &amp; Scenarios'!$C$6*((1+$E83)^4-(1+$E83)^3))/(1+$C83)^('Sensitivity &amp; Scenarios'!$C$18+3)+('Sensitivity &amp; Scenarios'!$C$6*(1+$E83)^5*$G83+'Sensitivity &amp; Scenarios'!$C$11*'Sensitivity &amp; Scenarios'!$C$6*((1+$E83)^5-(1+$E83)^4))/(1+$C83)^('Sensitivity &amp; Scenarios'!$C$18+4)</f>
        <v>22997.670079255218</v>
      </c>
      <c r="I83" s="209">
        <f>('Sensitivity &amp; Scenarios'!$C$6*(1+$E83)^5*$G83+'Sensitivity &amp; Scenarios'!$C$11*'Sensitivity &amp; Scenarios'!$C$6*((1+$E83)^5-(1+$E83)^4))*(1+$D83)/($C83-$D83)/(1+$C83)^('Sensitivity &amp; Scenarios'!$C$18+4)</f>
        <v>76359.240174048711</v>
      </c>
      <c r="J83" s="209">
        <f>($H83+$I83-'Sensitivity &amp; Scenarios'!$C$15+'Sensitivity &amp; Scenarios'!$C$16)/'Sensitivity &amp; Scenarios'!$C$17</f>
        <v>2377.9025443726782</v>
      </c>
    </row>
    <row r="84" spans="2:10" x14ac:dyDescent="0.3">
      <c r="B84" s="127">
        <v>54</v>
      </c>
      <c r="C84" s="206">
        <f>$D$7+0.030631*$E$7</f>
        <v>0.13785856943997798</v>
      </c>
      <c r="D84" s="206">
        <f>MIN($D$8+-0.484169*$E$8,'Debt &amp; Cost of Capital'!$C$38)</f>
        <v>5.2094986000000003E-2</v>
      </c>
      <c r="E84" s="207">
        <f>$D$9+-0.327673*$E$9</f>
        <v>0.15739090770254635</v>
      </c>
      <c r="F84" s="207">
        <f>$D$10+1.002758*$E$10</f>
        <v>0.1570330959999999</v>
      </c>
      <c r="G84" s="208">
        <f>$F84*(1-'Sensitivity &amp; Scenarios'!$C$12)+'Sensitivity &amp; Scenarios'!$C$9*'Sensitivity &amp; Scenarios'!$C$12-'Sensitivity &amp; Scenarios'!$C$10</f>
        <v>8.6703283825264627E-2</v>
      </c>
      <c r="H84" s="209">
        <f>('Sensitivity &amp; Scenarios'!$C$6*(1+$E84)^1*$G84+'Sensitivity &amp; Scenarios'!$C$11*'Sensitivity &amp; Scenarios'!$C$6*((1+$E84)^1-(1+$E84)^0))*'Sensitivity &amp; Scenarios'!$C$18/(1+$C84)^'Sensitivity &amp; Scenarios'!$C$18+('Sensitivity &amp; Scenarios'!$C$6*(1+$E84)^2*$G84+'Sensitivity &amp; Scenarios'!$C$11*'Sensitivity &amp; Scenarios'!$C$6*((1+$E84)^2-(1+$E84)^1))/(1+$C84)^('Sensitivity &amp; Scenarios'!$C$18+1)+('Sensitivity &amp; Scenarios'!$C$6*(1+$E84)^3*$G84+'Sensitivity &amp; Scenarios'!$C$11*'Sensitivity &amp; Scenarios'!$C$6*((1+$E84)^3-(1+$E84)^2))/(1+$C84)^('Sensitivity &amp; Scenarios'!$C$18+2)+('Sensitivity &amp; Scenarios'!$C$6*(1+$E84)^4*$G84+'Sensitivity &amp; Scenarios'!$C$11*'Sensitivity &amp; Scenarios'!$C$6*((1+$E84)^4-(1+$E84)^3))/(1+$C84)^('Sensitivity &amp; Scenarios'!$C$18+3)+('Sensitivity &amp; Scenarios'!$C$6*(1+$E84)^5*$G84+'Sensitivity &amp; Scenarios'!$C$11*'Sensitivity &amp; Scenarios'!$C$6*((1+$E84)^5-(1+$E84)^4))/(1+$C84)^('Sensitivity &amp; Scenarios'!$C$18+4)</f>
        <v>24640.358206041288</v>
      </c>
      <c r="I84" s="209">
        <f>('Sensitivity &amp; Scenarios'!$C$6*(1+$E84)^5*$G84+'Sensitivity &amp; Scenarios'!$C$11*'Sensitivity &amp; Scenarios'!$C$6*((1+$E84)^5-(1+$E84)^4))*(1+$D84)/($C84-$D84)/(1+$C84)^('Sensitivity &amp; Scenarios'!$C$18+4)</f>
        <v>67304.825715322106</v>
      </c>
      <c r="J84" s="209">
        <f>($H84+$I84-'Sensitivity &amp; Scenarios'!$C$15+'Sensitivity &amp; Scenarios'!$C$16)/'Sensitivity &amp; Scenarios'!$C$17</f>
        <v>2221.8947745970258</v>
      </c>
    </row>
    <row r="85" spans="2:10" x14ac:dyDescent="0.3">
      <c r="B85" s="127">
        <v>55</v>
      </c>
      <c r="C85" s="206">
        <f>$D$7+0.538115*$E$7</f>
        <v>0.14293340943997798</v>
      </c>
      <c r="D85" s="206">
        <f>MIN($D$8+1.337398*$E$8,'Debt &amp; Cost of Capital'!$C$38)</f>
        <v>6.3024388000000001E-2</v>
      </c>
      <c r="E85" s="207">
        <f>$D$9+-0.154506*$E$9</f>
        <v>0.16258591770254635</v>
      </c>
      <c r="F85" s="207">
        <f>$D$10+-0.695943*$E$10</f>
        <v>0.13664868399999991</v>
      </c>
      <c r="G85" s="208">
        <f>$F85*(1-'Sensitivity &amp; Scenarios'!$C$12)+'Sensitivity &amp; Scenarios'!$C$9*'Sensitivity &amp; Scenarios'!$C$12-'Sensitivity &amp; Scenarios'!$C$10</f>
        <v>7.1449628325664635E-2</v>
      </c>
      <c r="H85" s="209">
        <f>('Sensitivity &amp; Scenarios'!$C$6*(1+$E85)^1*$G85+'Sensitivity &amp; Scenarios'!$C$11*'Sensitivity &amp; Scenarios'!$C$6*((1+$E85)^1-(1+$E85)^0))*'Sensitivity &amp; Scenarios'!$C$18/(1+$C85)^'Sensitivity &amp; Scenarios'!$C$18+('Sensitivity &amp; Scenarios'!$C$6*(1+$E85)^2*$G85+'Sensitivity &amp; Scenarios'!$C$11*'Sensitivity &amp; Scenarios'!$C$6*((1+$E85)^2-(1+$E85)^1))/(1+$C85)^('Sensitivity &amp; Scenarios'!$C$18+1)+('Sensitivity &amp; Scenarios'!$C$6*(1+$E85)^3*$G85+'Sensitivity &amp; Scenarios'!$C$11*'Sensitivity &amp; Scenarios'!$C$6*((1+$E85)^3-(1+$E85)^2))/(1+$C85)^('Sensitivity &amp; Scenarios'!$C$18+2)+('Sensitivity &amp; Scenarios'!$C$6*(1+$E85)^4*$G85+'Sensitivity &amp; Scenarios'!$C$11*'Sensitivity &amp; Scenarios'!$C$6*((1+$E85)^4-(1+$E85)^3))/(1+$C85)^('Sensitivity &amp; Scenarios'!$C$18+3)+('Sensitivity &amp; Scenarios'!$C$6*(1+$E85)^5*$G85+'Sensitivity &amp; Scenarios'!$C$11*'Sensitivity &amp; Scenarios'!$C$6*((1+$E85)^5-(1+$E85)^4))/(1+$C85)^('Sensitivity &amp; Scenarios'!$C$18+4)</f>
        <v>21082.504714594987</v>
      </c>
      <c r="I85" s="209">
        <f>('Sensitivity &amp; Scenarios'!$C$6*(1+$E85)^5*$G85+'Sensitivity &amp; Scenarios'!$C$11*'Sensitivity &amp; Scenarios'!$C$6*((1+$E85)^5-(1+$E85)^4))*(1+$D85)/($C85-$D85)/(1+$C85)^('Sensitivity &amp; Scenarios'!$C$18+4)</f>
        <v>62450.962362924183</v>
      </c>
      <c r="J85" s="209">
        <f>($H85+$I85-'Sensitivity &amp; Scenarios'!$C$15+'Sensitivity &amp; Scenarios'!$C$16)/'Sensitivity &amp; Scenarios'!$C$17</f>
        <v>2044.8384282048025</v>
      </c>
    </row>
    <row r="86" spans="2:10" x14ac:dyDescent="0.3">
      <c r="B86" s="127">
        <v>56</v>
      </c>
      <c r="C86" s="206">
        <f>$D$7+-0.223859*$E$7</f>
        <v>0.13531366943997797</v>
      </c>
      <c r="D86" s="206">
        <f>MIN($D$8+0.242497*$E$8,'Debt &amp; Cost of Capital'!$C$38)</f>
        <v>5.6454982000000001E-2</v>
      </c>
      <c r="E86" s="207">
        <f>$D$9+0.176573*$E$9</f>
        <v>0.17251828770254635</v>
      </c>
      <c r="F86" s="207">
        <f>$D$10+-1.084388*$E$10</f>
        <v>0.1319873439999999</v>
      </c>
      <c r="G86" s="208">
        <f>$F86*(1-'Sensitivity &amp; Scenarios'!$C$12)+'Sensitivity &amp; Scenarios'!$C$9*'Sensitivity &amp; Scenarios'!$C$12-'Sensitivity &amp; Scenarios'!$C$10</f>
        <v>6.7961547603664629E-2</v>
      </c>
      <c r="H86" s="209">
        <f>('Sensitivity &amp; Scenarios'!$C$6*(1+$E86)^1*$G86+'Sensitivity &amp; Scenarios'!$C$11*'Sensitivity &amp; Scenarios'!$C$6*((1+$E86)^1-(1+$E86)^0))*'Sensitivity &amp; Scenarios'!$C$18/(1+$C86)^'Sensitivity &amp; Scenarios'!$C$18+('Sensitivity &amp; Scenarios'!$C$6*(1+$E86)^2*$G86+'Sensitivity &amp; Scenarios'!$C$11*'Sensitivity &amp; Scenarios'!$C$6*((1+$E86)^2-(1+$E86)^1))/(1+$C86)^('Sensitivity &amp; Scenarios'!$C$18+1)+('Sensitivity &amp; Scenarios'!$C$6*(1+$E86)^3*$G86+'Sensitivity &amp; Scenarios'!$C$11*'Sensitivity &amp; Scenarios'!$C$6*((1+$E86)^3-(1+$E86)^2))/(1+$C86)^('Sensitivity &amp; Scenarios'!$C$18+2)+('Sensitivity &amp; Scenarios'!$C$6*(1+$E86)^4*$G86+'Sensitivity &amp; Scenarios'!$C$11*'Sensitivity &amp; Scenarios'!$C$6*((1+$E86)^4-(1+$E86)^3))/(1+$C86)^('Sensitivity &amp; Scenarios'!$C$18+3)+('Sensitivity &amp; Scenarios'!$C$6*(1+$E86)^5*$G86+'Sensitivity &amp; Scenarios'!$C$11*'Sensitivity &amp; Scenarios'!$C$6*((1+$E86)^5-(1+$E86)^4))/(1+$C86)^('Sensitivity &amp; Scenarios'!$C$18+4)</f>
        <v>21396.671896146079</v>
      </c>
      <c r="I86" s="209">
        <f>('Sensitivity &amp; Scenarios'!$C$6*(1+$E86)^5*$G86+'Sensitivity &amp; Scenarios'!$C$11*'Sensitivity &amp; Scenarios'!$C$6*((1+$E86)^5-(1+$E86)^4))*(1+$D86)/($C86-$D86)/(1+$C86)^('Sensitivity &amp; Scenarios'!$C$18+4)</f>
        <v>65595.734404564093</v>
      </c>
      <c r="J86" s="209">
        <f>($H86+$I86-'Sensitivity &amp; Scenarios'!$C$15+'Sensitivity &amp; Scenarios'!$C$16)/'Sensitivity &amp; Scenarios'!$C$17</f>
        <v>2117.6448662506973</v>
      </c>
    </row>
    <row r="87" spans="2:10" x14ac:dyDescent="0.3">
      <c r="B87" s="127">
        <v>57</v>
      </c>
      <c r="C87" s="206">
        <f>$D$7+0.09049*$E$7</f>
        <v>0.13845715943997797</v>
      </c>
      <c r="D87" s="206">
        <f>MIN($D$8+0.228228*$E$8,'Debt &amp; Cost of Capital'!$C$38)</f>
        <v>5.6369368000000003E-2</v>
      </c>
      <c r="E87" s="207">
        <f>$D$9+2.517474*$E$9</f>
        <v>0.24274531770254634</v>
      </c>
      <c r="F87" s="207">
        <f>$D$10+1.876845*$E$10</f>
        <v>0.1675221399999999</v>
      </c>
      <c r="G87" s="208">
        <f>$F87*(1-'Sensitivity &amp; Scenarios'!$C$12)+'Sensitivity &amp; Scenarios'!$C$9*'Sensitivity &amp; Scenarios'!$C$12-'Sensitivity &amp; Scenarios'!$C$10</f>
        <v>9.4552235450464622E-2</v>
      </c>
      <c r="H87" s="209">
        <f>('Sensitivity &amp; Scenarios'!$C$6*(1+$E87)^1*$G87+'Sensitivity &amp; Scenarios'!$C$11*'Sensitivity &amp; Scenarios'!$C$6*((1+$E87)^1-(1+$E87)^0))*'Sensitivity &amp; Scenarios'!$C$18/(1+$C87)^'Sensitivity &amp; Scenarios'!$C$18+('Sensitivity &amp; Scenarios'!$C$6*(1+$E87)^2*$G87+'Sensitivity &amp; Scenarios'!$C$11*'Sensitivity &amp; Scenarios'!$C$6*((1+$E87)^2-(1+$E87)^1))/(1+$C87)^('Sensitivity &amp; Scenarios'!$C$18+1)+('Sensitivity &amp; Scenarios'!$C$6*(1+$E87)^3*$G87+'Sensitivity &amp; Scenarios'!$C$11*'Sensitivity &amp; Scenarios'!$C$6*((1+$E87)^3-(1+$E87)^2))/(1+$C87)^('Sensitivity &amp; Scenarios'!$C$18+2)+('Sensitivity &amp; Scenarios'!$C$6*(1+$E87)^4*$G87+'Sensitivity &amp; Scenarios'!$C$11*'Sensitivity &amp; Scenarios'!$C$6*((1+$E87)^4-(1+$E87)^3))/(1+$C87)^('Sensitivity &amp; Scenarios'!$C$18+3)+('Sensitivity &amp; Scenarios'!$C$6*(1+$E87)^5*$G87+'Sensitivity &amp; Scenarios'!$C$11*'Sensitivity &amp; Scenarios'!$C$6*((1+$E87)^5-(1+$E87)^4))/(1+$C87)^('Sensitivity &amp; Scenarios'!$C$18+4)</f>
        <v>35396.264462078565</v>
      </c>
      <c r="I87" s="209">
        <f>('Sensitivity &amp; Scenarios'!$C$6*(1+$E87)^5*$G87+'Sensitivity &amp; Scenarios'!$C$11*'Sensitivity &amp; Scenarios'!$C$6*((1+$E87)^5-(1+$E87)^4))*(1+$D87)/($C87-$D87)/(1+$C87)^('Sensitivity &amp; Scenarios'!$C$18+4)</f>
        <v>114743.3200102936</v>
      </c>
      <c r="J87" s="209">
        <f>($H87+$I87-'Sensitivity &amp; Scenarios'!$C$15+'Sensitivity &amp; Scenarios'!$C$16)/'Sensitivity &amp; Scenarios'!$C$17</f>
        <v>3446.815695418029</v>
      </c>
    </row>
    <row r="88" spans="2:10" x14ac:dyDescent="0.3">
      <c r="B88" s="127">
        <v>58</v>
      </c>
      <c r="C88" s="206">
        <f>$D$7+-0.853243*$E$7</f>
        <v>0.12901982943997797</v>
      </c>
      <c r="D88" s="206">
        <f>MIN($D$8+-0.287383*$E$8,'Debt &amp; Cost of Capital'!$C$38)</f>
        <v>5.3275702000000001E-2</v>
      </c>
      <c r="E88" s="207">
        <f>$D$9+-1.463442*$E$9</f>
        <v>0.12331783770254634</v>
      </c>
      <c r="F88" s="207">
        <f>$D$10+-0.590707*$E$10</f>
        <v>0.1379115159999999</v>
      </c>
      <c r="G88" s="208">
        <f>$F88*(1-'Sensitivity &amp; Scenarios'!$C$12)+'Sensitivity &amp; Scenarios'!$C$9*'Sensitivity &amp; Scenarios'!$C$12-'Sensitivity &amp; Scenarios'!$C$10</f>
        <v>7.2394605511264629E-2</v>
      </c>
      <c r="H88" s="209">
        <f>('Sensitivity &amp; Scenarios'!$C$6*(1+$E88)^1*$G88+'Sensitivity &amp; Scenarios'!$C$11*'Sensitivity &amp; Scenarios'!$C$6*((1+$E88)^1-(1+$E88)^0))*'Sensitivity &amp; Scenarios'!$C$18/(1+$C88)^'Sensitivity &amp; Scenarios'!$C$18+('Sensitivity &amp; Scenarios'!$C$6*(1+$E88)^2*$G88+'Sensitivity &amp; Scenarios'!$C$11*'Sensitivity &amp; Scenarios'!$C$6*((1+$E88)^2-(1+$E88)^1))/(1+$C88)^('Sensitivity &amp; Scenarios'!$C$18+1)+('Sensitivity &amp; Scenarios'!$C$6*(1+$E88)^3*$G88+'Sensitivity &amp; Scenarios'!$C$11*'Sensitivity &amp; Scenarios'!$C$6*((1+$E88)^3-(1+$E88)^2))/(1+$C88)^('Sensitivity &amp; Scenarios'!$C$18+2)+('Sensitivity &amp; Scenarios'!$C$6*(1+$E88)^4*$G88+'Sensitivity &amp; Scenarios'!$C$11*'Sensitivity &amp; Scenarios'!$C$6*((1+$E88)^4-(1+$E88)^3))/(1+$C88)^('Sensitivity &amp; Scenarios'!$C$18+3)+('Sensitivity &amp; Scenarios'!$C$6*(1+$E88)^5*$G88+'Sensitivity &amp; Scenarios'!$C$11*'Sensitivity &amp; Scenarios'!$C$6*((1+$E88)^5-(1+$E88)^4))/(1+$C88)^('Sensitivity &amp; Scenarios'!$C$18+4)</f>
        <v>19035.039128738845</v>
      </c>
      <c r="I88" s="209">
        <f>('Sensitivity &amp; Scenarios'!$C$6*(1+$E88)^5*$G88+'Sensitivity &amp; Scenarios'!$C$11*'Sensitivity &amp; Scenarios'!$C$6*((1+$E88)^5-(1+$E88)^4))*(1+$D88)/($C88-$D88)/(1+$C88)^('Sensitivity &amp; Scenarios'!$C$18+4)</f>
        <v>56602.639588231636</v>
      </c>
      <c r="J88" s="209">
        <f>($H88+$I88-'Sensitivity &amp; Scenarios'!$C$15+'Sensitivity &amp; Scenarios'!$C$16)/'Sensitivity &amp; Scenarios'!$C$17</f>
        <v>1878.6417450594272</v>
      </c>
    </row>
    <row r="89" spans="2:10" x14ac:dyDescent="0.3">
      <c r="B89" s="127">
        <v>59</v>
      </c>
      <c r="C89" s="206">
        <f>$D$7+0.315605*$E$7</f>
        <v>0.14070830943997797</v>
      </c>
      <c r="D89" s="206">
        <f>MIN($D$8+1.205854*$E$8,'Debt &amp; Cost of Capital'!$C$38)</f>
        <v>6.2235124000000003E-2</v>
      </c>
      <c r="E89" s="207">
        <f>$D$9+-0.729084*$E$9</f>
        <v>0.14534857770254633</v>
      </c>
      <c r="F89" s="207">
        <f>$D$10+-0.654146*$E$10</f>
        <v>0.13715024799999992</v>
      </c>
      <c r="G89" s="208">
        <f>$F89*(1-'Sensitivity &amp; Scenarios'!$C$12)+'Sensitivity &amp; Scenarios'!$C$9*'Sensitivity &amp; Scenarios'!$C$12-'Sensitivity &amp; Scenarios'!$C$10</f>
        <v>7.1824948666864646E-2</v>
      </c>
      <c r="H89" s="209">
        <f>('Sensitivity &amp; Scenarios'!$C$6*(1+$E89)^1*$G89+'Sensitivity &amp; Scenarios'!$C$11*'Sensitivity &amp; Scenarios'!$C$6*((1+$E89)^1-(1+$E89)^0))*'Sensitivity &amp; Scenarios'!$C$18/(1+$C89)^'Sensitivity &amp; Scenarios'!$C$18+('Sensitivity &amp; Scenarios'!$C$6*(1+$E89)^2*$G89+'Sensitivity &amp; Scenarios'!$C$11*'Sensitivity &amp; Scenarios'!$C$6*((1+$E89)^2-(1+$E89)^1))/(1+$C89)^('Sensitivity &amp; Scenarios'!$C$18+1)+('Sensitivity &amp; Scenarios'!$C$6*(1+$E89)^3*$G89+'Sensitivity &amp; Scenarios'!$C$11*'Sensitivity &amp; Scenarios'!$C$6*((1+$E89)^3-(1+$E89)^2))/(1+$C89)^('Sensitivity &amp; Scenarios'!$C$18+2)+('Sensitivity &amp; Scenarios'!$C$6*(1+$E89)^4*$G89+'Sensitivity &amp; Scenarios'!$C$11*'Sensitivity &amp; Scenarios'!$C$6*((1+$E89)^4-(1+$E89)^3))/(1+$C89)^('Sensitivity &amp; Scenarios'!$C$18+3)+('Sensitivity &amp; Scenarios'!$C$6*(1+$E89)^5*$G89+'Sensitivity &amp; Scenarios'!$C$11*'Sensitivity &amp; Scenarios'!$C$6*((1+$E89)^5-(1+$E89)^4))/(1+$C89)^('Sensitivity &amp; Scenarios'!$C$18+4)</f>
        <v>19971.446694651939</v>
      </c>
      <c r="I89" s="209">
        <f>('Sensitivity &amp; Scenarios'!$C$6*(1+$E89)^5*$G89+'Sensitivity &amp; Scenarios'!$C$11*'Sensitivity &amp; Scenarios'!$C$6*((1+$E89)^5-(1+$E89)^4))*(1+$D89)/($C89-$D89)/(1+$C89)^('Sensitivity &amp; Scenarios'!$C$18+4)</f>
        <v>58789.313269018843</v>
      </c>
      <c r="J89" s="209">
        <f>($H89+$I89-'Sensitivity &amp; Scenarios'!$C$15+'Sensitivity &amp; Scenarios'!$C$16)/'Sensitivity &amp; Scenarios'!$C$17</f>
        <v>1944.3787836797285</v>
      </c>
    </row>
    <row r="90" spans="2:10" x14ac:dyDescent="0.3">
      <c r="B90" s="127">
        <v>60</v>
      </c>
      <c r="C90" s="206">
        <f>$D$7+-2.147289*$E$7</f>
        <v>0.11607936943997799</v>
      </c>
      <c r="D90" s="206">
        <f>MIN($D$8+-0.162666*$E$8,'Debt &amp; Cost of Capital'!$C$38)</f>
        <v>5.4024004E-2</v>
      </c>
      <c r="E90" s="207">
        <f>$D$9+-1.062414*$E$9</f>
        <v>0.13534867770254633</v>
      </c>
      <c r="F90" s="207">
        <f>$D$10+-0.529439*$E$10</f>
        <v>0.13864673199999991</v>
      </c>
      <c r="G90" s="208">
        <f>$F90*(1-'Sensitivity &amp; Scenarios'!$C$12)+'Sensitivity &amp; Scenarios'!$C$9*'Sensitivity &amp; Scenarios'!$C$12-'Sensitivity &amp; Scenarios'!$C$10</f>
        <v>7.2944767644064643E-2</v>
      </c>
      <c r="H90" s="209">
        <f>('Sensitivity &amp; Scenarios'!$C$6*(1+$E90)^1*$G90+'Sensitivity &amp; Scenarios'!$C$11*'Sensitivity &amp; Scenarios'!$C$6*((1+$E90)^1-(1+$E90)^0))*'Sensitivity &amp; Scenarios'!$C$18/(1+$C90)^'Sensitivity &amp; Scenarios'!$C$18+('Sensitivity &amp; Scenarios'!$C$6*(1+$E90)^2*$G90+'Sensitivity &amp; Scenarios'!$C$11*'Sensitivity &amp; Scenarios'!$C$6*((1+$E90)^2-(1+$E90)^1))/(1+$C90)^('Sensitivity &amp; Scenarios'!$C$18+1)+('Sensitivity &amp; Scenarios'!$C$6*(1+$E90)^3*$G90+'Sensitivity &amp; Scenarios'!$C$11*'Sensitivity &amp; Scenarios'!$C$6*((1+$E90)^3-(1+$E90)^2))/(1+$C90)^('Sensitivity &amp; Scenarios'!$C$18+2)+('Sensitivity &amp; Scenarios'!$C$6*(1+$E90)^4*$G90+'Sensitivity &amp; Scenarios'!$C$11*'Sensitivity &amp; Scenarios'!$C$6*((1+$E90)^4-(1+$E90)^3))/(1+$C90)^('Sensitivity &amp; Scenarios'!$C$18+3)+('Sensitivity &amp; Scenarios'!$C$6*(1+$E90)^5*$G90+'Sensitivity &amp; Scenarios'!$C$11*'Sensitivity &amp; Scenarios'!$C$6*((1+$E90)^5-(1+$E90)^4))/(1+$C90)^('Sensitivity &amp; Scenarios'!$C$18+4)</f>
        <v>20717.386691505075</v>
      </c>
      <c r="I90" s="209">
        <f>('Sensitivity &amp; Scenarios'!$C$6*(1+$E90)^5*$G90+'Sensitivity &amp; Scenarios'!$C$11*'Sensitivity &amp; Scenarios'!$C$6*((1+$E90)^5-(1+$E90)^4))*(1+$D90)/($C90-$D90)/(1+$C90)^('Sensitivity &amp; Scenarios'!$C$18+4)</f>
        <v>78366.428024813344</v>
      </c>
      <c r="J90" s="209">
        <f>($H90+$I90-'Sensitivity &amp; Scenarios'!$C$15+'Sensitivity &amp; Scenarios'!$C$16)/'Sensitivity &amp; Scenarios'!$C$17</f>
        <v>2372.1542174981164</v>
      </c>
    </row>
    <row r="91" spans="2:10" x14ac:dyDescent="0.3">
      <c r="B91" s="127">
        <v>61</v>
      </c>
      <c r="C91" s="206">
        <f>$D$7+-0.876861*$E$7</f>
        <v>0.12878364943997797</v>
      </c>
      <c r="D91" s="206">
        <f>MIN($D$8+-0.094263*$E$8,'Debt &amp; Cost of Capital'!$C$38)</f>
        <v>5.4434422000000003E-2</v>
      </c>
      <c r="E91" s="207">
        <f>$D$9+-1.757728*$E$9</f>
        <v>0.11448925770254634</v>
      </c>
      <c r="F91" s="207">
        <f>$D$10+-1.467045*$E$10</f>
        <v>0.1273954599999999</v>
      </c>
      <c r="G91" s="208">
        <f>$F91*(1-'Sensitivity &amp; Scenarios'!$C$12)+'Sensitivity &amp; Scenarios'!$C$9*'Sensitivity &amp; Scenarios'!$C$12-'Sensitivity &amp; Scenarios'!$C$10</f>
        <v>6.4525440806464635E-2</v>
      </c>
      <c r="H91" s="209">
        <f>('Sensitivity &amp; Scenarios'!$C$6*(1+$E91)^1*$G91+'Sensitivity &amp; Scenarios'!$C$11*'Sensitivity &amp; Scenarios'!$C$6*((1+$E91)^1-(1+$E91)^0))*'Sensitivity &amp; Scenarios'!$C$18/(1+$C91)^'Sensitivity &amp; Scenarios'!$C$18+('Sensitivity &amp; Scenarios'!$C$6*(1+$E91)^2*$G91+'Sensitivity &amp; Scenarios'!$C$11*'Sensitivity &amp; Scenarios'!$C$6*((1+$E91)^2-(1+$E91)^1))/(1+$C91)^('Sensitivity &amp; Scenarios'!$C$18+1)+('Sensitivity &amp; Scenarios'!$C$6*(1+$E91)^3*$G91+'Sensitivity &amp; Scenarios'!$C$11*'Sensitivity &amp; Scenarios'!$C$6*((1+$E91)^3-(1+$E91)^2))/(1+$C91)^('Sensitivity &amp; Scenarios'!$C$18+2)+('Sensitivity &amp; Scenarios'!$C$6*(1+$E91)^4*$G91+'Sensitivity &amp; Scenarios'!$C$11*'Sensitivity &amp; Scenarios'!$C$6*((1+$E91)^4-(1+$E91)^3))/(1+$C91)^('Sensitivity &amp; Scenarios'!$C$18+3)+('Sensitivity &amp; Scenarios'!$C$6*(1+$E91)^5*$G91+'Sensitivity &amp; Scenarios'!$C$11*'Sensitivity &amp; Scenarios'!$C$6*((1+$E91)^5-(1+$E91)^4))/(1+$C91)^('Sensitivity &amp; Scenarios'!$C$18+4)</f>
        <v>16678.185525969711</v>
      </c>
      <c r="I91" s="209">
        <f>('Sensitivity &amp; Scenarios'!$C$6*(1+$E91)^5*$G91+'Sensitivity &amp; Scenarios'!$C$11*'Sensitivity &amp; Scenarios'!$C$6*((1+$E91)^5-(1+$E91)^4))*(1+$D91)/($C91-$D91)/(1+$C91)^('Sensitivity &amp; Scenarios'!$C$18+4)</f>
        <v>49863.71398843651</v>
      </c>
      <c r="J91" s="209">
        <f>($H91+$I91-'Sensitivity &amp; Scenarios'!$C$15+'Sensitivity &amp; Scenarios'!$C$16)/'Sensitivity &amp; Scenarios'!$C$17</f>
        <v>1687.1867230831524</v>
      </c>
    </row>
    <row r="92" spans="2:10" x14ac:dyDescent="0.3">
      <c r="B92" s="127">
        <v>62</v>
      </c>
      <c r="C92" s="206">
        <f>$D$7+2.129247*$E$7</f>
        <v>0.15884472943997799</v>
      </c>
      <c r="D92" s="206">
        <f>MIN($D$8+-1.287423*$E$8,'Debt &amp; Cost of Capital'!$C$38)</f>
        <v>4.7275461999999997E-2</v>
      </c>
      <c r="E92" s="207">
        <f>$D$9+-1.096786*$E$9</f>
        <v>0.13431751770254635</v>
      </c>
      <c r="F92" s="207">
        <f>$D$10+1.836914*$E$10</f>
        <v>0.1670429679999999</v>
      </c>
      <c r="G92" s="208">
        <f>$F92*(1-'Sensitivity &amp; Scenarios'!$C$12)+'Sensitivity &amp; Scenarios'!$C$9*'Sensitivity &amp; Scenarios'!$C$12-'Sensitivity &amp; Scenarios'!$C$10</f>
        <v>9.4193671042864635E-2</v>
      </c>
      <c r="H92" s="209">
        <f>('Sensitivity &amp; Scenarios'!$C$6*(1+$E92)^1*$G92+'Sensitivity &amp; Scenarios'!$C$11*'Sensitivity &amp; Scenarios'!$C$6*((1+$E92)^1-(1+$E92)^0))*'Sensitivity &amp; Scenarios'!$C$18/(1+$C92)^'Sensitivity &amp; Scenarios'!$C$18+('Sensitivity &amp; Scenarios'!$C$6*(1+$E92)^2*$G92+'Sensitivity &amp; Scenarios'!$C$11*'Sensitivity &amp; Scenarios'!$C$6*((1+$E92)^2-(1+$E92)^1))/(1+$C92)^('Sensitivity &amp; Scenarios'!$C$18+1)+('Sensitivity &amp; Scenarios'!$C$6*(1+$E92)^3*$G92+'Sensitivity &amp; Scenarios'!$C$11*'Sensitivity &amp; Scenarios'!$C$6*((1+$E92)^3-(1+$E92)^2))/(1+$C92)^('Sensitivity &amp; Scenarios'!$C$18+2)+('Sensitivity &amp; Scenarios'!$C$6*(1+$E92)^4*$G92+'Sensitivity &amp; Scenarios'!$C$11*'Sensitivity &amp; Scenarios'!$C$6*((1+$E92)^4-(1+$E92)^3))/(1+$C92)^('Sensitivity &amp; Scenarios'!$C$18+3)+('Sensitivity &amp; Scenarios'!$C$6*(1+$E92)^5*$G92+'Sensitivity &amp; Scenarios'!$C$11*'Sensitivity &amp; Scenarios'!$C$6*((1+$E92)^5-(1+$E92)^4))/(1+$C92)^('Sensitivity &amp; Scenarios'!$C$18+4)</f>
        <v>23176.608784762124</v>
      </c>
      <c r="I92" s="209">
        <f>('Sensitivity &amp; Scenarios'!$C$6*(1+$E92)^5*$G92+'Sensitivity &amp; Scenarios'!$C$11*'Sensitivity &amp; Scenarios'!$C$6*((1+$E92)^5-(1+$E92)^4))*(1+$D92)/($C92-$D92)/(1+$C92)^('Sensitivity &amp; Scenarios'!$C$18+4)</f>
        <v>45125.918096269364</v>
      </c>
      <c r="J92" s="209">
        <f>($H92+$I92-'Sensitivity &amp; Scenarios'!$C$15+'Sensitivity &amp; Scenarios'!$C$16)/'Sensitivity &amp; Scenarios'!$C$17</f>
        <v>1724.2457747226472</v>
      </c>
    </row>
    <row r="93" spans="2:10" x14ac:dyDescent="0.3">
      <c r="B93" s="127">
        <v>63</v>
      </c>
      <c r="C93" s="206">
        <f>$D$7+2.905067*$E$7</f>
        <v>0.16660292943997798</v>
      </c>
      <c r="D93" s="206">
        <f>MIN($D$8+-1.171567*$E$8,'Debt &amp; Cost of Capital'!$C$38)</f>
        <v>4.7970598000000003E-2</v>
      </c>
      <c r="E93" s="207">
        <f>$D$9+-0.368249*$E$9</f>
        <v>0.15617362770254634</v>
      </c>
      <c r="F93" s="207">
        <f>$D$10+0.341556*$E$10</f>
        <v>0.1490986719999999</v>
      </c>
      <c r="G93" s="208">
        <f>$F93*(1-'Sensitivity &amp; Scenarios'!$C$12)+'Sensitivity &amp; Scenarios'!$C$9*'Sensitivity &amp; Scenarios'!$C$12-'Sensitivity &amp; Scenarios'!$C$10</f>
        <v>8.0765954346064636E-2</v>
      </c>
      <c r="H93" s="209">
        <f>('Sensitivity &amp; Scenarios'!$C$6*(1+$E93)^1*$G93+'Sensitivity &amp; Scenarios'!$C$11*'Sensitivity &amp; Scenarios'!$C$6*((1+$E93)^1-(1+$E93)^0))*'Sensitivity &amp; Scenarios'!$C$18/(1+$C93)^'Sensitivity &amp; Scenarios'!$C$18+('Sensitivity &amp; Scenarios'!$C$6*(1+$E93)^2*$G93+'Sensitivity &amp; Scenarios'!$C$11*'Sensitivity &amp; Scenarios'!$C$6*((1+$E93)^2-(1+$E93)^1))/(1+$C93)^('Sensitivity &amp; Scenarios'!$C$18+1)+('Sensitivity &amp; Scenarios'!$C$6*(1+$E93)^3*$G93+'Sensitivity &amp; Scenarios'!$C$11*'Sensitivity &amp; Scenarios'!$C$6*((1+$E93)^3-(1+$E93)^2))/(1+$C93)^('Sensitivity &amp; Scenarios'!$C$18+2)+('Sensitivity &amp; Scenarios'!$C$6*(1+$E93)^4*$G93+'Sensitivity &amp; Scenarios'!$C$11*'Sensitivity &amp; Scenarios'!$C$6*((1+$E93)^4-(1+$E93)^3))/(1+$C93)^('Sensitivity &amp; Scenarios'!$C$18+3)+('Sensitivity &amp; Scenarios'!$C$6*(1+$E93)^5*$G93+'Sensitivity &amp; Scenarios'!$C$11*'Sensitivity &amp; Scenarios'!$C$6*((1+$E93)^5-(1+$E93)^4))/(1+$C93)^('Sensitivity &amp; Scenarios'!$C$18+4)</f>
        <v>21542.11836076402</v>
      </c>
      <c r="I93" s="209">
        <f>('Sensitivity &amp; Scenarios'!$C$6*(1+$E93)^5*$G93+'Sensitivity &amp; Scenarios'!$C$11*'Sensitivity &amp; Scenarios'!$C$6*((1+$E93)^5-(1+$E93)^4))*(1+$D93)/($C93-$D93)/(1+$C93)^('Sensitivity &amp; Scenarios'!$C$18+4)</f>
        <v>40398.939724026655</v>
      </c>
      <c r="J93" s="209">
        <f>($H93+$I93-'Sensitivity &amp; Scenarios'!$C$15+'Sensitivity &amp; Scenarios'!$C$16)/'Sensitivity &amp; Scenarios'!$C$17</f>
        <v>1590.3446409041928</v>
      </c>
    </row>
    <row r="94" spans="2:10" x14ac:dyDescent="0.3">
      <c r="B94" s="127">
        <v>64</v>
      </c>
      <c r="C94" s="206">
        <f>$D$7+1.728698*$E$7</f>
        <v>0.15483923943997799</v>
      </c>
      <c r="D94" s="206">
        <f>MIN($D$8+-0.986857*$E$8,'Debt &amp; Cost of Capital'!$C$38)</f>
        <v>4.9078858000000003E-2</v>
      </c>
      <c r="E94" s="207">
        <f>$D$9+-0.245278*$E$9</f>
        <v>0.15986275770254635</v>
      </c>
      <c r="F94" s="207">
        <f>$D$10+0.777338*$E$10</f>
        <v>0.15432805599999991</v>
      </c>
      <c r="G94" s="208">
        <f>$F94*(1-'Sensitivity &amp; Scenarios'!$C$12)+'Sensitivity &amp; Scenarios'!$C$9*'Sensitivity &amp; Scenarios'!$C$12-'Sensitivity &amp; Scenarios'!$C$10</f>
        <v>8.4679102393264635E-2</v>
      </c>
      <c r="H94" s="209">
        <f>('Sensitivity &amp; Scenarios'!$C$6*(1+$E94)^1*$G94+'Sensitivity &amp; Scenarios'!$C$11*'Sensitivity &amp; Scenarios'!$C$6*((1+$E94)^1-(1+$E94)^0))*'Sensitivity &amp; Scenarios'!$C$18/(1+$C94)^'Sensitivity &amp; Scenarios'!$C$18+('Sensitivity &amp; Scenarios'!$C$6*(1+$E94)^2*$G94+'Sensitivity &amp; Scenarios'!$C$11*'Sensitivity &amp; Scenarios'!$C$6*((1+$E94)^2-(1+$E94)^1))/(1+$C94)^('Sensitivity &amp; Scenarios'!$C$18+1)+('Sensitivity &amp; Scenarios'!$C$6*(1+$E94)^3*$G94+'Sensitivity &amp; Scenarios'!$C$11*'Sensitivity &amp; Scenarios'!$C$6*((1+$E94)^3-(1+$E94)^2))/(1+$C94)^('Sensitivity &amp; Scenarios'!$C$18+2)+('Sensitivity &amp; Scenarios'!$C$6*(1+$E94)^4*$G94+'Sensitivity &amp; Scenarios'!$C$11*'Sensitivity &amp; Scenarios'!$C$6*((1+$E94)^4-(1+$E94)^3))/(1+$C94)^('Sensitivity &amp; Scenarios'!$C$18+3)+('Sensitivity &amp; Scenarios'!$C$6*(1+$E94)^5*$G94+'Sensitivity &amp; Scenarios'!$C$11*'Sensitivity &amp; Scenarios'!$C$6*((1+$E94)^5-(1+$E94)^4))/(1+$C94)^('Sensitivity &amp; Scenarios'!$C$18+4)</f>
        <v>23369.892602882548</v>
      </c>
      <c r="I94" s="209">
        <f>('Sensitivity &amp; Scenarios'!$C$6*(1+$E94)^5*$G94+'Sensitivity &amp; Scenarios'!$C$11*'Sensitivity &amp; Scenarios'!$C$6*((1+$E94)^5-(1+$E94)^4))*(1+$D94)/($C94-$D94)/(1+$C94)^('Sensitivity &amp; Scenarios'!$C$18+4)</f>
        <v>50437.674655336181</v>
      </c>
      <c r="J94" s="209">
        <f>($H94+$I94-'Sensitivity &amp; Scenarios'!$C$15+'Sensitivity &amp; Scenarios'!$C$16)/'Sensitivity &amp; Scenarios'!$C$17</f>
        <v>1840.1201383063112</v>
      </c>
    </row>
    <row r="95" spans="2:10" x14ac:dyDescent="0.3">
      <c r="B95" s="127">
        <v>65</v>
      </c>
      <c r="C95" s="206">
        <f>$D$7+0.434766*$E$7</f>
        <v>0.14189991943997798</v>
      </c>
      <c r="D95" s="206">
        <f>MIN($D$8+-0.376156*$E$8,'Debt &amp; Cost of Capital'!$C$38)</f>
        <v>5.2743063999999999E-2</v>
      </c>
      <c r="E95" s="207">
        <f>$D$9+-0.133823*$E$9</f>
        <v>0.16320640770254635</v>
      </c>
      <c r="F95" s="207">
        <f>$D$10+-1.374896*$E$10</f>
        <v>0.1285012479999999</v>
      </c>
      <c r="G95" s="208">
        <f>$F95*(1-'Sensitivity &amp; Scenarios'!$C$12)+'Sensitivity &amp; Scenarios'!$C$9*'Sensitivity &amp; Scenarios'!$C$12-'Sensitivity &amp; Scenarios'!$C$10</f>
        <v>6.5352901966864635E-2</v>
      </c>
      <c r="H95" s="209">
        <f>('Sensitivity &amp; Scenarios'!$C$6*(1+$E95)^1*$G95+'Sensitivity &amp; Scenarios'!$C$11*'Sensitivity &amp; Scenarios'!$C$6*((1+$E95)^1-(1+$E95)^0))*'Sensitivity &amp; Scenarios'!$C$18/(1+$C95)^'Sensitivity &amp; Scenarios'!$C$18+('Sensitivity &amp; Scenarios'!$C$6*(1+$E95)^2*$G95+'Sensitivity &amp; Scenarios'!$C$11*'Sensitivity &amp; Scenarios'!$C$6*((1+$E95)^2-(1+$E95)^1))/(1+$C95)^('Sensitivity &amp; Scenarios'!$C$18+1)+('Sensitivity &amp; Scenarios'!$C$6*(1+$E95)^3*$G95+'Sensitivity &amp; Scenarios'!$C$11*'Sensitivity &amp; Scenarios'!$C$6*((1+$E95)^3-(1+$E95)^2))/(1+$C95)^('Sensitivity &amp; Scenarios'!$C$18+2)+('Sensitivity &amp; Scenarios'!$C$6*(1+$E95)^4*$G95+'Sensitivity &amp; Scenarios'!$C$11*'Sensitivity &amp; Scenarios'!$C$6*((1+$E95)^4-(1+$E95)^3))/(1+$C95)^('Sensitivity &amp; Scenarios'!$C$18+3)+('Sensitivity &amp; Scenarios'!$C$6*(1+$E95)^5*$G95+'Sensitivity &amp; Scenarios'!$C$11*'Sensitivity &amp; Scenarios'!$C$6*((1+$E95)^5-(1+$E95)^4))/(1+$C95)^('Sensitivity &amp; Scenarios'!$C$18+4)</f>
        <v>19698.185650007596</v>
      </c>
      <c r="I95" s="209">
        <f>('Sensitivity &amp; Scenarios'!$C$6*(1+$E95)^5*$G95+'Sensitivity &amp; Scenarios'!$C$11*'Sensitivity &amp; Scenarios'!$C$6*((1+$E95)^5-(1+$E95)^4))*(1+$D95)/($C95-$D95)/(1+$C95)^('Sensitivity &amp; Scenarios'!$C$18+4)</f>
        <v>51927.030404218189</v>
      </c>
      <c r="J95" s="209">
        <f>($H95+$I95-'Sensitivity &amp; Scenarios'!$C$15+'Sensitivity &amp; Scenarios'!$C$16)/'Sensitivity &amp; Scenarios'!$C$17</f>
        <v>1794.1843159412933</v>
      </c>
    </row>
    <row r="96" spans="2:10" x14ac:dyDescent="0.3">
      <c r="B96" s="127">
        <v>66</v>
      </c>
      <c r="C96" s="206">
        <f>$D$7+-0.238174*$E$7</f>
        <v>0.13517051943997799</v>
      </c>
      <c r="D96" s="206">
        <f>MIN($D$8+-0.266387*$E$8,'Debt &amp; Cost of Capital'!$C$38)</f>
        <v>5.3401678000000001E-2</v>
      </c>
      <c r="E96" s="207">
        <f>$D$9+0.23217*$E$9</f>
        <v>0.17418619770254634</v>
      </c>
      <c r="F96" s="207">
        <f>$D$10+-0.555327*$E$10</f>
        <v>0.13833607599999992</v>
      </c>
      <c r="G96" s="208">
        <f>$F96*(1-'Sensitivity &amp; Scenarios'!$C$12)+'Sensitivity &amp; Scenarios'!$C$9*'Sensitivity &amp; Scenarios'!$C$12-'Sensitivity &amp; Scenarios'!$C$10</f>
        <v>7.2712303759264643E-2</v>
      </c>
      <c r="H96" s="209">
        <f>('Sensitivity &amp; Scenarios'!$C$6*(1+$E96)^1*$G96+'Sensitivity &amp; Scenarios'!$C$11*'Sensitivity &amp; Scenarios'!$C$6*((1+$E96)^1-(1+$E96)^0))*'Sensitivity &amp; Scenarios'!$C$18/(1+$C96)^'Sensitivity &amp; Scenarios'!$C$18+('Sensitivity &amp; Scenarios'!$C$6*(1+$E96)^2*$G96+'Sensitivity &amp; Scenarios'!$C$11*'Sensitivity &amp; Scenarios'!$C$6*((1+$E96)^2-(1+$E96)^1))/(1+$C96)^('Sensitivity &amp; Scenarios'!$C$18+1)+('Sensitivity &amp; Scenarios'!$C$6*(1+$E96)^3*$G96+'Sensitivity &amp; Scenarios'!$C$11*'Sensitivity &amp; Scenarios'!$C$6*((1+$E96)^3-(1+$E96)^2))/(1+$C96)^('Sensitivity &amp; Scenarios'!$C$18+2)+('Sensitivity &amp; Scenarios'!$C$6*(1+$E96)^4*$G96+'Sensitivity &amp; Scenarios'!$C$11*'Sensitivity &amp; Scenarios'!$C$6*((1+$E96)^4-(1+$E96)^3))/(1+$C96)^('Sensitivity &amp; Scenarios'!$C$18+3)+('Sensitivity &amp; Scenarios'!$C$6*(1+$E96)^5*$G96+'Sensitivity &amp; Scenarios'!$C$11*'Sensitivity &amp; Scenarios'!$C$6*((1+$E96)^5-(1+$E96)^4))/(1+$C96)^('Sensitivity &amp; Scenarios'!$C$18+4)</f>
        <v>22750.558324675385</v>
      </c>
      <c r="I96" s="209">
        <f>('Sensitivity &amp; Scenarios'!$C$6*(1+$E96)^5*$G96+'Sensitivity &amp; Scenarios'!$C$11*'Sensitivity &amp; Scenarios'!$C$6*((1+$E96)^5-(1+$E96)^4))*(1+$D96)/($C96-$D96)/(1+$C96)^('Sensitivity &amp; Scenarios'!$C$18+4)</f>
        <v>67254.853455980119</v>
      </c>
      <c r="J96" s="209">
        <f>($H96+$I96-'Sensitivity &amp; Scenarios'!$C$15+'Sensitivity &amp; Scenarios'!$C$16)/'Sensitivity &amp; Scenarios'!$C$17</f>
        <v>2181.0649446772873</v>
      </c>
    </row>
    <row r="97" spans="2:10" x14ac:dyDescent="0.3">
      <c r="B97" s="127">
        <v>67</v>
      </c>
      <c r="C97" s="206">
        <f>$D$7+0.471539*$E$7</f>
        <v>0.14226764943997799</v>
      </c>
      <c r="D97" s="206">
        <f>MIN($D$8+1.012716*$E$8,'Debt &amp; Cost of Capital'!$C$38)</f>
        <v>6.1076296000000002E-2</v>
      </c>
      <c r="E97" s="207">
        <f>$D$9+0.155429*$E$9</f>
        <v>0.17188396770254635</v>
      </c>
      <c r="F97" s="207">
        <f>$D$10+0.351756*$E$10</f>
        <v>0.1492210719999999</v>
      </c>
      <c r="G97" s="208">
        <f>$F97*(1-'Sensitivity &amp; Scenarios'!$C$12)+'Sensitivity &amp; Scenarios'!$C$9*'Sensitivity &amp; Scenarios'!$C$12-'Sensitivity &amp; Scenarios'!$C$10</f>
        <v>8.0857546266064631E-2</v>
      </c>
      <c r="H97" s="209">
        <f>('Sensitivity &amp; Scenarios'!$C$6*(1+$E97)^1*$G97+'Sensitivity &amp; Scenarios'!$C$11*'Sensitivity &amp; Scenarios'!$C$6*((1+$E97)^1-(1+$E97)^0))*'Sensitivity &amp; Scenarios'!$C$18/(1+$C97)^'Sensitivity &amp; Scenarios'!$C$18+('Sensitivity &amp; Scenarios'!$C$6*(1+$E97)^2*$G97+'Sensitivity &amp; Scenarios'!$C$11*'Sensitivity &amp; Scenarios'!$C$6*((1+$E97)^2-(1+$E97)^1))/(1+$C97)^('Sensitivity &amp; Scenarios'!$C$18+1)+('Sensitivity &amp; Scenarios'!$C$6*(1+$E97)^3*$G97+'Sensitivity &amp; Scenarios'!$C$11*'Sensitivity &amp; Scenarios'!$C$6*((1+$E97)^3-(1+$E97)^2))/(1+$C97)^('Sensitivity &amp; Scenarios'!$C$18+2)+('Sensitivity &amp; Scenarios'!$C$6*(1+$E97)^4*$G97+'Sensitivity &amp; Scenarios'!$C$11*'Sensitivity &amp; Scenarios'!$C$6*((1+$E97)^4-(1+$E97)^3))/(1+$C97)^('Sensitivity &amp; Scenarios'!$C$18+3)+('Sensitivity &amp; Scenarios'!$C$6*(1+$E97)^5*$G97+'Sensitivity &amp; Scenarios'!$C$11*'Sensitivity &amp; Scenarios'!$C$6*((1+$E97)^5-(1+$E97)^4))/(1+$C97)^('Sensitivity &amp; Scenarios'!$C$18+4)</f>
        <v>24196.278138412286</v>
      </c>
      <c r="I97" s="209">
        <f>('Sensitivity &amp; Scenarios'!$C$6*(1+$E97)^5*$G97+'Sensitivity &amp; Scenarios'!$C$11*'Sensitivity &amp; Scenarios'!$C$6*((1+$E97)^5-(1+$E97)^4))*(1+$D97)/($C97-$D97)/(1+$C97)^('Sensitivity &amp; Scenarios'!$C$18+4)</f>
        <v>71506.934358004786</v>
      </c>
      <c r="J97" s="209">
        <f>($H97+$I97-'Sensitivity &amp; Scenarios'!$C$15+'Sensitivity &amp; Scenarios'!$C$16)/'Sensitivity &amp; Scenarios'!$C$17</f>
        <v>2300.99667751278</v>
      </c>
    </row>
    <row r="98" spans="2:10" x14ac:dyDescent="0.3">
      <c r="B98" s="127">
        <v>68</v>
      </c>
      <c r="C98" s="206">
        <f>$D$7+0.053155*$E$7</f>
        <v>0.13808380943997797</v>
      </c>
      <c r="D98" s="206">
        <f>MIN($D$8+0.000084*$E$8,'Debt &amp; Cost of Capital'!$C$38)</f>
        <v>5.5000503999999999E-2</v>
      </c>
      <c r="E98" s="207">
        <f>$D$9+-0.721558*$E$9</f>
        <v>0.14557435770254634</v>
      </c>
      <c r="F98" s="207">
        <f>$D$10+0.316494*$E$10</f>
        <v>0.14879792799999991</v>
      </c>
      <c r="G98" s="208">
        <f>$F98*(1-'Sensitivity &amp; Scenarios'!$C$12)+'Sensitivity &amp; Scenarios'!$C$9*'Sensitivity &amp; Scenarios'!$C$12-'Sensitivity &amp; Scenarios'!$C$10</f>
        <v>8.0540907610864645E-2</v>
      </c>
      <c r="H98" s="209">
        <f>('Sensitivity &amp; Scenarios'!$C$6*(1+$E98)^1*$G98+'Sensitivity &amp; Scenarios'!$C$11*'Sensitivity &amp; Scenarios'!$C$6*((1+$E98)^1-(1+$E98)^0))*'Sensitivity &amp; Scenarios'!$C$18/(1+$C98)^'Sensitivity &amp; Scenarios'!$C$18+('Sensitivity &amp; Scenarios'!$C$6*(1+$E98)^2*$G98+'Sensitivity &amp; Scenarios'!$C$11*'Sensitivity &amp; Scenarios'!$C$6*((1+$E98)^2-(1+$E98)^1))/(1+$C98)^('Sensitivity &amp; Scenarios'!$C$18+1)+('Sensitivity &amp; Scenarios'!$C$6*(1+$E98)^3*$G98+'Sensitivity &amp; Scenarios'!$C$11*'Sensitivity &amp; Scenarios'!$C$6*((1+$E98)^3-(1+$E98)^2))/(1+$C98)^('Sensitivity &amp; Scenarios'!$C$18+2)+('Sensitivity &amp; Scenarios'!$C$6*(1+$E98)^4*$G98+'Sensitivity &amp; Scenarios'!$C$11*'Sensitivity &amp; Scenarios'!$C$6*((1+$E98)^4-(1+$E98)^3))/(1+$C98)^('Sensitivity &amp; Scenarios'!$C$18+3)+('Sensitivity &amp; Scenarios'!$C$6*(1+$E98)^5*$G98+'Sensitivity &amp; Scenarios'!$C$11*'Sensitivity &amp; Scenarios'!$C$6*((1+$E98)^5-(1+$E98)^4))/(1+$C98)^('Sensitivity &amp; Scenarios'!$C$18+4)</f>
        <v>22161.282983117955</v>
      </c>
      <c r="I98" s="209">
        <f>('Sensitivity &amp; Scenarios'!$C$6*(1+$E98)^5*$G98+'Sensitivity &amp; Scenarios'!$C$11*'Sensitivity &amp; Scenarios'!$C$6*((1+$E98)^5-(1+$E98)^4))*(1+$D98)/($C98-$D98)/(1+$C98)^('Sensitivity &amp; Scenarios'!$C$18+4)</f>
        <v>61476.99516109861</v>
      </c>
      <c r="J98" s="209">
        <f>($H98+$I98-'Sensitivity &amp; Scenarios'!$C$15+'Sensitivity &amp; Scenarios'!$C$16)/'Sensitivity &amp; Scenarios'!$C$17</f>
        <v>2047.0445729045609</v>
      </c>
    </row>
    <row r="99" spans="2:10" x14ac:dyDescent="0.3">
      <c r="B99" s="127">
        <v>69</v>
      </c>
      <c r="C99" s="206">
        <f>$D$7+-0.097287*$E$7</f>
        <v>0.13657938943997799</v>
      </c>
      <c r="D99" s="206">
        <f>MIN($D$8+2.093168*$E$8,'Debt &amp; Cost of Capital'!$C$38)</f>
        <v>6.7559008000000004E-2</v>
      </c>
      <c r="E99" s="207">
        <f>$D$9+1.573355*$E$9</f>
        <v>0.21442174770254635</v>
      </c>
      <c r="F99" s="207">
        <f>$D$10+0.385847*$E$10</f>
        <v>0.1496301639999999</v>
      </c>
      <c r="G99" s="208">
        <f>$F99*(1-'Sensitivity &amp; Scenarios'!$C$12)+'Sensitivity &amp; Scenarios'!$C$9*'Sensitivity &amp; Scenarios'!$C$12-'Sensitivity &amp; Scenarios'!$C$10</f>
        <v>8.1163669809664635E-2</v>
      </c>
      <c r="H99" s="209">
        <f>('Sensitivity &amp; Scenarios'!$C$6*(1+$E99)^1*$G99+'Sensitivity &amp; Scenarios'!$C$11*'Sensitivity &amp; Scenarios'!$C$6*((1+$E99)^1-(1+$E99)^0))*'Sensitivity &amp; Scenarios'!$C$18/(1+$C99)^'Sensitivity &amp; Scenarios'!$C$18+('Sensitivity &amp; Scenarios'!$C$6*(1+$E99)^2*$G99+'Sensitivity &amp; Scenarios'!$C$11*'Sensitivity &amp; Scenarios'!$C$6*((1+$E99)^2-(1+$E99)^1))/(1+$C99)^('Sensitivity &amp; Scenarios'!$C$18+1)+('Sensitivity &amp; Scenarios'!$C$6*(1+$E99)^3*$G99+'Sensitivity &amp; Scenarios'!$C$11*'Sensitivity &amp; Scenarios'!$C$6*((1+$E99)^3-(1+$E99)^2))/(1+$C99)^('Sensitivity &amp; Scenarios'!$C$18+2)+('Sensitivity &amp; Scenarios'!$C$6*(1+$E99)^4*$G99+'Sensitivity &amp; Scenarios'!$C$11*'Sensitivity &amp; Scenarios'!$C$6*((1+$E99)^4-(1+$E99)^3))/(1+$C99)^('Sensitivity &amp; Scenarios'!$C$18+3)+('Sensitivity &amp; Scenarios'!$C$6*(1+$E99)^5*$G99+'Sensitivity &amp; Scenarios'!$C$11*'Sensitivity &amp; Scenarios'!$C$6*((1+$E99)^5-(1+$E99)^4))/(1+$C99)^('Sensitivity &amp; Scenarios'!$C$18+4)</f>
        <v>28574.427651408092</v>
      </c>
      <c r="I99" s="209">
        <f>('Sensitivity &amp; Scenarios'!$C$6*(1+$E99)^5*$G99+'Sensitivity &amp; Scenarios'!$C$11*'Sensitivity &amp; Scenarios'!$C$6*((1+$E99)^5-(1+$E99)^4))*(1+$D99)/($C99-$D99)/(1+$C99)^('Sensitivity &amp; Scenarios'!$C$18+4)</f>
        <v>107348.66286437817</v>
      </c>
      <c r="J99" s="209">
        <f>($H99+$I99-'Sensitivity &amp; Scenarios'!$C$15+'Sensitivity &amp; Scenarios'!$C$16)/'Sensitivity &amp; Scenarios'!$C$17</f>
        <v>3147.5758939377547</v>
      </c>
    </row>
    <row r="100" spans="2:10" x14ac:dyDescent="0.3">
      <c r="B100" s="127">
        <v>70</v>
      </c>
      <c r="C100" s="206">
        <f>$D$7+-0.763057*$E$7</f>
        <v>0.12992168943997798</v>
      </c>
      <c r="D100" s="206">
        <f>MIN($D$8+-1.112411*$E$8,'Debt &amp; Cost of Capital'!$C$38)</f>
        <v>4.8325534000000003E-2</v>
      </c>
      <c r="E100" s="207">
        <f>$D$9+1.191143*$E$9</f>
        <v>0.20295538770254634</v>
      </c>
      <c r="F100" s="207">
        <f>$D$10+0.262749*$E$10</f>
        <v>0.1481529879999999</v>
      </c>
      <c r="G100" s="208">
        <f>$F100*(1-'Sensitivity &amp; Scenarios'!$C$12)+'Sensitivity &amp; Scenarios'!$C$9*'Sensitivity &amp; Scenarios'!$C$12-'Sensitivity &amp; Scenarios'!$C$10</f>
        <v>8.0058299008864631E-2</v>
      </c>
      <c r="H100" s="209">
        <f>('Sensitivity &amp; Scenarios'!$C$6*(1+$E100)^1*$G100+'Sensitivity &amp; Scenarios'!$C$11*'Sensitivity &amp; Scenarios'!$C$6*((1+$E100)^1-(1+$E100)^0))*'Sensitivity &amp; Scenarios'!$C$18/(1+$C100)^'Sensitivity &amp; Scenarios'!$C$18+('Sensitivity &amp; Scenarios'!$C$6*(1+$E100)^2*$G100+'Sensitivity &amp; Scenarios'!$C$11*'Sensitivity &amp; Scenarios'!$C$6*((1+$E100)^2-(1+$E100)^1))/(1+$C100)^('Sensitivity &amp; Scenarios'!$C$18+1)+('Sensitivity &amp; Scenarios'!$C$6*(1+$E100)^3*$G100+'Sensitivity &amp; Scenarios'!$C$11*'Sensitivity &amp; Scenarios'!$C$6*((1+$E100)^3-(1+$E100)^2))/(1+$C100)^('Sensitivity &amp; Scenarios'!$C$18+2)+('Sensitivity &amp; Scenarios'!$C$6*(1+$E100)^4*$G100+'Sensitivity &amp; Scenarios'!$C$11*'Sensitivity &amp; Scenarios'!$C$6*((1+$E100)^4-(1+$E100)^3))/(1+$C100)^('Sensitivity &amp; Scenarios'!$C$18+3)+('Sensitivity &amp; Scenarios'!$C$6*(1+$E100)^5*$G100+'Sensitivity &amp; Scenarios'!$C$11*'Sensitivity &amp; Scenarios'!$C$6*((1+$E100)^5-(1+$E100)^4))/(1+$C100)^('Sensitivity &amp; Scenarios'!$C$18+4)</f>
        <v>27626.080594866089</v>
      </c>
      <c r="I100" s="209">
        <f>('Sensitivity &amp; Scenarios'!$C$6*(1+$E100)^5*$G100+'Sensitivity &amp; Scenarios'!$C$11*'Sensitivity &amp; Scenarios'!$C$6*((1+$E100)^5-(1+$E100)^4))*(1+$D100)/($C100-$D100)/(1+$C100)^('Sensitivity &amp; Scenarios'!$C$18+4)</f>
        <v>85673.064364695078</v>
      </c>
      <c r="J100" s="209">
        <f>($H100+$I100-'Sensitivity &amp; Scenarios'!$C$15+'Sensitivity &amp; Scenarios'!$C$16)/'Sensitivity &amp; Scenarios'!$C$17</f>
        <v>2671.3695242365188</v>
      </c>
    </row>
    <row r="101" spans="2:10" x14ac:dyDescent="0.3">
      <c r="B101" s="127">
        <v>71</v>
      </c>
      <c r="C101" s="206">
        <f>$D$7+0.480143*$E$7</f>
        <v>0.14235368943997798</v>
      </c>
      <c r="D101" s="206">
        <f>MIN($D$8+-1.744586*$E$8,'Debt &amp; Cost of Capital'!$C$38)</f>
        <v>4.4532483999999997E-2</v>
      </c>
      <c r="E101" s="207">
        <f>$D$9+0.927438*$E$9</f>
        <v>0.19504423770254634</v>
      </c>
      <c r="F101" s="207">
        <f>$D$10+0.45442*$E$10</f>
        <v>0.1504530399999999</v>
      </c>
      <c r="G101" s="208">
        <f>$F101*(1-'Sensitivity &amp; Scenarios'!$C$12)+'Sensitivity &amp; Scenarios'!$C$9*'Sensitivity &amp; Scenarios'!$C$12-'Sensitivity &amp; Scenarios'!$C$10</f>
        <v>8.1779427920464637E-2</v>
      </c>
      <c r="H101" s="209">
        <f>('Sensitivity &amp; Scenarios'!$C$6*(1+$E101)^1*$G101+'Sensitivity &amp; Scenarios'!$C$11*'Sensitivity &amp; Scenarios'!$C$6*((1+$E101)^1-(1+$E101)^0))*'Sensitivity &amp; Scenarios'!$C$18/(1+$C101)^'Sensitivity &amp; Scenarios'!$C$18+('Sensitivity &amp; Scenarios'!$C$6*(1+$E101)^2*$G101+'Sensitivity &amp; Scenarios'!$C$11*'Sensitivity &amp; Scenarios'!$C$6*((1+$E101)^2-(1+$E101)^1))/(1+$C101)^('Sensitivity &amp; Scenarios'!$C$18+1)+('Sensitivity &amp; Scenarios'!$C$6*(1+$E101)^3*$G101+'Sensitivity &amp; Scenarios'!$C$11*'Sensitivity &amp; Scenarios'!$C$6*((1+$E101)^3-(1+$E101)^2))/(1+$C101)^('Sensitivity &amp; Scenarios'!$C$18+2)+('Sensitivity &amp; Scenarios'!$C$6*(1+$E101)^4*$G101+'Sensitivity &amp; Scenarios'!$C$11*'Sensitivity &amp; Scenarios'!$C$6*((1+$E101)^4-(1+$E101)^3))/(1+$C101)^('Sensitivity &amp; Scenarios'!$C$18+3)+('Sensitivity &amp; Scenarios'!$C$6*(1+$E101)^5*$G101+'Sensitivity &amp; Scenarios'!$C$11*'Sensitivity &amp; Scenarios'!$C$6*((1+$E101)^5-(1+$E101)^4))/(1+$C101)^('Sensitivity &amp; Scenarios'!$C$18+4)</f>
        <v>26494.002315394839</v>
      </c>
      <c r="I101" s="209">
        <f>('Sensitivity &amp; Scenarios'!$C$6*(1+$E101)^5*$G101+'Sensitivity &amp; Scenarios'!$C$11*'Sensitivity &amp; Scenarios'!$C$6*((1+$E101)^5-(1+$E101)^4))*(1+$D101)/($C101-$D101)/(1+$C101)^('Sensitivity &amp; Scenarios'!$C$18+4)</f>
        <v>66229.077735758983</v>
      </c>
      <c r="J101" s="209">
        <f>($H101+$I101-'Sensitivity &amp; Scenarios'!$C$15+'Sensitivity &amp; Scenarios'!$C$16)/'Sensitivity &amp; Scenarios'!$C$17</f>
        <v>2238.2685362404814</v>
      </c>
    </row>
    <row r="102" spans="2:10" x14ac:dyDescent="0.3">
      <c r="B102" s="127">
        <v>72</v>
      </c>
      <c r="C102" s="206">
        <f>$D$7+-1.110431*$E$7</f>
        <v>0.12644794943997797</v>
      </c>
      <c r="D102" s="206">
        <f>MIN($D$8+-0.471525*$E$8,'Debt &amp; Cost of Capital'!$C$38)</f>
        <v>5.2170849999999998E-2</v>
      </c>
      <c r="E102" s="207">
        <f>$D$9+0.263717*$E$9</f>
        <v>0.17513260770254635</v>
      </c>
      <c r="F102" s="207">
        <f>$D$10+0.052467*$E$10</f>
        <v>0.14562960399999991</v>
      </c>
      <c r="G102" s="208">
        <f>$F102*(1-'Sensitivity &amp; Scenarios'!$C$12)+'Sensitivity &amp; Scenarios'!$C$9*'Sensitivity &amp; Scenarios'!$C$12-'Sensitivity &amp; Scenarios'!$C$10</f>
        <v>7.8170050761664639E-2</v>
      </c>
      <c r="H102" s="209">
        <f>('Sensitivity &amp; Scenarios'!$C$6*(1+$E102)^1*$G102+'Sensitivity &amp; Scenarios'!$C$11*'Sensitivity &amp; Scenarios'!$C$6*((1+$E102)^1-(1+$E102)^0))*'Sensitivity &amp; Scenarios'!$C$18/(1+$C102)^'Sensitivity &amp; Scenarios'!$C$18+('Sensitivity &amp; Scenarios'!$C$6*(1+$E102)^2*$G102+'Sensitivity &amp; Scenarios'!$C$11*'Sensitivity &amp; Scenarios'!$C$6*((1+$E102)^2-(1+$E102)^1))/(1+$C102)^('Sensitivity &amp; Scenarios'!$C$18+1)+('Sensitivity &amp; Scenarios'!$C$6*(1+$E102)^3*$G102+'Sensitivity &amp; Scenarios'!$C$11*'Sensitivity &amp; Scenarios'!$C$6*((1+$E102)^3-(1+$E102)^2))/(1+$C102)^('Sensitivity &amp; Scenarios'!$C$18+2)+('Sensitivity &amp; Scenarios'!$C$6*(1+$E102)^4*$G102+'Sensitivity &amp; Scenarios'!$C$11*'Sensitivity &amp; Scenarios'!$C$6*((1+$E102)^4-(1+$E102)^3))/(1+$C102)^('Sensitivity &amp; Scenarios'!$C$18+3)+('Sensitivity &amp; Scenarios'!$C$6*(1+$E102)^5*$G102+'Sensitivity &amp; Scenarios'!$C$11*'Sensitivity &amp; Scenarios'!$C$6*((1+$E102)^5-(1+$E102)^4))/(1+$C102)^('Sensitivity &amp; Scenarios'!$C$18+4)</f>
        <v>24767.880467099691</v>
      </c>
      <c r="I102" s="209">
        <f>('Sensitivity &amp; Scenarios'!$C$6*(1+$E102)^5*$G102+'Sensitivity &amp; Scenarios'!$C$11*'Sensitivity &amp; Scenarios'!$C$6*((1+$E102)^5-(1+$E102)^4))*(1+$D102)/($C102-$D102)/(1+$C102)^('Sensitivity &amp; Scenarios'!$C$18+4)</f>
        <v>81734.235048442599</v>
      </c>
      <c r="J102" s="209">
        <f>($H102+$I102-'Sensitivity &amp; Scenarios'!$C$15+'Sensitivity &amp; Scenarios'!$C$16)/'Sensitivity &amp; Scenarios'!$C$17</f>
        <v>2528.3003717651004</v>
      </c>
    </row>
    <row r="103" spans="2:10" x14ac:dyDescent="0.3">
      <c r="B103" s="127">
        <v>73</v>
      </c>
      <c r="C103" s="206">
        <f>$D$7+-0.292171*$E$7</f>
        <v>0.13463054943997799</v>
      </c>
      <c r="D103" s="206">
        <f>MIN($D$8+-0.103488*$E$8,'Debt &amp; Cost of Capital'!$C$38)</f>
        <v>5.4379072000000001E-2</v>
      </c>
      <c r="E103" s="207">
        <f>$D$9+-0.251977*$E$9</f>
        <v>0.15966178770254635</v>
      </c>
      <c r="F103" s="207">
        <f>$D$10+0.152563*$E$10</f>
        <v>0.1468307559999999</v>
      </c>
      <c r="G103" s="208">
        <f>$F103*(1-'Sensitivity &amp; Scenarios'!$C$12)+'Sensitivity &amp; Scenarios'!$C$9*'Sensitivity &amp; Scenarios'!$C$12-'Sensitivity &amp; Scenarios'!$C$10</f>
        <v>7.9068872803264634E-2</v>
      </c>
      <c r="H103" s="209">
        <f>('Sensitivity &amp; Scenarios'!$C$6*(1+$E103)^1*$G103+'Sensitivity &amp; Scenarios'!$C$11*'Sensitivity &amp; Scenarios'!$C$6*((1+$E103)^1-(1+$E103)^0))*'Sensitivity &amp; Scenarios'!$C$18/(1+$C103)^'Sensitivity &amp; Scenarios'!$C$18+('Sensitivity &amp; Scenarios'!$C$6*(1+$E103)^2*$G103+'Sensitivity &amp; Scenarios'!$C$11*'Sensitivity &amp; Scenarios'!$C$6*((1+$E103)^2-(1+$E103)^1))/(1+$C103)^('Sensitivity &amp; Scenarios'!$C$18+1)+('Sensitivity &amp; Scenarios'!$C$6*(1+$E103)^3*$G103+'Sensitivity &amp; Scenarios'!$C$11*'Sensitivity &amp; Scenarios'!$C$6*((1+$E103)^3-(1+$E103)^2))/(1+$C103)^('Sensitivity &amp; Scenarios'!$C$18+2)+('Sensitivity &amp; Scenarios'!$C$6*(1+$E103)^4*$G103+'Sensitivity &amp; Scenarios'!$C$11*'Sensitivity &amp; Scenarios'!$C$6*((1+$E103)^4-(1+$E103)^3))/(1+$C103)^('Sensitivity &amp; Scenarios'!$C$18+3)+('Sensitivity &amp; Scenarios'!$C$6*(1+$E103)^5*$G103+'Sensitivity &amp; Scenarios'!$C$11*'Sensitivity &amp; Scenarios'!$C$6*((1+$E103)^5-(1+$E103)^4))/(1+$C103)^('Sensitivity &amp; Scenarios'!$C$18+4)</f>
        <v>23163.737564429248</v>
      </c>
      <c r="I103" s="209">
        <f>('Sensitivity &amp; Scenarios'!$C$6*(1+$E103)^5*$G103+'Sensitivity &amp; Scenarios'!$C$11*'Sensitivity &amp; Scenarios'!$C$6*((1+$E103)^5-(1+$E103)^4))*(1+$D103)/($C103-$D103)/(1+$C103)^('Sensitivity &amp; Scenarios'!$C$18+4)</f>
        <v>68354.294878577042</v>
      </c>
      <c r="J103" s="209">
        <f>($H103+$I103-'Sensitivity &amp; Scenarios'!$C$15+'Sensitivity &amp; Scenarios'!$C$16)/'Sensitivity &amp; Scenarios'!$C$17</f>
        <v>2212.9037586703198</v>
      </c>
    </row>
    <row r="104" spans="2:10" x14ac:dyDescent="0.3">
      <c r="B104" s="127">
        <v>74</v>
      </c>
      <c r="C104" s="206">
        <f>$D$7+1.471492*$E$7</f>
        <v>0.15226717943997797</v>
      </c>
      <c r="D104" s="206">
        <f>MIN($D$8+-2.566658*$E$8,'Debt &amp; Cost of Capital'!$C$38)</f>
        <v>3.9600051999999997E-2</v>
      </c>
      <c r="E104" s="207">
        <f>$D$9+-0.23685*$E$9</f>
        <v>0.16011559770254635</v>
      </c>
      <c r="F104" s="207">
        <f>$D$10+0.176512*$E$10</f>
        <v>0.1471181439999999</v>
      </c>
      <c r="G104" s="208">
        <f>$F104*(1-'Sensitivity &amp; Scenarios'!$C$12)+'Sensitivity &amp; Scenarios'!$C$9*'Sensitivity &amp; Scenarios'!$C$12-'Sensitivity &amp; Scenarios'!$C$10</f>
        <v>7.9283925243664621E-2</v>
      </c>
      <c r="H104" s="209">
        <f>('Sensitivity &amp; Scenarios'!$C$6*(1+$E104)^1*$G104+'Sensitivity &amp; Scenarios'!$C$11*'Sensitivity &amp; Scenarios'!$C$6*((1+$E104)^1-(1+$E104)^0))*'Sensitivity &amp; Scenarios'!$C$18/(1+$C104)^'Sensitivity &amp; Scenarios'!$C$18+('Sensitivity &amp; Scenarios'!$C$6*(1+$E104)^2*$G104+'Sensitivity &amp; Scenarios'!$C$11*'Sensitivity &amp; Scenarios'!$C$6*((1+$E104)^2-(1+$E104)^1))/(1+$C104)^('Sensitivity &amp; Scenarios'!$C$18+1)+('Sensitivity &amp; Scenarios'!$C$6*(1+$E104)^3*$G104+'Sensitivity &amp; Scenarios'!$C$11*'Sensitivity &amp; Scenarios'!$C$6*((1+$E104)^3-(1+$E104)^2))/(1+$C104)^('Sensitivity &amp; Scenarios'!$C$18+2)+('Sensitivity &amp; Scenarios'!$C$6*(1+$E104)^4*$G104+'Sensitivity &amp; Scenarios'!$C$11*'Sensitivity &amp; Scenarios'!$C$6*((1+$E104)^4-(1+$E104)^3))/(1+$C104)^('Sensitivity &amp; Scenarios'!$C$18+3)+('Sensitivity &amp; Scenarios'!$C$6*(1+$E104)^5*$G104+'Sensitivity &amp; Scenarios'!$C$11*'Sensitivity &amp; Scenarios'!$C$6*((1+$E104)^5-(1+$E104)^4))/(1+$C104)^('Sensitivity &amp; Scenarios'!$C$18+4)</f>
        <v>22265.790965157496</v>
      </c>
      <c r="I104" s="209">
        <f>('Sensitivity &amp; Scenarios'!$C$6*(1+$E104)^5*$G104+'Sensitivity &amp; Scenarios'!$C$11*'Sensitivity &amp; Scenarios'!$C$6*((1+$E104)^5-(1+$E104)^4))*(1+$D104)/($C104-$D104)/(1+$C104)^('Sensitivity &amp; Scenarios'!$C$18+4)</f>
        <v>44902.157106957973</v>
      </c>
      <c r="J104" s="209">
        <f>($H104+$I104-'Sensitivity &amp; Scenarios'!$C$15+'Sensitivity &amp; Scenarios'!$C$16)/'Sensitivity &amp; Scenarios'!$C$17</f>
        <v>1700.36427914571</v>
      </c>
    </row>
    <row r="105" spans="2:10" x14ac:dyDescent="0.3">
      <c r="B105" s="127">
        <v>75</v>
      </c>
      <c r="C105" s="206">
        <f>$D$7+0.295994*$E$7</f>
        <v>0.14051219943997798</v>
      </c>
      <c r="D105" s="206">
        <f>MIN($D$8+-0.371915*$E$8,'Debt &amp; Cost of Capital'!$C$38)</f>
        <v>5.2768509999999998E-2</v>
      </c>
      <c r="E105" s="207">
        <f>$D$9+-1.756722*$E$9</f>
        <v>0.11451943770254634</v>
      </c>
      <c r="F105" s="207">
        <f>$D$10+0.327995*$E$10</f>
        <v>0.14893593999999991</v>
      </c>
      <c r="G105" s="208">
        <f>$F105*(1-'Sensitivity &amp; Scenarios'!$C$12)+'Sensitivity &amp; Scenarios'!$C$9*'Sensitivity &amp; Scenarios'!$C$12-'Sensitivity &amp; Scenarios'!$C$10</f>
        <v>8.0644181990464636E-2</v>
      </c>
      <c r="H105" s="209">
        <f>('Sensitivity &amp; Scenarios'!$C$6*(1+$E105)^1*$G105+'Sensitivity &amp; Scenarios'!$C$11*'Sensitivity &amp; Scenarios'!$C$6*((1+$E105)^1-(1+$E105)^0))*'Sensitivity &amp; Scenarios'!$C$18/(1+$C105)^'Sensitivity &amp; Scenarios'!$C$18+('Sensitivity &amp; Scenarios'!$C$6*(1+$E105)^2*$G105+'Sensitivity &amp; Scenarios'!$C$11*'Sensitivity &amp; Scenarios'!$C$6*((1+$E105)^2-(1+$E105)^1))/(1+$C105)^('Sensitivity &amp; Scenarios'!$C$18+1)+('Sensitivity &amp; Scenarios'!$C$6*(1+$E105)^3*$G105+'Sensitivity &amp; Scenarios'!$C$11*'Sensitivity &amp; Scenarios'!$C$6*((1+$E105)^3-(1+$E105)^2))/(1+$C105)^('Sensitivity &amp; Scenarios'!$C$18+2)+('Sensitivity &amp; Scenarios'!$C$6*(1+$E105)^4*$G105+'Sensitivity &amp; Scenarios'!$C$11*'Sensitivity &amp; Scenarios'!$C$6*((1+$E105)^4-(1+$E105)^3))/(1+$C105)^('Sensitivity &amp; Scenarios'!$C$18+3)+('Sensitivity &amp; Scenarios'!$C$6*(1+$E105)^5*$G105+'Sensitivity &amp; Scenarios'!$C$11*'Sensitivity &amp; Scenarios'!$C$6*((1+$E105)^5-(1+$E105)^4))/(1+$C105)^('Sensitivity &amp; Scenarios'!$C$18+4)</f>
        <v>19657.23675969489</v>
      </c>
      <c r="I105" s="209">
        <f>('Sensitivity &amp; Scenarios'!$C$6*(1+$E105)^5*$G105+'Sensitivity &amp; Scenarios'!$C$11*'Sensitivity &amp; Scenarios'!$C$6*((1+$E105)^5-(1+$E105)^4))*(1+$D105)/($C105-$D105)/(1+$C105)^('Sensitivity &amp; Scenarios'!$C$18+4)</f>
        <v>48768.694601657924</v>
      </c>
      <c r="J105" s="209">
        <f>($H105+$I105-'Sensitivity &amp; Scenarios'!$C$15+'Sensitivity &amp; Scenarios'!$C$16)/'Sensitivity &amp; Scenarios'!$C$17</f>
        <v>1726.8432880269754</v>
      </c>
    </row>
    <row r="106" spans="2:10" x14ac:dyDescent="0.3">
      <c r="B106" s="127">
        <v>76</v>
      </c>
      <c r="C106" s="206">
        <f>$D$7+1.72735*$E$7</f>
        <v>0.15482575943997798</v>
      </c>
      <c r="D106" s="206">
        <f>MIN($D$8+-1.533861*$E$8,'Debt &amp; Cost of Capital'!$C$38)</f>
        <v>4.5796834000000002E-2</v>
      </c>
      <c r="E106" s="207">
        <f>$D$9+0.863828*$E$9</f>
        <v>0.19313593770254633</v>
      </c>
      <c r="F106" s="207">
        <f>$D$10+-0.328525*$E$10</f>
        <v>0.1410576999999999</v>
      </c>
      <c r="G106" s="208">
        <f>$F106*(1-'Sensitivity &amp; Scenarios'!$C$12)+'Sensitivity &amp; Scenarios'!$C$9*'Sensitivity &amp; Scenarios'!$C$12-'Sensitivity &amp; Scenarios'!$C$10</f>
        <v>7.4748894998464627E-2</v>
      </c>
      <c r="H106" s="209">
        <f>('Sensitivity &amp; Scenarios'!$C$6*(1+$E106)^1*$G106+'Sensitivity &amp; Scenarios'!$C$11*'Sensitivity &amp; Scenarios'!$C$6*((1+$E106)^1-(1+$E106)^0))*'Sensitivity &amp; Scenarios'!$C$18/(1+$C106)^'Sensitivity &amp; Scenarios'!$C$18+('Sensitivity &amp; Scenarios'!$C$6*(1+$E106)^2*$G106+'Sensitivity &amp; Scenarios'!$C$11*'Sensitivity &amp; Scenarios'!$C$6*((1+$E106)^2-(1+$E106)^1))/(1+$C106)^('Sensitivity &amp; Scenarios'!$C$18+1)+('Sensitivity &amp; Scenarios'!$C$6*(1+$E106)^3*$G106+'Sensitivity &amp; Scenarios'!$C$11*'Sensitivity &amp; Scenarios'!$C$6*((1+$E106)^3-(1+$E106)^2))/(1+$C106)^('Sensitivity &amp; Scenarios'!$C$18+2)+('Sensitivity &amp; Scenarios'!$C$6*(1+$E106)^4*$G106+'Sensitivity &amp; Scenarios'!$C$11*'Sensitivity &amp; Scenarios'!$C$6*((1+$E106)^4-(1+$E106)^3))/(1+$C106)^('Sensitivity &amp; Scenarios'!$C$18+3)+('Sensitivity &amp; Scenarios'!$C$6*(1+$E106)^5*$G106+'Sensitivity &amp; Scenarios'!$C$11*'Sensitivity &amp; Scenarios'!$C$6*((1+$E106)^5-(1+$E106)^4))/(1+$C106)^('Sensitivity &amp; Scenarios'!$C$18+4)</f>
        <v>23712.26308125701</v>
      </c>
      <c r="I106" s="209">
        <f>('Sensitivity &amp; Scenarios'!$C$6*(1+$E106)^5*$G106+'Sensitivity &amp; Scenarios'!$C$11*'Sensitivity &amp; Scenarios'!$C$6*((1+$E106)^5-(1+$E106)^4))*(1+$D106)/($C106-$D106)/(1+$C106)^('Sensitivity &amp; Scenarios'!$C$18+4)</f>
        <v>52084.566882213236</v>
      </c>
      <c r="J106" s="209">
        <f>($H106+$I106-'Sensitivity &amp; Scenarios'!$C$15+'Sensitivity &amp; Scenarios'!$C$16)/'Sensitivity &amp; Scenarios'!$C$17</f>
        <v>1881.9916840495439</v>
      </c>
    </row>
    <row r="107" spans="2:10" x14ac:dyDescent="0.3">
      <c r="B107" s="127">
        <v>77</v>
      </c>
      <c r="C107" s="206">
        <f>$D$7+-0.061324*$E$7</f>
        <v>0.13693901943997799</v>
      </c>
      <c r="D107" s="206">
        <f>MIN($D$8+-1.052899*$E$8,'Debt &amp; Cost of Capital'!$C$38)</f>
        <v>4.8682606000000003E-2</v>
      </c>
      <c r="E107" s="207">
        <f>$D$9+-0.334456*$E$9</f>
        <v>0.15718741770254635</v>
      </c>
      <c r="F107" s="207">
        <f>$D$10+1.300045*$E$10</f>
        <v>0.1606005399999999</v>
      </c>
      <c r="G107" s="208">
        <f>$F107*(1-'Sensitivity &amp; Scenarios'!$C$12)+'Sensitivity &amp; Scenarios'!$C$9*'Sensitivity &amp; Scenarios'!$C$12-'Sensitivity &amp; Scenarios'!$C$10</f>
        <v>8.937280217046463E-2</v>
      </c>
      <c r="H107" s="209">
        <f>('Sensitivity &amp; Scenarios'!$C$6*(1+$E107)^1*$G107+'Sensitivity &amp; Scenarios'!$C$11*'Sensitivity &amp; Scenarios'!$C$6*((1+$E107)^1-(1+$E107)^0))*'Sensitivity &amp; Scenarios'!$C$18/(1+$C107)^'Sensitivity &amp; Scenarios'!$C$18+('Sensitivity &amp; Scenarios'!$C$6*(1+$E107)^2*$G107+'Sensitivity &amp; Scenarios'!$C$11*'Sensitivity &amp; Scenarios'!$C$6*((1+$E107)^2-(1+$E107)^1))/(1+$C107)^('Sensitivity &amp; Scenarios'!$C$18+1)+('Sensitivity &amp; Scenarios'!$C$6*(1+$E107)^3*$G107+'Sensitivity &amp; Scenarios'!$C$11*'Sensitivity &amp; Scenarios'!$C$6*((1+$E107)^3-(1+$E107)^2))/(1+$C107)^('Sensitivity &amp; Scenarios'!$C$18+2)+('Sensitivity &amp; Scenarios'!$C$6*(1+$E107)^4*$G107+'Sensitivity &amp; Scenarios'!$C$11*'Sensitivity &amp; Scenarios'!$C$6*((1+$E107)^4-(1+$E107)^3))/(1+$C107)^('Sensitivity &amp; Scenarios'!$C$18+3)+('Sensitivity &amp; Scenarios'!$C$6*(1+$E107)^5*$G107+'Sensitivity &amp; Scenarios'!$C$11*'Sensitivity &amp; Scenarios'!$C$6*((1+$E107)^5-(1+$E107)^4))/(1+$C107)^('Sensitivity &amp; Scenarios'!$C$18+4)</f>
        <v>25326.889758050434</v>
      </c>
      <c r="I107" s="209">
        <f>('Sensitivity &amp; Scenarios'!$C$6*(1+$E107)^5*$G107+'Sensitivity &amp; Scenarios'!$C$11*'Sensitivity &amp; Scenarios'!$C$6*((1+$E107)^5-(1+$E107)^4))*(1+$D107)/($C107-$D107)/(1+$C107)^('Sensitivity &amp; Scenarios'!$C$18+4)</f>
        <v>67084.798353336635</v>
      </c>
      <c r="J107" s="209">
        <f>($H107+$I107-'Sensitivity &amp; Scenarios'!$C$15+'Sensitivity &amp; Scenarios'!$C$16)/'Sensitivity &amp; Scenarios'!$C$17</f>
        <v>2231.7141169495571</v>
      </c>
    </row>
    <row r="108" spans="2:10" x14ac:dyDescent="0.3">
      <c r="B108" s="127">
        <v>78</v>
      </c>
      <c r="C108" s="206">
        <f>$D$7+0.582655*$E$7</f>
        <v>0.14337880943997799</v>
      </c>
      <c r="D108" s="206">
        <f>MIN($D$8+1.732312*$E$8,'Debt &amp; Cost of Capital'!$C$38)</f>
        <v>6.5393872000000006E-2</v>
      </c>
      <c r="E108" s="207">
        <f>$D$9+1.177412*$E$9</f>
        <v>0.20254345770254634</v>
      </c>
      <c r="F108" s="207">
        <f>$D$10+0.439087*$E$10</f>
        <v>0.15026904399999991</v>
      </c>
      <c r="G108" s="208">
        <f>$F108*(1-'Sensitivity &amp; Scenarios'!$C$12)+'Sensitivity &amp; Scenarios'!$C$9*'Sensitivity &amp; Scenarios'!$C$12-'Sensitivity &amp; Scenarios'!$C$10</f>
        <v>8.164174371366463E-2</v>
      </c>
      <c r="H108" s="209">
        <f>('Sensitivity &amp; Scenarios'!$C$6*(1+$E108)^1*$G108+'Sensitivity &amp; Scenarios'!$C$11*'Sensitivity &amp; Scenarios'!$C$6*((1+$E108)^1-(1+$E108)^0))*'Sensitivity &amp; Scenarios'!$C$18/(1+$C108)^'Sensitivity &amp; Scenarios'!$C$18+('Sensitivity &amp; Scenarios'!$C$6*(1+$E108)^2*$G108+'Sensitivity &amp; Scenarios'!$C$11*'Sensitivity &amp; Scenarios'!$C$6*((1+$E108)^2-(1+$E108)^1))/(1+$C108)^('Sensitivity &amp; Scenarios'!$C$18+1)+('Sensitivity &amp; Scenarios'!$C$6*(1+$E108)^3*$G108+'Sensitivity &amp; Scenarios'!$C$11*'Sensitivity &amp; Scenarios'!$C$6*((1+$E108)^3-(1+$E108)^2))/(1+$C108)^('Sensitivity &amp; Scenarios'!$C$18+2)+('Sensitivity &amp; Scenarios'!$C$6*(1+$E108)^4*$G108+'Sensitivity &amp; Scenarios'!$C$11*'Sensitivity &amp; Scenarios'!$C$6*((1+$E108)^4-(1+$E108)^3))/(1+$C108)^('Sensitivity &amp; Scenarios'!$C$18+3)+('Sensitivity &amp; Scenarios'!$C$6*(1+$E108)^5*$G108+'Sensitivity &amp; Scenarios'!$C$11*'Sensitivity &amp; Scenarios'!$C$6*((1+$E108)^5-(1+$E108)^4))/(1+$C108)^('Sensitivity &amp; Scenarios'!$C$18+4)</f>
        <v>27085.584743843752</v>
      </c>
      <c r="I108" s="209">
        <f>('Sensitivity &amp; Scenarios'!$C$6*(1+$E108)^5*$G108+'Sensitivity &amp; Scenarios'!$C$11*'Sensitivity &amp; Scenarios'!$C$6*((1+$E108)^5-(1+$E108)^4))*(1+$D108)/($C108-$D108)/(1+$C108)^('Sensitivity &amp; Scenarios'!$C$18+4)</f>
        <v>87444.879648491449</v>
      </c>
      <c r="J108" s="209">
        <f>($H108+$I108-'Sensitivity &amp; Scenarios'!$C$15+'Sensitivity &amp; Scenarios'!$C$16)/'Sensitivity &amp; Scenarios'!$C$17</f>
        <v>2697.2872915670082</v>
      </c>
    </row>
    <row r="109" spans="2:10" x14ac:dyDescent="0.3">
      <c r="B109" s="127">
        <v>79</v>
      </c>
      <c r="C109" s="206">
        <f>$D$7+1.743935*$E$7</f>
        <v>0.15499160943997797</v>
      </c>
      <c r="D109" s="206">
        <f>MIN($D$8+0.438993*$E$8,'Debt &amp; Cost of Capital'!$C$38)</f>
        <v>5.7633957999999999E-2</v>
      </c>
      <c r="E109" s="207">
        <f>$D$9+0.827988*$E$9</f>
        <v>0.19206073770254634</v>
      </c>
      <c r="F109" s="207">
        <f>$D$10+-0.296571*$E$10</f>
        <v>0.14144114799999991</v>
      </c>
      <c r="G109" s="208">
        <f>$F109*(1-'Sensitivity &amp; Scenarios'!$C$12)+'Sensitivity &amp; Scenarios'!$C$9*'Sensitivity &amp; Scenarios'!$C$12-'Sensitivity &amp; Scenarios'!$C$10</f>
        <v>7.5035829136864629E-2</v>
      </c>
      <c r="H109" s="209">
        <f>('Sensitivity &amp; Scenarios'!$C$6*(1+$E109)^1*$G109+'Sensitivity &amp; Scenarios'!$C$11*'Sensitivity &amp; Scenarios'!$C$6*((1+$E109)^1-(1+$E109)^0))*'Sensitivity &amp; Scenarios'!$C$18/(1+$C109)^'Sensitivity &amp; Scenarios'!$C$18+('Sensitivity &amp; Scenarios'!$C$6*(1+$E109)^2*$G109+'Sensitivity &amp; Scenarios'!$C$11*'Sensitivity &amp; Scenarios'!$C$6*((1+$E109)^2-(1+$E109)^1))/(1+$C109)^('Sensitivity &amp; Scenarios'!$C$18+1)+('Sensitivity &amp; Scenarios'!$C$6*(1+$E109)^3*$G109+'Sensitivity &amp; Scenarios'!$C$11*'Sensitivity &amp; Scenarios'!$C$6*((1+$E109)^3-(1+$E109)^2))/(1+$C109)^('Sensitivity &amp; Scenarios'!$C$18+2)+('Sensitivity &amp; Scenarios'!$C$6*(1+$E109)^4*$G109+'Sensitivity &amp; Scenarios'!$C$11*'Sensitivity &amp; Scenarios'!$C$6*((1+$E109)^4-(1+$E109)^3))/(1+$C109)^('Sensitivity &amp; Scenarios'!$C$18+3)+('Sensitivity &amp; Scenarios'!$C$6*(1+$E109)^5*$G109+'Sensitivity &amp; Scenarios'!$C$11*'Sensitivity &amp; Scenarios'!$C$6*((1+$E109)^5-(1+$E109)^4))/(1+$C109)^('Sensitivity &amp; Scenarios'!$C$18+4)</f>
        <v>23685.958136218967</v>
      </c>
      <c r="I109" s="209">
        <f>('Sensitivity &amp; Scenarios'!$C$6*(1+$E109)^5*$G109+'Sensitivity &amp; Scenarios'!$C$11*'Sensitivity &amp; Scenarios'!$C$6*((1+$E109)^5-(1+$E109)^4))*(1+$D109)/($C109-$D109)/(1+$C109)^('Sensitivity &amp; Scenarios'!$C$18+4)</f>
        <v>58813.530139190319</v>
      </c>
      <c r="J109" s="209">
        <f>($H109+$I109-'Sensitivity &amp; Scenarios'!$C$15+'Sensitivity &amp; Scenarios'!$C$16)/'Sensitivity &amp; Scenarios'!$C$17</f>
        <v>2023.0744396698628</v>
      </c>
    </row>
    <row r="110" spans="2:10" x14ac:dyDescent="0.3">
      <c r="B110" s="127">
        <v>80</v>
      </c>
      <c r="C110" s="206">
        <f>$D$7+0.066546*$E$7</f>
        <v>0.13821771943997799</v>
      </c>
      <c r="D110" s="206">
        <f>MIN($D$8+-0.697424*$E$8,'Debt &amp; Cost of Capital'!$C$38)</f>
        <v>5.0815456000000002E-2</v>
      </c>
      <c r="E110" s="207">
        <f>$D$9+0.989584*$E$9</f>
        <v>0.19690861770254633</v>
      </c>
      <c r="F110" s="207">
        <f>$D$10+-1.178304*$E$10</f>
        <v>0.1308603519999999</v>
      </c>
      <c r="G110" s="208">
        <f>$F110*(1-'Sensitivity &amp; Scenarios'!$C$12)+'Sensitivity &amp; Scenarios'!$C$9*'Sensitivity &amp; Scenarios'!$C$12-'Sensitivity &amp; Scenarios'!$C$10</f>
        <v>6.7118219490064635E-2</v>
      </c>
      <c r="H110" s="209">
        <f>('Sensitivity &amp; Scenarios'!$C$6*(1+$E110)^1*$G110+'Sensitivity &amp; Scenarios'!$C$11*'Sensitivity &amp; Scenarios'!$C$6*((1+$E110)^1-(1+$E110)^0))*'Sensitivity &amp; Scenarios'!$C$18/(1+$C110)^'Sensitivity &amp; Scenarios'!$C$18+('Sensitivity &amp; Scenarios'!$C$6*(1+$E110)^2*$G110+'Sensitivity &amp; Scenarios'!$C$11*'Sensitivity &amp; Scenarios'!$C$6*((1+$E110)^2-(1+$E110)^1))/(1+$C110)^('Sensitivity &amp; Scenarios'!$C$18+1)+('Sensitivity &amp; Scenarios'!$C$6*(1+$E110)^3*$G110+'Sensitivity &amp; Scenarios'!$C$11*'Sensitivity &amp; Scenarios'!$C$6*((1+$E110)^3-(1+$E110)^2))/(1+$C110)^('Sensitivity &amp; Scenarios'!$C$18+2)+('Sensitivity &amp; Scenarios'!$C$6*(1+$E110)^4*$G110+'Sensitivity &amp; Scenarios'!$C$11*'Sensitivity &amp; Scenarios'!$C$6*((1+$E110)^4-(1+$E110)^3))/(1+$C110)^('Sensitivity &amp; Scenarios'!$C$18+3)+('Sensitivity &amp; Scenarios'!$C$6*(1+$E110)^5*$G110+'Sensitivity &amp; Scenarios'!$C$11*'Sensitivity &amp; Scenarios'!$C$6*((1+$E110)^5-(1+$E110)^4))/(1+$C110)^('Sensitivity &amp; Scenarios'!$C$18+4)</f>
        <v>22990.851676424645</v>
      </c>
      <c r="I110" s="209">
        <f>('Sensitivity &amp; Scenarios'!$C$6*(1+$E110)^5*$G110+'Sensitivity &amp; Scenarios'!$C$11*'Sensitivity &amp; Scenarios'!$C$6*((1+$E110)^5-(1+$E110)^4))*(1+$D110)/($C110-$D110)/(1+$C110)^('Sensitivity &amp; Scenarios'!$C$18+4)</f>
        <v>65301.667617021994</v>
      </c>
      <c r="J110" s="209">
        <f>($H110+$I110-'Sensitivity &amp; Scenarios'!$C$15+'Sensitivity &amp; Scenarios'!$C$16)/'Sensitivity &amp; Scenarios'!$C$17</f>
        <v>2145.010653837739</v>
      </c>
    </row>
    <row r="111" spans="2:10" x14ac:dyDescent="0.3">
      <c r="B111" s="127">
        <v>81</v>
      </c>
      <c r="C111" s="206">
        <f>$D$7+0.78235*$E$7</f>
        <v>0.14537575943997799</v>
      </c>
      <c r="D111" s="206">
        <f>MIN($D$8+-0.190651*$E$8,'Debt &amp; Cost of Capital'!$C$38)</f>
        <v>5.3856094E-2</v>
      </c>
      <c r="E111" s="207">
        <f>$D$9+1.171247*$E$9</f>
        <v>0.20235850770254632</v>
      </c>
      <c r="F111" s="207">
        <f>$D$10+0.750869*$E$10</f>
        <v>0.15401042799999992</v>
      </c>
      <c r="G111" s="208">
        <f>$F111*(1-'Sensitivity &amp; Scenarios'!$C$12)+'Sensitivity &amp; Scenarios'!$C$9*'Sensitivity &amp; Scenarios'!$C$12-'Sensitivity &amp; Scenarios'!$C$10</f>
        <v>8.4441421360864646E-2</v>
      </c>
      <c r="H111" s="209">
        <f>('Sensitivity &amp; Scenarios'!$C$6*(1+$E111)^1*$G111+'Sensitivity &amp; Scenarios'!$C$11*'Sensitivity &amp; Scenarios'!$C$6*((1+$E111)^1-(1+$E111)^0))*'Sensitivity &amp; Scenarios'!$C$18/(1+$C111)^'Sensitivity &amp; Scenarios'!$C$18+('Sensitivity &amp; Scenarios'!$C$6*(1+$E111)^2*$G111+'Sensitivity &amp; Scenarios'!$C$11*'Sensitivity &amp; Scenarios'!$C$6*((1+$E111)^2-(1+$E111)^1))/(1+$C111)^('Sensitivity &amp; Scenarios'!$C$18+1)+('Sensitivity &amp; Scenarios'!$C$6*(1+$E111)^3*$G111+'Sensitivity &amp; Scenarios'!$C$11*'Sensitivity &amp; Scenarios'!$C$6*((1+$E111)^3-(1+$E111)^2))/(1+$C111)^('Sensitivity &amp; Scenarios'!$C$18+2)+('Sensitivity &amp; Scenarios'!$C$6*(1+$E111)^4*$G111+'Sensitivity &amp; Scenarios'!$C$11*'Sensitivity &amp; Scenarios'!$C$6*((1+$E111)^4-(1+$E111)^3))/(1+$C111)^('Sensitivity &amp; Scenarios'!$C$18+3)+('Sensitivity &amp; Scenarios'!$C$6*(1+$E111)^5*$G111+'Sensitivity &amp; Scenarios'!$C$11*'Sensitivity &amp; Scenarios'!$C$6*((1+$E111)^5-(1+$E111)^4))/(1+$C111)^('Sensitivity &amp; Scenarios'!$C$18+4)</f>
        <v>27685.374794432653</v>
      </c>
      <c r="I111" s="209">
        <f>('Sensitivity &amp; Scenarios'!$C$6*(1+$E111)^5*$G111+'Sensitivity &amp; Scenarios'!$C$11*'Sensitivity &amp; Scenarios'!$C$6*((1+$E111)^5-(1+$E111)^4))*(1+$D111)/($C111-$D111)/(1+$C111)^('Sensitivity &amp; Scenarios'!$C$18+4)</f>
        <v>75087.776283716623</v>
      </c>
      <c r="J111" s="209">
        <f>($H111+$I111-'Sensitivity &amp; Scenarios'!$C$15+'Sensitivity &amp; Scenarios'!$C$16)/'Sensitivity &amp; Scenarios'!$C$17</f>
        <v>2449.8102333821726</v>
      </c>
    </row>
    <row r="112" spans="2:10" x14ac:dyDescent="0.3">
      <c r="B112" s="127">
        <v>82</v>
      </c>
      <c r="C112" s="206">
        <f>$D$7+1.820646*$E$7</f>
        <v>0.15575871943997799</v>
      </c>
      <c r="D112" s="206">
        <f>MIN($D$8+0.730775*$E$8,'Debt &amp; Cost of Capital'!$C$38)</f>
        <v>5.9384649999999997E-2</v>
      </c>
      <c r="E112" s="207">
        <f>$D$9+-1.57204*$E$9</f>
        <v>0.12005989770254634</v>
      </c>
      <c r="F112" s="207">
        <f>$D$10+-0.066953*$E$10</f>
        <v>0.14419656399999992</v>
      </c>
      <c r="G112" s="208">
        <f>$F112*(1-'Sensitivity &amp; Scenarios'!$C$12)+'Sensitivity &amp; Scenarios'!$C$9*'Sensitivity &amp; Scenarios'!$C$12-'Sensitivity &amp; Scenarios'!$C$10</f>
        <v>7.7097706929664639E-2</v>
      </c>
      <c r="H112" s="209">
        <f>('Sensitivity &amp; Scenarios'!$C$6*(1+$E112)^1*$G112+'Sensitivity &amp; Scenarios'!$C$11*'Sensitivity &amp; Scenarios'!$C$6*((1+$E112)^1-(1+$E112)^0))*'Sensitivity &amp; Scenarios'!$C$18/(1+$C112)^'Sensitivity &amp; Scenarios'!$C$18+('Sensitivity &amp; Scenarios'!$C$6*(1+$E112)^2*$G112+'Sensitivity &amp; Scenarios'!$C$11*'Sensitivity &amp; Scenarios'!$C$6*((1+$E112)^2-(1+$E112)^1))/(1+$C112)^('Sensitivity &amp; Scenarios'!$C$18+1)+('Sensitivity &amp; Scenarios'!$C$6*(1+$E112)^3*$G112+'Sensitivity &amp; Scenarios'!$C$11*'Sensitivity &amp; Scenarios'!$C$6*((1+$E112)^3-(1+$E112)^2))/(1+$C112)^('Sensitivity &amp; Scenarios'!$C$18+2)+('Sensitivity &amp; Scenarios'!$C$6*(1+$E112)^4*$G112+'Sensitivity &amp; Scenarios'!$C$11*'Sensitivity &amp; Scenarios'!$C$6*((1+$E112)^4-(1+$E112)^3))/(1+$C112)^('Sensitivity &amp; Scenarios'!$C$18+3)+('Sensitivity &amp; Scenarios'!$C$6*(1+$E112)^5*$G112+'Sensitivity &amp; Scenarios'!$C$11*'Sensitivity &amp; Scenarios'!$C$6*((1+$E112)^5-(1+$E112)^4))/(1+$C112)^('Sensitivity &amp; Scenarios'!$C$18+4)</f>
        <v>18608.620620191992</v>
      </c>
      <c r="I112" s="209">
        <f>('Sensitivity &amp; Scenarios'!$C$6*(1+$E112)^5*$G112+'Sensitivity &amp; Scenarios'!$C$11*'Sensitivity &amp; Scenarios'!$C$6*((1+$E112)^5-(1+$E112)^4))*(1+$D112)/($C112-$D112)/(1+$C112)^('Sensitivity &amp; Scenarios'!$C$18+4)</f>
        <v>41636.657557206418</v>
      </c>
      <c r="J112" s="209">
        <f>($H112+$I112-'Sensitivity &amp; Scenarios'!$C$15+'Sensitivity &amp; Scenarios'!$C$16)/'Sensitivity &amp; Scenarios'!$C$17</f>
        <v>1554.6505489296221</v>
      </c>
    </row>
    <row r="113" spans="2:10" x14ac:dyDescent="0.3">
      <c r="B113" s="127">
        <v>83</v>
      </c>
      <c r="C113" s="206">
        <f>$D$7+-1.172007*$E$7</f>
        <v>0.12583218943997798</v>
      </c>
      <c r="D113" s="206">
        <f>MIN($D$8+-0.51828*$E$8,'Debt &amp; Cost of Capital'!$C$38)</f>
        <v>5.1890320000000004E-2</v>
      </c>
      <c r="E113" s="207">
        <f>$D$9+1.511228*$E$9</f>
        <v>0.21255793770254633</v>
      </c>
      <c r="F113" s="207">
        <f>$D$10+0.637534*$E$10</f>
        <v>0.1526504079999999</v>
      </c>
      <c r="G113" s="208">
        <f>$F113*(1-'Sensitivity &amp; Scenarios'!$C$12)+'Sensitivity &amp; Scenarios'!$C$9*'Sensitivity &amp; Scenarios'!$C$12-'Sensitivity &amp; Scenarios'!$C$10</f>
        <v>8.3423718394864635E-2</v>
      </c>
      <c r="H113" s="209">
        <f>('Sensitivity &amp; Scenarios'!$C$6*(1+$E113)^1*$G113+'Sensitivity &amp; Scenarios'!$C$11*'Sensitivity &amp; Scenarios'!$C$6*((1+$E113)^1-(1+$E113)^0))*'Sensitivity &amp; Scenarios'!$C$18/(1+$C113)^'Sensitivity &amp; Scenarios'!$C$18+('Sensitivity &amp; Scenarios'!$C$6*(1+$E113)^2*$G113+'Sensitivity &amp; Scenarios'!$C$11*'Sensitivity &amp; Scenarios'!$C$6*((1+$E113)^2-(1+$E113)^1))/(1+$C113)^('Sensitivity &amp; Scenarios'!$C$18+1)+('Sensitivity &amp; Scenarios'!$C$6*(1+$E113)^3*$G113+'Sensitivity &amp; Scenarios'!$C$11*'Sensitivity &amp; Scenarios'!$C$6*((1+$E113)^3-(1+$E113)^2))/(1+$C113)^('Sensitivity &amp; Scenarios'!$C$18+2)+('Sensitivity &amp; Scenarios'!$C$6*(1+$E113)^4*$G113+'Sensitivity &amp; Scenarios'!$C$11*'Sensitivity &amp; Scenarios'!$C$6*((1+$E113)^4-(1+$E113)^3))/(1+$C113)^('Sensitivity &amp; Scenarios'!$C$18+3)+('Sensitivity &amp; Scenarios'!$C$6*(1+$E113)^5*$G113+'Sensitivity &amp; Scenarios'!$C$11*'Sensitivity &amp; Scenarios'!$C$6*((1+$E113)^5-(1+$E113)^4))/(1+$C113)^('Sensitivity &amp; Scenarios'!$C$18+4)</f>
        <v>29846.159147615599</v>
      </c>
      <c r="I113" s="209">
        <f>('Sensitivity &amp; Scenarios'!$C$6*(1+$E113)^5*$G113+'Sensitivity &amp; Scenarios'!$C$11*'Sensitivity &amp; Scenarios'!$C$6*((1+$E113)^5-(1+$E113)^4))*(1+$D113)/($C113-$D113)/(1+$C113)^('Sensitivity &amp; Scenarios'!$C$18+4)</f>
        <v>104545.30239595835</v>
      </c>
      <c r="J113" s="209">
        <f>($H113+$I113-'Sensitivity &amp; Scenarios'!$C$15+'Sensitivity &amp; Scenarios'!$C$16)/'Sensitivity &amp; Scenarios'!$C$17</f>
        <v>3115.3369782820469</v>
      </c>
    </row>
    <row r="114" spans="2:10" x14ac:dyDescent="0.3">
      <c r="B114" s="127">
        <v>84</v>
      </c>
      <c r="C114" s="206">
        <f>$D$7+-0.69893*$E$7</f>
        <v>0.13056295943997798</v>
      </c>
      <c r="D114" s="206">
        <f>MIN($D$8+-1.013717*$E$8,'Debt &amp; Cost of Capital'!$C$38)</f>
        <v>4.8917698000000003E-2</v>
      </c>
      <c r="E114" s="207">
        <f>$D$9+0.032782*$E$9</f>
        <v>0.16820455770254633</v>
      </c>
      <c r="F114" s="207">
        <f>$D$10+-1.21656*$E$10</f>
        <v>0.1304012799999999</v>
      </c>
      <c r="G114" s="208">
        <f>$F114*(1-'Sensitivity &amp; Scenarios'!$C$12)+'Sensitivity &amp; Scenarios'!$C$9*'Sensitivity &amp; Scenarios'!$C$12-'Sensitivity &amp; Scenarios'!$C$10</f>
        <v>6.6774695912464627E-2</v>
      </c>
      <c r="H114" s="209">
        <f>('Sensitivity &amp; Scenarios'!$C$6*(1+$E114)^1*$G114+'Sensitivity &amp; Scenarios'!$C$11*'Sensitivity &amp; Scenarios'!$C$6*((1+$E114)^1-(1+$E114)^0))*'Sensitivity &amp; Scenarios'!$C$18/(1+$C114)^'Sensitivity &amp; Scenarios'!$C$18+('Sensitivity &amp; Scenarios'!$C$6*(1+$E114)^2*$G114+'Sensitivity &amp; Scenarios'!$C$11*'Sensitivity &amp; Scenarios'!$C$6*((1+$E114)^2-(1+$E114)^1))/(1+$C114)^('Sensitivity &amp; Scenarios'!$C$18+1)+('Sensitivity &amp; Scenarios'!$C$6*(1+$E114)^3*$G114+'Sensitivity &amp; Scenarios'!$C$11*'Sensitivity &amp; Scenarios'!$C$6*((1+$E114)^3-(1+$E114)^2))/(1+$C114)^('Sensitivity &amp; Scenarios'!$C$18+2)+('Sensitivity &amp; Scenarios'!$C$6*(1+$E114)^4*$G114+'Sensitivity &amp; Scenarios'!$C$11*'Sensitivity &amp; Scenarios'!$C$6*((1+$E114)^4-(1+$E114)^3))/(1+$C114)^('Sensitivity &amp; Scenarios'!$C$18+3)+('Sensitivity &amp; Scenarios'!$C$6*(1+$E114)^5*$G114+'Sensitivity &amp; Scenarios'!$C$11*'Sensitivity &amp; Scenarios'!$C$6*((1+$E114)^5-(1+$E114)^4))/(1+$C114)^('Sensitivity &amp; Scenarios'!$C$18+4)</f>
        <v>21008.750498571892</v>
      </c>
      <c r="I114" s="209">
        <f>('Sensitivity &amp; Scenarios'!$C$6*(1+$E114)^5*$G114+'Sensitivity &amp; Scenarios'!$C$11*'Sensitivity &amp; Scenarios'!$C$6*((1+$E114)^5-(1+$E114)^4))*(1+$D114)/($C114-$D114)/(1+$C114)^('Sensitivity &amp; Scenarios'!$C$18+4)</f>
        <v>61820.347010574616</v>
      </c>
      <c r="J114" s="209">
        <f>($H114+$I114-'Sensitivity &amp; Scenarios'!$C$15+'Sensitivity &amp; Scenarios'!$C$16)/'Sensitivity &amp; Scenarios'!$C$17</f>
        <v>2030.0123107068987</v>
      </c>
    </row>
    <row r="115" spans="2:10" x14ac:dyDescent="0.3">
      <c r="B115" s="127">
        <v>85</v>
      </c>
      <c r="C115" s="206">
        <f>$D$7+-0.67114*$E$7</f>
        <v>0.13084085943997797</v>
      </c>
      <c r="D115" s="206">
        <f>MIN($D$8+0.312009*$E$8,'Debt &amp; Cost of Capital'!$C$38)</f>
        <v>5.6872053999999998E-2</v>
      </c>
      <c r="E115" s="207">
        <f>$D$9+1.155312*$E$9</f>
        <v>0.20188045770254634</v>
      </c>
      <c r="F115" s="207">
        <f>$D$10+0.608761*$E$10</f>
        <v>0.1523051319999999</v>
      </c>
      <c r="G115" s="208">
        <f>$F115*(1-'Sensitivity &amp; Scenarios'!$C$12)+'Sensitivity &amp; Scenarios'!$C$9*'Sensitivity &amp; Scenarios'!$C$12-'Sensitivity &amp; Scenarios'!$C$10</f>
        <v>8.3165348364064626E-2</v>
      </c>
      <c r="H115" s="209">
        <f>('Sensitivity &amp; Scenarios'!$C$6*(1+$E115)^1*$G115+'Sensitivity &amp; Scenarios'!$C$11*'Sensitivity &amp; Scenarios'!$C$6*((1+$E115)^1-(1+$E115)^0))*'Sensitivity &amp; Scenarios'!$C$18/(1+$C115)^'Sensitivity &amp; Scenarios'!$C$18+('Sensitivity &amp; Scenarios'!$C$6*(1+$E115)^2*$G115+'Sensitivity &amp; Scenarios'!$C$11*'Sensitivity &amp; Scenarios'!$C$6*((1+$E115)^2-(1+$E115)^1))/(1+$C115)^('Sensitivity &amp; Scenarios'!$C$18+1)+('Sensitivity &amp; Scenarios'!$C$6*(1+$E115)^3*$G115+'Sensitivity &amp; Scenarios'!$C$11*'Sensitivity &amp; Scenarios'!$C$6*((1+$E115)^3-(1+$E115)^2))/(1+$C115)^('Sensitivity &amp; Scenarios'!$C$18+2)+('Sensitivity &amp; Scenarios'!$C$6*(1+$E115)^4*$G115+'Sensitivity &amp; Scenarios'!$C$11*'Sensitivity &amp; Scenarios'!$C$6*((1+$E115)^4-(1+$E115)^3))/(1+$C115)^('Sensitivity &amp; Scenarios'!$C$18+3)+('Sensitivity &amp; Scenarios'!$C$6*(1+$E115)^5*$G115+'Sensitivity &amp; Scenarios'!$C$11*'Sensitivity &amp; Scenarios'!$C$6*((1+$E115)^5-(1+$E115)^4))/(1+$C115)^('Sensitivity &amp; Scenarios'!$C$18+4)</f>
        <v>28323.509323174934</v>
      </c>
      <c r="I115" s="209">
        <f>('Sensitivity &amp; Scenarios'!$C$6*(1+$E115)^5*$G115+'Sensitivity &amp; Scenarios'!$C$11*'Sensitivity &amp; Scenarios'!$C$6*((1+$E115)^5-(1+$E115)^4))*(1+$D115)/($C115-$D115)/(1+$C115)^('Sensitivity &amp; Scenarios'!$C$18+4)</f>
        <v>97395.051968454834</v>
      </c>
      <c r="J115" s="209">
        <f>($H115+$I115-'Sensitivity &amp; Scenarios'!$C$15+'Sensitivity &amp; Scenarios'!$C$16)/'Sensitivity &amp; Scenarios'!$C$17</f>
        <v>2932.7830407517804</v>
      </c>
    </row>
    <row r="116" spans="2:10" x14ac:dyDescent="0.3">
      <c r="B116" s="127">
        <v>86</v>
      </c>
      <c r="C116" s="206">
        <f>$D$7+-2.29129*$E$7</f>
        <v>0.11463935943997798</v>
      </c>
      <c r="D116" s="206">
        <f>MIN($D$8+0.304367*$E$8,'Debt &amp; Cost of Capital'!$C$38)</f>
        <v>5.6826201999999999E-2</v>
      </c>
      <c r="E116" s="207">
        <f>$D$9+0.072034*$E$9</f>
        <v>0.16938211770254635</v>
      </c>
      <c r="F116" s="207">
        <f>$D$10+0.41389*$E$10</f>
        <v>0.14996667999999991</v>
      </c>
      <c r="G116" s="208">
        <f>$F116*(1-'Sensitivity &amp; Scenarios'!$C$12)+'Sensitivity &amp; Scenarios'!$C$9*'Sensitivity &amp; Scenarios'!$C$12-'Sensitivity &amp; Scenarios'!$C$10</f>
        <v>8.1415484732464641E-2</v>
      </c>
      <c r="H116" s="209">
        <f>('Sensitivity &amp; Scenarios'!$C$6*(1+$E116)^1*$G116+'Sensitivity &amp; Scenarios'!$C$11*'Sensitivity &amp; Scenarios'!$C$6*((1+$E116)^1-(1+$E116)^0))*'Sensitivity &amp; Scenarios'!$C$18/(1+$C116)^'Sensitivity &amp; Scenarios'!$C$18+('Sensitivity &amp; Scenarios'!$C$6*(1+$E116)^2*$G116+'Sensitivity &amp; Scenarios'!$C$11*'Sensitivity &amp; Scenarios'!$C$6*((1+$E116)^2-(1+$E116)^1))/(1+$C116)^('Sensitivity &amp; Scenarios'!$C$18+1)+('Sensitivity &amp; Scenarios'!$C$6*(1+$E116)^3*$G116+'Sensitivity &amp; Scenarios'!$C$11*'Sensitivity &amp; Scenarios'!$C$6*((1+$E116)^3-(1+$E116)^2))/(1+$C116)^('Sensitivity &amp; Scenarios'!$C$18+2)+('Sensitivity &amp; Scenarios'!$C$6*(1+$E116)^4*$G116+'Sensitivity &amp; Scenarios'!$C$11*'Sensitivity &amp; Scenarios'!$C$6*((1+$E116)^4-(1+$E116)^3))/(1+$C116)^('Sensitivity &amp; Scenarios'!$C$18+3)+('Sensitivity &amp; Scenarios'!$C$6*(1+$E116)^5*$G116+'Sensitivity &amp; Scenarios'!$C$11*'Sensitivity &amp; Scenarios'!$C$6*((1+$E116)^5-(1+$E116)^4))/(1+$C116)^('Sensitivity &amp; Scenarios'!$C$18+4)</f>
        <v>25866.718654809247</v>
      </c>
      <c r="I116" s="209">
        <f>('Sensitivity &amp; Scenarios'!$C$6*(1+$E116)^5*$G116+'Sensitivity &amp; Scenarios'!$C$11*'Sensitivity &amp; Scenarios'!$C$6*((1+$E116)^5-(1+$E116)^4))*(1+$D116)/($C116-$D116)/(1+$C116)^('Sensitivity &amp; Scenarios'!$C$18+4)</f>
        <v>111251.83887864991</v>
      </c>
      <c r="J116" s="209">
        <f>($H116+$I116-'Sensitivity &amp; Scenarios'!$C$15+'Sensitivity &amp; Scenarios'!$C$16)/'Sensitivity &amp; Scenarios'!$C$17</f>
        <v>3172.7390118019121</v>
      </c>
    </row>
    <row r="117" spans="2:10" x14ac:dyDescent="0.3">
      <c r="B117" s="127">
        <v>87</v>
      </c>
      <c r="C117" s="206">
        <f>$D$7+1.61621*$E$7</f>
        <v>0.15371435943997797</v>
      </c>
      <c r="D117" s="206">
        <f>MIN($D$8+-2.063238*$E$8,'Debt &amp; Cost of Capital'!$C$38)</f>
        <v>4.2620571999999995E-2</v>
      </c>
      <c r="E117" s="207">
        <f>$D$9+-0.591103*$E$9</f>
        <v>0.14948800770254633</v>
      </c>
      <c r="F117" s="207">
        <f>$D$10+0.590906*$E$10</f>
        <v>0.1520908719999999</v>
      </c>
      <c r="G117" s="208">
        <f>$F117*(1-'Sensitivity &amp; Scenarios'!$C$12)+'Sensitivity &amp; Scenarios'!$C$9*'Sensitivity &amp; Scenarios'!$C$12-'Sensitivity &amp; Scenarios'!$C$10</f>
        <v>8.3005017606064629E-2</v>
      </c>
      <c r="H117" s="209">
        <f>('Sensitivity &amp; Scenarios'!$C$6*(1+$E117)^1*$G117+'Sensitivity &amp; Scenarios'!$C$11*'Sensitivity &amp; Scenarios'!$C$6*((1+$E117)^1-(1+$E117)^0))*'Sensitivity &amp; Scenarios'!$C$18/(1+$C117)^'Sensitivity &amp; Scenarios'!$C$18+('Sensitivity &amp; Scenarios'!$C$6*(1+$E117)^2*$G117+'Sensitivity &amp; Scenarios'!$C$11*'Sensitivity &amp; Scenarios'!$C$6*((1+$E117)^2-(1+$E117)^1))/(1+$C117)^('Sensitivity &amp; Scenarios'!$C$18+1)+('Sensitivity &amp; Scenarios'!$C$6*(1+$E117)^3*$G117+'Sensitivity &amp; Scenarios'!$C$11*'Sensitivity &amp; Scenarios'!$C$6*((1+$E117)^3-(1+$E117)^2))/(1+$C117)^('Sensitivity &amp; Scenarios'!$C$18+2)+('Sensitivity &amp; Scenarios'!$C$6*(1+$E117)^4*$G117+'Sensitivity &amp; Scenarios'!$C$11*'Sensitivity &amp; Scenarios'!$C$6*((1+$E117)^4-(1+$E117)^3))/(1+$C117)^('Sensitivity &amp; Scenarios'!$C$18+3)+('Sensitivity &amp; Scenarios'!$C$6*(1+$E117)^5*$G117+'Sensitivity &amp; Scenarios'!$C$11*'Sensitivity &amp; Scenarios'!$C$6*((1+$E117)^5-(1+$E117)^4))/(1+$C117)^('Sensitivity &amp; Scenarios'!$C$18+4)</f>
        <v>22200.551716626076</v>
      </c>
      <c r="I117" s="209">
        <f>('Sensitivity &amp; Scenarios'!$C$6*(1+$E117)^5*$G117+'Sensitivity &amp; Scenarios'!$C$11*'Sensitivity &amp; Scenarios'!$C$6*((1+$E117)^5-(1+$E117)^4))*(1+$D117)/($C117-$D117)/(1+$C117)^('Sensitivity &amp; Scenarios'!$C$18+4)</f>
        <v>44669.297733746062</v>
      </c>
      <c r="J117" s="209">
        <f>($H117+$I117-'Sensitivity &amp; Scenarios'!$C$15+'Sensitivity &amp; Scenarios'!$C$16)/'Sensitivity &amp; Scenarios'!$C$17</f>
        <v>1694.089667932536</v>
      </c>
    </row>
    <row r="118" spans="2:10" x14ac:dyDescent="0.3">
      <c r="B118" s="127">
        <v>88</v>
      </c>
      <c r="C118" s="206">
        <f>$D$7+-1.581594*$E$7</f>
        <v>0.12173631943997798</v>
      </c>
      <c r="D118" s="206">
        <f>MIN($D$8+1.475949*$E$8,'Debt &amp; Cost of Capital'!$C$38)</f>
        <v>6.3855694000000005E-2</v>
      </c>
      <c r="E118" s="207">
        <f>$D$9+0.368357*$E$9</f>
        <v>0.17827180770254633</v>
      </c>
      <c r="F118" s="207">
        <f>$D$10+0.846584*$E$10</f>
        <v>0.1551590079999999</v>
      </c>
      <c r="G118" s="208">
        <f>$F118*(1-'Sensitivity &amp; Scenarios'!$C$12)+'Sensitivity &amp; Scenarios'!$C$9*'Sensitivity &amp; Scenarios'!$C$12-'Sensitivity &amp; Scenarios'!$C$10</f>
        <v>8.5300903774864628E-2</v>
      </c>
      <c r="H118" s="209">
        <f>('Sensitivity &amp; Scenarios'!$C$6*(1+$E118)^1*$G118+'Sensitivity &amp; Scenarios'!$C$11*'Sensitivity &amp; Scenarios'!$C$6*((1+$E118)^1-(1+$E118)^0))*'Sensitivity &amp; Scenarios'!$C$18/(1+$C118)^'Sensitivity &amp; Scenarios'!$C$18+('Sensitivity &amp; Scenarios'!$C$6*(1+$E118)^2*$G118+'Sensitivity &amp; Scenarios'!$C$11*'Sensitivity &amp; Scenarios'!$C$6*((1+$E118)^2-(1+$E118)^1))/(1+$C118)^('Sensitivity &amp; Scenarios'!$C$18+1)+('Sensitivity &amp; Scenarios'!$C$6*(1+$E118)^3*$G118+'Sensitivity &amp; Scenarios'!$C$11*'Sensitivity &amp; Scenarios'!$C$6*((1+$E118)^3-(1+$E118)^2))/(1+$C118)^('Sensitivity &amp; Scenarios'!$C$18+2)+('Sensitivity &amp; Scenarios'!$C$6*(1+$E118)^4*$G118+'Sensitivity &amp; Scenarios'!$C$11*'Sensitivity &amp; Scenarios'!$C$6*((1+$E118)^4-(1+$E118)^3))/(1+$C118)^('Sensitivity &amp; Scenarios'!$C$18+3)+('Sensitivity &amp; Scenarios'!$C$6*(1+$E118)^5*$G118+'Sensitivity &amp; Scenarios'!$C$11*'Sensitivity &amp; Scenarios'!$C$6*((1+$E118)^5-(1+$E118)^4))/(1+$C118)^('Sensitivity &amp; Scenarios'!$C$18+4)</f>
        <v>27259.202018101823</v>
      </c>
      <c r="I118" s="209">
        <f>('Sensitivity &amp; Scenarios'!$C$6*(1+$E118)^5*$G118+'Sensitivity &amp; Scenarios'!$C$11*'Sensitivity &amp; Scenarios'!$C$6*((1+$E118)^5-(1+$E118)^4))*(1+$D118)/($C118-$D118)/(1+$C118)^('Sensitivity &amp; Scenarios'!$C$18+4)</f>
        <v>118136.92888151594</v>
      </c>
      <c r="J118" s="209">
        <f>($H118+$I118-'Sensitivity &amp; Scenarios'!$C$15+'Sensitivity &amp; Scenarios'!$C$16)/'Sensitivity &amp; Scenarios'!$C$17</f>
        <v>3346.9718021362846</v>
      </c>
    </row>
    <row r="119" spans="2:10" x14ac:dyDescent="0.3">
      <c r="B119" s="127">
        <v>89</v>
      </c>
      <c r="C119" s="206">
        <f>$D$7+-0.570944*$E$7</f>
        <v>0.13184281943997797</v>
      </c>
      <c r="D119" s="206">
        <f>MIN($D$8+0.813764*$E$8,'Debt &amp; Cost of Capital'!$C$38)</f>
        <v>5.9882584000000003E-2</v>
      </c>
      <c r="E119" s="207">
        <f>$D$9+1.068472*$E$9</f>
        <v>0.19927525770254634</v>
      </c>
      <c r="F119" s="207">
        <f>$D$10+0.232878*$E$10</f>
        <v>0.14779453599999992</v>
      </c>
      <c r="G119" s="208">
        <f>$F119*(1-'Sensitivity &amp; Scenarios'!$C$12)+'Sensitivity &amp; Scenarios'!$C$9*'Sensitivity &amp; Scenarios'!$C$12-'Sensitivity &amp; Scenarios'!$C$10</f>
        <v>7.9790069377264641E-2</v>
      </c>
      <c r="H119" s="209">
        <f>('Sensitivity &amp; Scenarios'!$C$6*(1+$E119)^1*$G119+'Sensitivity &amp; Scenarios'!$C$11*'Sensitivity &amp; Scenarios'!$C$6*((1+$E119)^1-(1+$E119)^0))*'Sensitivity &amp; Scenarios'!$C$18/(1+$C119)^'Sensitivity &amp; Scenarios'!$C$18+('Sensitivity &amp; Scenarios'!$C$6*(1+$E119)^2*$G119+'Sensitivity &amp; Scenarios'!$C$11*'Sensitivity &amp; Scenarios'!$C$6*((1+$E119)^2-(1+$E119)^1))/(1+$C119)^('Sensitivity &amp; Scenarios'!$C$18+1)+('Sensitivity &amp; Scenarios'!$C$6*(1+$E119)^3*$G119+'Sensitivity &amp; Scenarios'!$C$11*'Sensitivity &amp; Scenarios'!$C$6*((1+$E119)^3-(1+$E119)^2))/(1+$C119)^('Sensitivity &amp; Scenarios'!$C$18+2)+('Sensitivity &amp; Scenarios'!$C$6*(1+$E119)^4*$G119+'Sensitivity &amp; Scenarios'!$C$11*'Sensitivity &amp; Scenarios'!$C$6*((1+$E119)^4-(1+$E119)^3))/(1+$C119)^('Sensitivity &amp; Scenarios'!$C$18+3)+('Sensitivity &amp; Scenarios'!$C$6*(1+$E119)^5*$G119+'Sensitivity &amp; Scenarios'!$C$11*'Sensitivity &amp; Scenarios'!$C$6*((1+$E119)^5-(1+$E119)^4))/(1+$C119)^('Sensitivity &amp; Scenarios'!$C$18+4)</f>
        <v>27065.006209324536</v>
      </c>
      <c r="I119" s="209">
        <f>('Sensitivity &amp; Scenarios'!$C$6*(1+$E119)^5*$G119+'Sensitivity &amp; Scenarios'!$C$11*'Sensitivity &amp; Scenarios'!$C$6*((1+$E119)^5-(1+$E119)^4))*(1+$D119)/($C119-$D119)/(1+$C119)^('Sensitivity &amp; Scenarios'!$C$18+4)</f>
        <v>95430.684388091788</v>
      </c>
      <c r="J119" s="209">
        <f>($H119+$I119-'Sensitivity &amp; Scenarios'!$C$15+'Sensitivity &amp; Scenarios'!$C$16)/'Sensitivity &amp; Scenarios'!$C$17</f>
        <v>2864.9455563707415</v>
      </c>
    </row>
    <row r="120" spans="2:10" x14ac:dyDescent="0.3">
      <c r="B120" s="127">
        <v>90</v>
      </c>
      <c r="C120" s="206">
        <f>$D$7+0.234401*$E$7</f>
        <v>0.13989626943997799</v>
      </c>
      <c r="D120" s="206">
        <f>MIN($D$8+0.270343*$E$8,'Debt &amp; Cost of Capital'!$C$38)</f>
        <v>5.6622058000000003E-2</v>
      </c>
      <c r="E120" s="207">
        <f>$D$9+-0.863345*$E$9</f>
        <v>0.14132074770254635</v>
      </c>
      <c r="F120" s="207">
        <f>$D$10+-0.147529*$E$10</f>
        <v>0.1432296519999999</v>
      </c>
      <c r="G120" s="208">
        <f>$F120*(1-'Sensitivity &amp; Scenarios'!$C$12)+'Sensitivity &amp; Scenarios'!$C$9*'Sensitivity &amp; Scenarios'!$C$12-'Sensitivity &amp; Scenarios'!$C$10</f>
        <v>7.6374166680064637E-2</v>
      </c>
      <c r="H120" s="209">
        <f>('Sensitivity &amp; Scenarios'!$C$6*(1+$E120)^1*$G120+'Sensitivity &amp; Scenarios'!$C$11*'Sensitivity &amp; Scenarios'!$C$6*((1+$E120)^1-(1+$E120)^0))*'Sensitivity &amp; Scenarios'!$C$18/(1+$C120)^'Sensitivity &amp; Scenarios'!$C$18+('Sensitivity &amp; Scenarios'!$C$6*(1+$E120)^2*$G120+'Sensitivity &amp; Scenarios'!$C$11*'Sensitivity &amp; Scenarios'!$C$6*((1+$E120)^2-(1+$E120)^1))/(1+$C120)^('Sensitivity &amp; Scenarios'!$C$18+1)+('Sensitivity &amp; Scenarios'!$C$6*(1+$E120)^3*$G120+'Sensitivity &amp; Scenarios'!$C$11*'Sensitivity &amp; Scenarios'!$C$6*((1+$E120)^3-(1+$E120)^2))/(1+$C120)^('Sensitivity &amp; Scenarios'!$C$18+2)+('Sensitivity &amp; Scenarios'!$C$6*(1+$E120)^4*$G120+'Sensitivity &amp; Scenarios'!$C$11*'Sensitivity &amp; Scenarios'!$C$6*((1+$E120)^4-(1+$E120)^3))/(1+$C120)^('Sensitivity &amp; Scenarios'!$C$18+3)+('Sensitivity &amp; Scenarios'!$C$6*(1+$E120)^5*$G120+'Sensitivity &amp; Scenarios'!$C$11*'Sensitivity &amp; Scenarios'!$C$6*((1+$E120)^5-(1+$E120)^4))/(1+$C120)^('Sensitivity &amp; Scenarios'!$C$18+4)</f>
        <v>20760.752687577311</v>
      </c>
      <c r="I120" s="209">
        <f>('Sensitivity &amp; Scenarios'!$C$6*(1+$E120)^5*$G120+'Sensitivity &amp; Scenarios'!$C$11*'Sensitivity &amp; Scenarios'!$C$6*((1+$E120)^5-(1+$E120)^4))*(1+$D120)/($C120-$D120)/(1+$C120)^('Sensitivity &amp; Scenarios'!$C$18+4)</f>
        <v>56990.134335384486</v>
      </c>
      <c r="J120" s="209">
        <f>($H120+$I120-'Sensitivity &amp; Scenarios'!$C$15+'Sensitivity &amp; Scenarios'!$C$16)/'Sensitivity &amp; Scenarios'!$C$17</f>
        <v>1923.1221940296439</v>
      </c>
    </row>
    <row r="121" spans="2:10" x14ac:dyDescent="0.3">
      <c r="B121" s="127">
        <v>91</v>
      </c>
      <c r="C121" s="206">
        <f>$D$7+-0.152523*$E$7</f>
        <v>0.13602702943997799</v>
      </c>
      <c r="D121" s="206">
        <f>MIN($D$8+0.383394*$E$8,'Debt &amp; Cost of Capital'!$C$38)</f>
        <v>5.7300363999999999E-2</v>
      </c>
      <c r="E121" s="207">
        <f>$D$9+0.999824*$E$9</f>
        <v>0.19721581770254634</v>
      </c>
      <c r="F121" s="207">
        <f>$D$10+-1.058536*$E$10</f>
        <v>0.13229756799999992</v>
      </c>
      <c r="G121" s="208">
        <f>$F121*(1-'Sensitivity &amp; Scenarios'!$C$12)+'Sensitivity &amp; Scenarios'!$C$9*'Sensitivity &amp; Scenarios'!$C$12-'Sensitivity &amp; Scenarios'!$C$10</f>
        <v>6.8193688222864646E-2</v>
      </c>
      <c r="H121" s="209">
        <f>('Sensitivity &amp; Scenarios'!$C$6*(1+$E121)^1*$G121+'Sensitivity &amp; Scenarios'!$C$11*'Sensitivity &amp; Scenarios'!$C$6*((1+$E121)^1-(1+$E121)^0))*'Sensitivity &amp; Scenarios'!$C$18/(1+$C121)^'Sensitivity &amp; Scenarios'!$C$18+('Sensitivity &amp; Scenarios'!$C$6*(1+$E121)^2*$G121+'Sensitivity &amp; Scenarios'!$C$11*'Sensitivity &amp; Scenarios'!$C$6*((1+$E121)^2-(1+$E121)^1))/(1+$C121)^('Sensitivity &amp; Scenarios'!$C$18+1)+('Sensitivity &amp; Scenarios'!$C$6*(1+$E121)^3*$G121+'Sensitivity &amp; Scenarios'!$C$11*'Sensitivity &amp; Scenarios'!$C$6*((1+$E121)^3-(1+$E121)^2))/(1+$C121)^('Sensitivity &amp; Scenarios'!$C$18+2)+('Sensitivity &amp; Scenarios'!$C$6*(1+$E121)^4*$G121+'Sensitivity &amp; Scenarios'!$C$11*'Sensitivity &amp; Scenarios'!$C$6*((1+$E121)^4-(1+$E121)^3))/(1+$C121)^('Sensitivity &amp; Scenarios'!$C$18+3)+('Sensitivity &amp; Scenarios'!$C$6*(1+$E121)^5*$G121+'Sensitivity &amp; Scenarios'!$C$11*'Sensitivity &amp; Scenarios'!$C$6*((1+$E121)^5-(1+$E121)^4))/(1+$C121)^('Sensitivity &amp; Scenarios'!$C$18+4)</f>
        <v>23436.68086609654</v>
      </c>
      <c r="I121" s="209">
        <f>('Sensitivity &amp; Scenarios'!$C$6*(1+$E121)^5*$G121+'Sensitivity &amp; Scenarios'!$C$11*'Sensitivity &amp; Scenarios'!$C$6*((1+$E121)^5-(1+$E121)^4))*(1+$D121)/($C121-$D121)/(1+$C121)^('Sensitivity &amp; Scenarios'!$C$18+4)</f>
        <v>74644.183813685333</v>
      </c>
      <c r="J121" s="209">
        <f>($H121+$I121-'Sensitivity &amp; Scenarios'!$C$15+'Sensitivity &amp; Scenarios'!$C$16)/'Sensitivity &amp; Scenarios'!$C$17</f>
        <v>2351.043346509507</v>
      </c>
    </row>
    <row r="122" spans="2:10" x14ac:dyDescent="0.3">
      <c r="B122" s="127">
        <v>92</v>
      </c>
      <c r="C122" s="206">
        <f>$D$7+-0.125009*$E$7</f>
        <v>0.13630216943997797</v>
      </c>
      <c r="D122" s="206">
        <f>MIN($D$8+1.481456*$E$8,'Debt &amp; Cost of Capital'!$C$38)</f>
        <v>6.3888736000000002E-2</v>
      </c>
      <c r="E122" s="207">
        <f>$D$9+-0.743588*$E$9</f>
        <v>0.14491345770254635</v>
      </c>
      <c r="F122" s="207">
        <f>$D$10+-0.82225*$E$10</f>
        <v>0.13513299999999989</v>
      </c>
      <c r="G122" s="208">
        <f>$F122*(1-'Sensitivity &amp; Scenarios'!$C$12)+'Sensitivity &amp; Scenarios'!$C$9*'Sensitivity &amp; Scenarios'!$C$12-'Sensitivity &amp; Scenarios'!$C$10</f>
        <v>7.0315441988464622E-2</v>
      </c>
      <c r="H122" s="209">
        <f>('Sensitivity &amp; Scenarios'!$C$6*(1+$E122)^1*$G122+'Sensitivity &amp; Scenarios'!$C$11*'Sensitivity &amp; Scenarios'!$C$6*((1+$E122)^1-(1+$E122)^0))*'Sensitivity &amp; Scenarios'!$C$18/(1+$C122)^'Sensitivity &amp; Scenarios'!$C$18+('Sensitivity &amp; Scenarios'!$C$6*(1+$E122)^2*$G122+'Sensitivity &amp; Scenarios'!$C$11*'Sensitivity &amp; Scenarios'!$C$6*((1+$E122)^2-(1+$E122)^1))/(1+$C122)^('Sensitivity &amp; Scenarios'!$C$18+1)+('Sensitivity &amp; Scenarios'!$C$6*(1+$E122)^3*$G122+'Sensitivity &amp; Scenarios'!$C$11*'Sensitivity &amp; Scenarios'!$C$6*((1+$E122)^3-(1+$E122)^2))/(1+$C122)^('Sensitivity &amp; Scenarios'!$C$18+2)+('Sensitivity &amp; Scenarios'!$C$6*(1+$E122)^4*$G122+'Sensitivity &amp; Scenarios'!$C$11*'Sensitivity &amp; Scenarios'!$C$6*((1+$E122)^4-(1+$E122)^3))/(1+$C122)^('Sensitivity &amp; Scenarios'!$C$18+3)+('Sensitivity &amp; Scenarios'!$C$6*(1+$E122)^5*$G122+'Sensitivity &amp; Scenarios'!$C$11*'Sensitivity &amp; Scenarios'!$C$6*((1+$E122)^5-(1+$E122)^4))/(1+$C122)^('Sensitivity &amp; Scenarios'!$C$18+4)</f>
        <v>19801.480947706659</v>
      </c>
      <c r="I122" s="209">
        <f>('Sensitivity &amp; Scenarios'!$C$6*(1+$E122)^5*$G122+'Sensitivity &amp; Scenarios'!$C$11*'Sensitivity &amp; Scenarios'!$C$6*((1+$E122)^5-(1+$E122)^4))*(1+$D122)/($C122-$D122)/(1+$C122)^('Sensitivity &amp; Scenarios'!$C$18+4)</f>
        <v>63670.685618902375</v>
      </c>
      <c r="J122" s="209">
        <f>($H122+$I122-'Sensitivity &amp; Scenarios'!$C$15+'Sensitivity &amp; Scenarios'!$C$16)/'Sensitivity &amp; Scenarios'!$C$17</f>
        <v>2043.548127461778</v>
      </c>
    </row>
    <row r="123" spans="2:10" x14ac:dyDescent="0.3">
      <c r="B123" s="127">
        <v>93</v>
      </c>
      <c r="C123" s="206">
        <f>$D$7+0.202306*$E$7</f>
        <v>0.13957531943997797</v>
      </c>
      <c r="D123" s="206">
        <f>MIN($D$8+0.844385*$E$8,'Debt &amp; Cost of Capital'!$C$38)</f>
        <v>6.0066309999999998E-2</v>
      </c>
      <c r="E123" s="207">
        <f>$D$9+0.011426*$E$9</f>
        <v>0.16756387770254633</v>
      </c>
      <c r="F123" s="207">
        <f>$D$10+1.328961*$E$10</f>
        <v>0.16094753199999989</v>
      </c>
      <c r="G123" s="208">
        <f>$F123*(1-'Sensitivity &amp; Scenarios'!$C$12)+'Sensitivity &amp; Scenarios'!$C$9*'Sensitivity &amp; Scenarios'!$C$12-'Sensitivity &amp; Scenarios'!$C$10</f>
        <v>8.9632456284064632E-2</v>
      </c>
      <c r="H123" s="209">
        <f>('Sensitivity &amp; Scenarios'!$C$6*(1+$E123)^1*$G123+'Sensitivity &amp; Scenarios'!$C$11*'Sensitivity &amp; Scenarios'!$C$6*((1+$E123)^1-(1+$E123)^0))*'Sensitivity &amp; Scenarios'!$C$18/(1+$C123)^'Sensitivity &amp; Scenarios'!$C$18+('Sensitivity &amp; Scenarios'!$C$6*(1+$E123)^2*$G123+'Sensitivity &amp; Scenarios'!$C$11*'Sensitivity &amp; Scenarios'!$C$6*((1+$E123)^2-(1+$E123)^1))/(1+$C123)^('Sensitivity &amp; Scenarios'!$C$18+1)+('Sensitivity &amp; Scenarios'!$C$6*(1+$E123)^3*$G123+'Sensitivity &amp; Scenarios'!$C$11*'Sensitivity &amp; Scenarios'!$C$6*((1+$E123)^3-(1+$E123)^2))/(1+$C123)^('Sensitivity &amp; Scenarios'!$C$18+2)+('Sensitivity &amp; Scenarios'!$C$6*(1+$E123)^4*$G123+'Sensitivity &amp; Scenarios'!$C$11*'Sensitivity &amp; Scenarios'!$C$6*((1+$E123)^4-(1+$E123)^3))/(1+$C123)^('Sensitivity &amp; Scenarios'!$C$18+3)+('Sensitivity &amp; Scenarios'!$C$6*(1+$E123)^5*$G123+'Sensitivity &amp; Scenarios'!$C$11*'Sensitivity &amp; Scenarios'!$C$6*((1+$E123)^5-(1+$E123)^4))/(1+$C123)^('Sensitivity &amp; Scenarios'!$C$18+4)</f>
        <v>26163.906491809321</v>
      </c>
      <c r="I123" s="209">
        <f>('Sensitivity &amp; Scenarios'!$C$6*(1+$E123)^5*$G123+'Sensitivity &amp; Scenarios'!$C$11*'Sensitivity &amp; Scenarios'!$C$6*((1+$E123)^5-(1+$E123)^4))*(1+$D123)/($C123-$D123)/(1+$C123)^('Sensitivity &amp; Scenarios'!$C$18+4)</f>
        <v>78694.024507999638</v>
      </c>
      <c r="J123" s="209">
        <f>($H123+$I123-'Sensitivity &amp; Scenarios'!$C$15+'Sensitivity &amp; Scenarios'!$C$16)/'Sensitivity &amp; Scenarios'!$C$17</f>
        <v>2493.6922996491862</v>
      </c>
    </row>
    <row r="124" spans="2:10" x14ac:dyDescent="0.3">
      <c r="B124" s="127">
        <v>94</v>
      </c>
      <c r="C124" s="206">
        <f>$D$7+0.856794*$E$7</f>
        <v>0.14612019943997798</v>
      </c>
      <c r="D124" s="206">
        <f>MIN($D$8+0.84182*$E$8,'Debt &amp; Cost of Capital'!$C$38)</f>
        <v>6.0050920000000001E-2</v>
      </c>
      <c r="E124" s="207">
        <f>$D$9+0.554117*$E$9</f>
        <v>0.18384460770254635</v>
      </c>
      <c r="F124" s="207">
        <f>$D$10+2.327653*$E$10</f>
        <v>0.17293183599999989</v>
      </c>
      <c r="G124" s="208">
        <f>$F124*(1-'Sensitivity &amp; Scenarios'!$C$12)+'Sensitivity &amp; Scenarios'!$C$9*'Sensitivity &amp; Scenarios'!$C$12-'Sensitivity &amp; Scenarios'!$C$10</f>
        <v>9.8600310967264626E-2</v>
      </c>
      <c r="H124" s="209">
        <f>('Sensitivity &amp; Scenarios'!$C$6*(1+$E124)^1*$G124+'Sensitivity &amp; Scenarios'!$C$11*'Sensitivity &amp; Scenarios'!$C$6*((1+$E124)^1-(1+$E124)^0))*'Sensitivity &amp; Scenarios'!$C$18/(1+$C124)^'Sensitivity &amp; Scenarios'!$C$18+('Sensitivity &amp; Scenarios'!$C$6*(1+$E124)^2*$G124+'Sensitivity &amp; Scenarios'!$C$11*'Sensitivity &amp; Scenarios'!$C$6*((1+$E124)^2-(1+$E124)^1))/(1+$C124)^('Sensitivity &amp; Scenarios'!$C$18+1)+('Sensitivity &amp; Scenarios'!$C$6*(1+$E124)^3*$G124+'Sensitivity &amp; Scenarios'!$C$11*'Sensitivity &amp; Scenarios'!$C$6*((1+$E124)^3-(1+$E124)^2))/(1+$C124)^('Sensitivity &amp; Scenarios'!$C$18+2)+('Sensitivity &amp; Scenarios'!$C$6*(1+$E124)^4*$G124+'Sensitivity &amp; Scenarios'!$C$11*'Sensitivity &amp; Scenarios'!$C$6*((1+$E124)^4-(1+$E124)^3))/(1+$C124)^('Sensitivity &amp; Scenarios'!$C$18+3)+('Sensitivity &amp; Scenarios'!$C$6*(1+$E124)^5*$G124+'Sensitivity &amp; Scenarios'!$C$11*'Sensitivity &amp; Scenarios'!$C$6*((1+$E124)^5-(1+$E124)^4))/(1+$C124)^('Sensitivity &amp; Scenarios'!$C$18+4)</f>
        <v>29531.480506519292</v>
      </c>
      <c r="I124" s="209">
        <f>('Sensitivity &amp; Scenarios'!$C$6*(1+$E124)^5*$G124+'Sensitivity &amp; Scenarios'!$C$11*'Sensitivity &amp; Scenarios'!$C$6*((1+$E124)^5-(1+$E124)^4))*(1+$D124)/($C124-$D124)/(1+$C124)^('Sensitivity &amp; Scenarios'!$C$18+4)</f>
        <v>83253.032334397707</v>
      </c>
      <c r="J124" s="209">
        <f>($H124+$I124-'Sensitivity &amp; Scenarios'!$C$15+'Sensitivity &amp; Scenarios'!$C$16)/'Sensitivity &amp; Scenarios'!$C$17</f>
        <v>2660.5371478792586</v>
      </c>
    </row>
    <row r="125" spans="2:10" x14ac:dyDescent="0.3">
      <c r="B125" s="127">
        <v>95</v>
      </c>
      <c r="C125" s="206">
        <f>$D$7+-0.205162*$E$7</f>
        <v>0.13550063943997798</v>
      </c>
      <c r="D125" s="206">
        <f>MIN($D$8+-2.003522*$E$8,'Debt &amp; Cost of Capital'!$C$38)</f>
        <v>4.2978868000000003E-2</v>
      </c>
      <c r="E125" s="207">
        <f>$D$9+1.604254*$E$9</f>
        <v>0.21534871770254635</v>
      </c>
      <c r="F125" s="207">
        <f>$D$10+-0.457699*$E$10</f>
        <v>0.13950761199999992</v>
      </c>
      <c r="G125" s="208">
        <f>$F125*(1-'Sensitivity &amp; Scenarios'!$C$12)+'Sensitivity &amp; Scenarios'!$C$9*'Sensitivity &amp; Scenarios'!$C$12-'Sensitivity &amp; Scenarios'!$C$10</f>
        <v>7.3588964148064651E-2</v>
      </c>
      <c r="H125" s="209">
        <f>('Sensitivity &amp; Scenarios'!$C$6*(1+$E125)^1*$G125+'Sensitivity &amp; Scenarios'!$C$11*'Sensitivity &amp; Scenarios'!$C$6*((1+$E125)^1-(1+$E125)^0))*'Sensitivity &amp; Scenarios'!$C$18/(1+$C125)^'Sensitivity &amp; Scenarios'!$C$18+('Sensitivity &amp; Scenarios'!$C$6*(1+$E125)^2*$G125+'Sensitivity &amp; Scenarios'!$C$11*'Sensitivity &amp; Scenarios'!$C$6*((1+$E125)^2-(1+$E125)^1))/(1+$C125)^('Sensitivity &amp; Scenarios'!$C$18+1)+('Sensitivity &amp; Scenarios'!$C$6*(1+$E125)^3*$G125+'Sensitivity &amp; Scenarios'!$C$11*'Sensitivity &amp; Scenarios'!$C$6*((1+$E125)^3-(1+$E125)^2))/(1+$C125)^('Sensitivity &amp; Scenarios'!$C$18+2)+('Sensitivity &amp; Scenarios'!$C$6*(1+$E125)^4*$G125+'Sensitivity &amp; Scenarios'!$C$11*'Sensitivity &amp; Scenarios'!$C$6*((1+$E125)^4-(1+$E125)^3))/(1+$C125)^('Sensitivity &amp; Scenarios'!$C$18+3)+('Sensitivity &amp; Scenarios'!$C$6*(1+$E125)^5*$G125+'Sensitivity &amp; Scenarios'!$C$11*'Sensitivity &amp; Scenarios'!$C$6*((1+$E125)^5-(1+$E125)^4))/(1+$C125)^('Sensitivity &amp; Scenarios'!$C$18+4)</f>
        <v>26581.891968189186</v>
      </c>
      <c r="I125" s="209">
        <f>('Sensitivity &amp; Scenarios'!$C$6*(1+$E125)^5*$G125+'Sensitivity &amp; Scenarios'!$C$11*'Sensitivity &amp; Scenarios'!$C$6*((1+$E125)^5-(1+$E125)^4))*(1+$D125)/($C125-$D125)/(1+$C125)^('Sensitivity &amp; Scenarios'!$C$18+4)</f>
        <v>72996.420088505605</v>
      </c>
      <c r="J125" s="209">
        <f>($H125+$I125-'Sensitivity &amp; Scenarios'!$C$15+'Sensitivity &amp; Scenarios'!$C$16)/'Sensitivity &amp; Scenarios'!$C$17</f>
        <v>2382.5627814111758</v>
      </c>
    </row>
    <row r="126" spans="2:10" x14ac:dyDescent="0.3">
      <c r="B126" s="127">
        <v>96</v>
      </c>
      <c r="C126" s="206">
        <f>$D$7+0.10788*$E$7</f>
        <v>0.13863105943997797</v>
      </c>
      <c r="D126" s="206">
        <f>MIN($D$8+1.309551*$E$8,'Debt &amp; Cost of Capital'!$C$38)</f>
        <v>6.2857306000000002E-2</v>
      </c>
      <c r="E126" s="207">
        <f>$D$9+-1.60226*$E$9</f>
        <v>0.11915329770254635</v>
      </c>
      <c r="F126" s="207">
        <f>$D$10+-1.251647*$E$10</f>
        <v>0.12998023599999992</v>
      </c>
      <c r="G126" s="208">
        <f>$F126*(1-'Sensitivity &amp; Scenarios'!$C$12)+'Sensitivity &amp; Scenarios'!$C$9*'Sensitivity &amp; Scenarios'!$C$12-'Sensitivity &amp; Scenarios'!$C$10</f>
        <v>6.6459628687264641E-2</v>
      </c>
      <c r="H126" s="209">
        <f>('Sensitivity &amp; Scenarios'!$C$6*(1+$E126)^1*$G126+'Sensitivity &amp; Scenarios'!$C$11*'Sensitivity &amp; Scenarios'!$C$6*((1+$E126)^1-(1+$E126)^0))*'Sensitivity &amp; Scenarios'!$C$18/(1+$C126)^'Sensitivity &amp; Scenarios'!$C$18+('Sensitivity &amp; Scenarios'!$C$6*(1+$E126)^2*$G126+'Sensitivity &amp; Scenarios'!$C$11*'Sensitivity &amp; Scenarios'!$C$6*((1+$E126)^2-(1+$E126)^1))/(1+$C126)^('Sensitivity &amp; Scenarios'!$C$18+1)+('Sensitivity &amp; Scenarios'!$C$6*(1+$E126)^3*$G126+'Sensitivity &amp; Scenarios'!$C$11*'Sensitivity &amp; Scenarios'!$C$6*((1+$E126)^3-(1+$E126)^2))/(1+$C126)^('Sensitivity &amp; Scenarios'!$C$18+2)+('Sensitivity &amp; Scenarios'!$C$6*(1+$E126)^4*$G126+'Sensitivity &amp; Scenarios'!$C$11*'Sensitivity &amp; Scenarios'!$C$6*((1+$E126)^4-(1+$E126)^3))/(1+$C126)^('Sensitivity &amp; Scenarios'!$C$18+3)+('Sensitivity &amp; Scenarios'!$C$6*(1+$E126)^5*$G126+'Sensitivity &amp; Scenarios'!$C$11*'Sensitivity &amp; Scenarios'!$C$6*((1+$E126)^5-(1+$E126)^4))/(1+$C126)^('Sensitivity &amp; Scenarios'!$C$18+4)</f>
        <v>17007.140657666558</v>
      </c>
      <c r="I126" s="209">
        <f>('Sensitivity &amp; Scenarios'!$C$6*(1+$E126)^5*$G126+'Sensitivity &amp; Scenarios'!$C$11*'Sensitivity &amp; Scenarios'!$C$6*((1+$E126)^5-(1+$E126)^4))*(1+$D126)/($C126-$D126)/(1+$C126)^('Sensitivity &amp; Scenarios'!$C$18+4)</f>
        <v>49867.767858523141</v>
      </c>
      <c r="J126" s="209">
        <f>($H126+$I126-'Sensitivity &amp; Scenarios'!$C$15+'Sensitivity &amp; Scenarios'!$C$16)/'Sensitivity &amp; Scenarios'!$C$17</f>
        <v>1694.1961550773656</v>
      </c>
    </row>
    <row r="127" spans="2:10" x14ac:dyDescent="0.3">
      <c r="B127" s="127">
        <v>97</v>
      </c>
      <c r="C127" s="206">
        <f>$D$7+-1.601278*$E$7</f>
        <v>0.12153947943997798</v>
      </c>
      <c r="D127" s="206">
        <f>MIN($D$8+-0.794136*$E$8,'Debt &amp; Cost of Capital'!$C$38)</f>
        <v>5.0235184000000002E-2</v>
      </c>
      <c r="E127" s="207">
        <f>$D$9+0.439637*$E$9</f>
        <v>0.18041020770254634</v>
      </c>
      <c r="F127" s="207">
        <f>$D$10+0.524188*$E$10</f>
        <v>0.1512902559999999</v>
      </c>
      <c r="G127" s="208">
        <f>$F127*(1-'Sensitivity &amp; Scenarios'!$C$12)+'Sensitivity &amp; Scenarios'!$C$9*'Sensitivity &amp; Scenarios'!$C$12-'Sensitivity &amp; Scenarios'!$C$10</f>
        <v>8.2405916653264633E-2</v>
      </c>
      <c r="H127" s="209">
        <f>('Sensitivity &amp; Scenarios'!$C$6*(1+$E127)^1*$G127+'Sensitivity &amp; Scenarios'!$C$11*'Sensitivity &amp; Scenarios'!$C$6*((1+$E127)^1-(1+$E127)^0))*'Sensitivity &amp; Scenarios'!$C$18/(1+$C127)^'Sensitivity &amp; Scenarios'!$C$18+('Sensitivity &amp; Scenarios'!$C$6*(1+$E127)^2*$G127+'Sensitivity &amp; Scenarios'!$C$11*'Sensitivity &amp; Scenarios'!$C$6*((1+$E127)^2-(1+$E127)^1))/(1+$C127)^('Sensitivity &amp; Scenarios'!$C$18+1)+('Sensitivity &amp; Scenarios'!$C$6*(1+$E127)^3*$G127+'Sensitivity &amp; Scenarios'!$C$11*'Sensitivity &amp; Scenarios'!$C$6*((1+$E127)^3-(1+$E127)^2))/(1+$C127)^('Sensitivity &amp; Scenarios'!$C$18+2)+('Sensitivity &amp; Scenarios'!$C$6*(1+$E127)^4*$G127+'Sensitivity &amp; Scenarios'!$C$11*'Sensitivity &amp; Scenarios'!$C$6*((1+$E127)^4-(1+$E127)^3))/(1+$C127)^('Sensitivity &amp; Scenarios'!$C$18+3)+('Sensitivity &amp; Scenarios'!$C$6*(1+$E127)^5*$G127+'Sensitivity &amp; Scenarios'!$C$11*'Sensitivity &amp; Scenarios'!$C$6*((1+$E127)^5-(1+$E127)^4))/(1+$C127)^('Sensitivity &amp; Scenarios'!$C$18+4)</f>
        <v>26700.589247948632</v>
      </c>
      <c r="I127" s="209">
        <f>('Sensitivity &amp; Scenarios'!$C$6*(1+$E127)^5*$G127+'Sensitivity &amp; Scenarios'!$C$11*'Sensitivity &amp; Scenarios'!$C$6*((1+$E127)^5-(1+$E127)^4))*(1+$D127)/($C127-$D127)/(1+$C127)^('Sensitivity &amp; Scenarios'!$C$18+4)</f>
        <v>93052.246622071791</v>
      </c>
      <c r="J127" s="209">
        <f>($H127+$I127-'Sensitivity &amp; Scenarios'!$C$15+'Sensitivity &amp; Scenarios'!$C$16)/'Sensitivity &amp; Scenarios'!$C$17</f>
        <v>2807.2118207097806</v>
      </c>
    </row>
    <row r="128" spans="2:10" x14ac:dyDescent="0.3">
      <c r="B128" s="127">
        <v>98</v>
      </c>
      <c r="C128" s="206">
        <f>$D$7+0.276274*$E$7</f>
        <v>0.14031499943997799</v>
      </c>
      <c r="D128" s="206">
        <f>MIN($D$8+-1.412766*$E$8,'Debt &amp; Cost of Capital'!$C$38)</f>
        <v>4.6523404000000004E-2</v>
      </c>
      <c r="E128" s="207">
        <f>$D$9+-2.310103*$E$9</f>
        <v>9.7918007702546342E-2</v>
      </c>
      <c r="F128" s="207">
        <f>$D$10+0.054354*$E$10</f>
        <v>0.1456522479999999</v>
      </c>
      <c r="G128" s="208">
        <f>$F128*(1-'Sensitivity &amp; Scenarios'!$C$12)+'Sensitivity &amp; Scenarios'!$C$9*'Sensitivity &amp; Scenarios'!$C$12-'Sensitivity &amp; Scenarios'!$C$10</f>
        <v>7.8186995266864637E-2</v>
      </c>
      <c r="H128" s="209">
        <f>('Sensitivity &amp; Scenarios'!$C$6*(1+$E128)^1*$G128+'Sensitivity &amp; Scenarios'!$C$11*'Sensitivity &amp; Scenarios'!$C$6*((1+$E128)^1-(1+$E128)^0))*'Sensitivity &amp; Scenarios'!$C$18/(1+$C128)^'Sensitivity &amp; Scenarios'!$C$18+('Sensitivity &amp; Scenarios'!$C$6*(1+$E128)^2*$G128+'Sensitivity &amp; Scenarios'!$C$11*'Sensitivity &amp; Scenarios'!$C$6*((1+$E128)^2-(1+$E128)^1))/(1+$C128)^('Sensitivity &amp; Scenarios'!$C$18+1)+('Sensitivity &amp; Scenarios'!$C$6*(1+$E128)^3*$G128+'Sensitivity &amp; Scenarios'!$C$11*'Sensitivity &amp; Scenarios'!$C$6*((1+$E128)^3-(1+$E128)^2))/(1+$C128)^('Sensitivity &amp; Scenarios'!$C$18+2)+('Sensitivity &amp; Scenarios'!$C$6*(1+$E128)^4*$G128+'Sensitivity &amp; Scenarios'!$C$11*'Sensitivity &amp; Scenarios'!$C$6*((1+$E128)^4-(1+$E128)^3))/(1+$C128)^('Sensitivity &amp; Scenarios'!$C$18+3)+('Sensitivity &amp; Scenarios'!$C$6*(1+$E128)^5*$G128+'Sensitivity &amp; Scenarios'!$C$11*'Sensitivity &amp; Scenarios'!$C$6*((1+$E128)^5-(1+$E128)^4))/(1+$C128)^('Sensitivity &amp; Scenarios'!$C$18+4)</f>
        <v>17965.341950797563</v>
      </c>
      <c r="I128" s="209">
        <f>('Sensitivity &amp; Scenarios'!$C$6*(1+$E128)^5*$G128+'Sensitivity &amp; Scenarios'!$C$11*'Sensitivity &amp; Scenarios'!$C$6*((1+$E128)^5-(1+$E128)^4))*(1+$D128)/($C128-$D128)/(1+$C128)^('Sensitivity &amp; Scenarios'!$C$18+4)</f>
        <v>40299.605122604284</v>
      </c>
      <c r="J128" s="209">
        <f>($H128+$I128-'Sensitivity &amp; Scenarios'!$C$15+'Sensitivity &amp; Scenarios'!$C$16)/'Sensitivity &amp; Scenarios'!$C$17</f>
        <v>1512.9670024634686</v>
      </c>
    </row>
    <row r="129" spans="2:10" x14ac:dyDescent="0.3">
      <c r="B129" s="127">
        <v>99</v>
      </c>
      <c r="C129" s="206">
        <f>$D$7+-0.471776*$E$7</f>
        <v>0.13283449943997799</v>
      </c>
      <c r="D129" s="206">
        <f>MIN($D$8+0.459386*$E$8,'Debt &amp; Cost of Capital'!$C$38)</f>
        <v>5.7756316000000002E-2</v>
      </c>
      <c r="E129" s="207">
        <f>$D$9+0.701954*$E$9</f>
        <v>0.18827971770254634</v>
      </c>
      <c r="F129" s="207">
        <f>$D$10+0.138241*$E$10</f>
        <v>0.1466588919999999</v>
      </c>
      <c r="G129" s="208">
        <f>$F129*(1-'Sensitivity &amp; Scenarios'!$C$12)+'Sensitivity &amp; Scenarios'!$C$9*'Sensitivity &amp; Scenarios'!$C$12-'Sensitivity &amp; Scenarios'!$C$10</f>
        <v>7.8940266972064632E-2</v>
      </c>
      <c r="H129" s="209">
        <f>('Sensitivity &amp; Scenarios'!$C$6*(1+$E129)^1*$G129+'Sensitivity &amp; Scenarios'!$C$11*'Sensitivity &amp; Scenarios'!$C$6*((1+$E129)^1-(1+$E129)^0))*'Sensitivity &amp; Scenarios'!$C$18/(1+$C129)^'Sensitivity &amp; Scenarios'!$C$18+('Sensitivity &amp; Scenarios'!$C$6*(1+$E129)^2*$G129+'Sensitivity &amp; Scenarios'!$C$11*'Sensitivity &amp; Scenarios'!$C$6*((1+$E129)^2-(1+$E129)^1))/(1+$C129)^('Sensitivity &amp; Scenarios'!$C$18+1)+('Sensitivity &amp; Scenarios'!$C$6*(1+$E129)^3*$G129+'Sensitivity &amp; Scenarios'!$C$11*'Sensitivity &amp; Scenarios'!$C$6*((1+$E129)^3-(1+$E129)^2))/(1+$C129)^('Sensitivity &amp; Scenarios'!$C$18+2)+('Sensitivity &amp; Scenarios'!$C$6*(1+$E129)^4*$G129+'Sensitivity &amp; Scenarios'!$C$11*'Sensitivity &amp; Scenarios'!$C$6*((1+$E129)^4-(1+$E129)^3))/(1+$C129)^('Sensitivity &amp; Scenarios'!$C$18+3)+('Sensitivity &amp; Scenarios'!$C$6*(1+$E129)^5*$G129+'Sensitivity &amp; Scenarios'!$C$11*'Sensitivity &amp; Scenarios'!$C$6*((1+$E129)^5-(1+$E129)^4))/(1+$C129)^('Sensitivity &amp; Scenarios'!$C$18+4)</f>
        <v>25745.750175803274</v>
      </c>
      <c r="I129" s="209">
        <f>('Sensitivity &amp; Scenarios'!$C$6*(1+$E129)^5*$G129+'Sensitivity &amp; Scenarios'!$C$11*'Sensitivity &amp; Scenarios'!$C$6*((1+$E129)^5-(1+$E129)^4))*(1+$D129)/($C129-$D129)/(1+$C129)^('Sensitivity &amp; Scenarios'!$C$18+4)</f>
        <v>85318.616824809098</v>
      </c>
      <c r="J129" s="209">
        <f>($H129+$I129-'Sensitivity &amp; Scenarios'!$C$15+'Sensitivity &amp; Scenarios'!$C$16)/'Sensitivity &amp; Scenarios'!$C$17</f>
        <v>2624.3301828327594</v>
      </c>
    </row>
    <row r="130" spans="2:10" x14ac:dyDescent="0.3">
      <c r="B130" s="127">
        <v>100</v>
      </c>
      <c r="C130" s="206">
        <f>$D$7+0.760133*$E$7</f>
        <v>0.14515358943997797</v>
      </c>
      <c r="D130" s="206">
        <f>MIN($D$8+0.229211*$E$8,'Debt &amp; Cost of Capital'!$C$38)</f>
        <v>5.6375266E-2</v>
      </c>
      <c r="E130" s="207">
        <f>$D$9+0.530065*$E$9</f>
        <v>0.18312304770254634</v>
      </c>
      <c r="F130" s="207">
        <f>$D$10+-0.704673*$E$10</f>
        <v>0.1365439239999999</v>
      </c>
      <c r="G130" s="208">
        <f>$F130*(1-'Sensitivity &amp; Scenarios'!$C$12)+'Sensitivity &amp; Scenarios'!$C$9*'Sensitivity &amp; Scenarios'!$C$12-'Sensitivity &amp; Scenarios'!$C$10</f>
        <v>7.137123641766463E-2</v>
      </c>
      <c r="H130" s="209">
        <f>('Sensitivity &amp; Scenarios'!$C$6*(1+$E130)^1*$G130+'Sensitivity &amp; Scenarios'!$C$11*'Sensitivity &amp; Scenarios'!$C$6*((1+$E130)^1-(1+$E130)^0))*'Sensitivity &amp; Scenarios'!$C$18/(1+$C130)^'Sensitivity &amp; Scenarios'!$C$18+('Sensitivity &amp; Scenarios'!$C$6*(1+$E130)^2*$G130+'Sensitivity &amp; Scenarios'!$C$11*'Sensitivity &amp; Scenarios'!$C$6*((1+$E130)^2-(1+$E130)^1))/(1+$C130)^('Sensitivity &amp; Scenarios'!$C$18+1)+('Sensitivity &amp; Scenarios'!$C$6*(1+$E130)^3*$G130+'Sensitivity &amp; Scenarios'!$C$11*'Sensitivity &amp; Scenarios'!$C$6*((1+$E130)^3-(1+$E130)^2))/(1+$C130)^('Sensitivity &amp; Scenarios'!$C$18+2)+('Sensitivity &amp; Scenarios'!$C$6*(1+$E130)^4*$G130+'Sensitivity &amp; Scenarios'!$C$11*'Sensitivity &amp; Scenarios'!$C$6*((1+$E130)^4-(1+$E130)^3))/(1+$C130)^('Sensitivity &amp; Scenarios'!$C$18+3)+('Sensitivity &amp; Scenarios'!$C$6*(1+$E130)^5*$G130+'Sensitivity &amp; Scenarios'!$C$11*'Sensitivity &amp; Scenarios'!$C$6*((1+$E130)^5-(1+$E130)^4))/(1+$C130)^('Sensitivity &amp; Scenarios'!$C$18+4)</f>
        <v>22575.980902735479</v>
      </c>
      <c r="I130" s="209">
        <f>('Sensitivity &amp; Scenarios'!$C$6*(1+$E130)^5*$G130+'Sensitivity &amp; Scenarios'!$C$11*'Sensitivity &amp; Scenarios'!$C$6*((1+$E130)^5-(1+$E130)^4))*(1+$D130)/($C130-$D130)/(1+$C130)^('Sensitivity &amp; Scenarios'!$C$18+4)</f>
        <v>61514.200594143345</v>
      </c>
      <c r="J130" s="209">
        <f>($H130+$I130-'Sensitivity &amp; Scenarios'!$C$15+'Sensitivity &amp; Scenarios'!$C$16)/'Sensitivity &amp; Scenarios'!$C$17</f>
        <v>2056.5565854972492</v>
      </c>
    </row>
    <row r="131" spans="2:10" x14ac:dyDescent="0.3">
      <c r="B131" s="127">
        <v>101</v>
      </c>
      <c r="C131" s="206">
        <f>$D$7+-0.179611*$E$7</f>
        <v>0.13575614943997799</v>
      </c>
      <c r="D131" s="206">
        <f>MIN($D$8+0.196776*$E$8,'Debt &amp; Cost of Capital'!$C$38)</f>
        <v>5.6180656000000002E-2</v>
      </c>
      <c r="E131" s="207">
        <f>$D$9+0.820528*$E$9</f>
        <v>0.19183693770254634</v>
      </c>
      <c r="F131" s="207">
        <f>$D$10+-0.393741*$E$10</f>
        <v>0.1402751079999999</v>
      </c>
      <c r="G131" s="208">
        <f>$F131*(1-'Sensitivity &amp; Scenarios'!$C$12)+'Sensitivity &amp; Scenarios'!$C$9*'Sensitivity &amp; Scenarios'!$C$12-'Sensitivity &amp; Scenarios'!$C$10</f>
        <v>7.4163281404864626E-2</v>
      </c>
      <c r="H131" s="209">
        <f>('Sensitivity &amp; Scenarios'!$C$6*(1+$E131)^1*$G131+'Sensitivity &amp; Scenarios'!$C$11*'Sensitivity &amp; Scenarios'!$C$6*((1+$E131)^1-(1+$E131)^0))*'Sensitivity &amp; Scenarios'!$C$18/(1+$C131)^'Sensitivity &amp; Scenarios'!$C$18+('Sensitivity &amp; Scenarios'!$C$6*(1+$E131)^2*$G131+'Sensitivity &amp; Scenarios'!$C$11*'Sensitivity &amp; Scenarios'!$C$6*((1+$E131)^2-(1+$E131)^1))/(1+$C131)^('Sensitivity &amp; Scenarios'!$C$18+1)+('Sensitivity &amp; Scenarios'!$C$6*(1+$E131)^3*$G131+'Sensitivity &amp; Scenarios'!$C$11*'Sensitivity &amp; Scenarios'!$C$6*((1+$E131)^3-(1+$E131)^2))/(1+$C131)^('Sensitivity &amp; Scenarios'!$C$18+2)+('Sensitivity &amp; Scenarios'!$C$6*(1+$E131)^4*$G131+'Sensitivity &amp; Scenarios'!$C$11*'Sensitivity &amp; Scenarios'!$C$6*((1+$E131)^4-(1+$E131)^3))/(1+$C131)^('Sensitivity &amp; Scenarios'!$C$18+3)+('Sensitivity &amp; Scenarios'!$C$6*(1+$E131)^5*$G131+'Sensitivity &amp; Scenarios'!$C$11*'Sensitivity &amp; Scenarios'!$C$6*((1+$E131)^5-(1+$E131)^4))/(1+$C131)^('Sensitivity &amp; Scenarios'!$C$18+4)</f>
        <v>24599.558115209191</v>
      </c>
      <c r="I131" s="209">
        <f>('Sensitivity &amp; Scenarios'!$C$6*(1+$E131)^5*$G131+'Sensitivity &amp; Scenarios'!$C$11*'Sensitivity &amp; Scenarios'!$C$6*((1+$E131)^5-(1+$E131)^4))*(1+$D131)/($C131-$D131)/(1+$C131)^('Sensitivity &amp; Scenarios'!$C$18+4)</f>
        <v>76854.193789738449</v>
      </c>
      <c r="J131" s="209">
        <f>($H131+$I131-'Sensitivity &amp; Scenarios'!$C$15+'Sensitivity &amp; Scenarios'!$C$16)/'Sensitivity &amp; Scenarios'!$C$17</f>
        <v>2422.0384952962713</v>
      </c>
    </row>
    <row r="132" spans="2:10" x14ac:dyDescent="0.3">
      <c r="B132" s="127">
        <v>102</v>
      </c>
      <c r="C132" s="206">
        <f>$D$7+0.521167*$E$7</f>
        <v>0.14276392943997798</v>
      </c>
      <c r="D132" s="206">
        <f>MIN($D$8+-0.265839*$E$8,'Debt &amp; Cost of Capital'!$C$38)</f>
        <v>5.3404965999999998E-2</v>
      </c>
      <c r="E132" s="207">
        <f>$D$9+-0.117542*$E$9</f>
        <v>0.16369483770254634</v>
      </c>
      <c r="F132" s="207">
        <f>$D$10+0.829519*$E$10</f>
        <v>0.15495422799999992</v>
      </c>
      <c r="G132" s="208">
        <f>$F132*(1-'Sensitivity &amp; Scenarios'!$C$12)+'Sensitivity &amp; Scenarios'!$C$9*'Sensitivity &amp; Scenarios'!$C$12-'Sensitivity &amp; Scenarios'!$C$10</f>
        <v>8.5147666900864644E-2</v>
      </c>
      <c r="H132" s="209">
        <f>('Sensitivity &amp; Scenarios'!$C$6*(1+$E132)^1*$G132+'Sensitivity &amp; Scenarios'!$C$11*'Sensitivity &amp; Scenarios'!$C$6*((1+$E132)^1-(1+$E132)^0))*'Sensitivity &amp; Scenarios'!$C$18/(1+$C132)^'Sensitivity &amp; Scenarios'!$C$18+('Sensitivity &amp; Scenarios'!$C$6*(1+$E132)^2*$G132+'Sensitivity &amp; Scenarios'!$C$11*'Sensitivity &amp; Scenarios'!$C$6*((1+$E132)^2-(1+$E132)^1))/(1+$C132)^('Sensitivity &amp; Scenarios'!$C$18+1)+('Sensitivity &amp; Scenarios'!$C$6*(1+$E132)^3*$G132+'Sensitivity &amp; Scenarios'!$C$11*'Sensitivity &amp; Scenarios'!$C$6*((1+$E132)^3-(1+$E132)^2))/(1+$C132)^('Sensitivity &amp; Scenarios'!$C$18+2)+('Sensitivity &amp; Scenarios'!$C$6*(1+$E132)^4*$G132+'Sensitivity &amp; Scenarios'!$C$11*'Sensitivity &amp; Scenarios'!$C$6*((1+$E132)^4-(1+$E132)^3))/(1+$C132)^('Sensitivity &amp; Scenarios'!$C$18+3)+('Sensitivity &amp; Scenarios'!$C$6*(1+$E132)^5*$G132+'Sensitivity &amp; Scenarios'!$C$11*'Sensitivity &amp; Scenarios'!$C$6*((1+$E132)^5-(1+$E132)^4))/(1+$C132)^('Sensitivity &amp; Scenarios'!$C$18+4)</f>
        <v>24514.878501116717</v>
      </c>
      <c r="I132" s="209">
        <f>('Sensitivity &amp; Scenarios'!$C$6*(1+$E132)^5*$G132+'Sensitivity &amp; Scenarios'!$C$11*'Sensitivity &amp; Scenarios'!$C$6*((1+$E132)^5-(1+$E132)^4))*(1+$D132)/($C132-$D132)/(1+$C132)^('Sensitivity &amp; Scenarios'!$C$18+4)</f>
        <v>64479.594971387778</v>
      </c>
      <c r="J132" s="209">
        <f>($H132+$I132-'Sensitivity &amp; Scenarios'!$C$15+'Sensitivity &amp; Scenarios'!$C$16)/'Sensitivity &amp; Scenarios'!$C$17</f>
        <v>2159.7859303462069</v>
      </c>
    </row>
    <row r="133" spans="2:10" x14ac:dyDescent="0.3">
      <c r="B133" s="127">
        <v>103</v>
      </c>
      <c r="C133" s="206">
        <f>$D$7+-1.99306*$E$7</f>
        <v>0.11762165943997799</v>
      </c>
      <c r="D133" s="206">
        <f>MIN($D$8+-1.296472*$E$8,'Debt &amp; Cost of Capital'!$C$38)</f>
        <v>4.7221168000000001E-2</v>
      </c>
      <c r="E133" s="207">
        <f>$D$9+-1.482185*$E$9</f>
        <v>0.12275554770254635</v>
      </c>
      <c r="F133" s="207">
        <f>$D$10+-2.333616*$E$10</f>
        <v>0.1169966079999999</v>
      </c>
      <c r="G133" s="208">
        <f>$F133*(1-'Sensitivity &amp; Scenarios'!$C$12)+'Sensitivity &amp; Scenarios'!$C$9*'Sensitivity &amp; Scenarios'!$C$12-'Sensitivity &amp; Scenarios'!$C$10</f>
        <v>5.6743979854864637E-2</v>
      </c>
      <c r="H133" s="209">
        <f>('Sensitivity &amp; Scenarios'!$C$6*(1+$E133)^1*$G133+'Sensitivity &amp; Scenarios'!$C$11*'Sensitivity &amp; Scenarios'!$C$6*((1+$E133)^1-(1+$E133)^0))*'Sensitivity &amp; Scenarios'!$C$18/(1+$C133)^'Sensitivity &amp; Scenarios'!$C$18+('Sensitivity &amp; Scenarios'!$C$6*(1+$E133)^2*$G133+'Sensitivity &amp; Scenarios'!$C$11*'Sensitivity &amp; Scenarios'!$C$6*((1+$E133)^2-(1+$E133)^1))/(1+$C133)^('Sensitivity &amp; Scenarios'!$C$18+1)+('Sensitivity &amp; Scenarios'!$C$6*(1+$E133)^3*$G133+'Sensitivity &amp; Scenarios'!$C$11*'Sensitivity &amp; Scenarios'!$C$6*((1+$E133)^3-(1+$E133)^2))/(1+$C133)^('Sensitivity &amp; Scenarios'!$C$18+2)+('Sensitivity &amp; Scenarios'!$C$6*(1+$E133)^4*$G133+'Sensitivity &amp; Scenarios'!$C$11*'Sensitivity &amp; Scenarios'!$C$6*((1+$E133)^4-(1+$E133)^3))/(1+$C133)^('Sensitivity &amp; Scenarios'!$C$18+3)+('Sensitivity &amp; Scenarios'!$C$6*(1+$E133)^5*$G133+'Sensitivity &amp; Scenarios'!$C$11*'Sensitivity &amp; Scenarios'!$C$6*((1+$E133)^5-(1+$E133)^4))/(1+$C133)^('Sensitivity &amp; Scenarios'!$C$18+4)</f>
        <v>15917.142987628256</v>
      </c>
      <c r="I133" s="209">
        <f>('Sensitivity &amp; Scenarios'!$C$6*(1+$E133)^5*$G133+'Sensitivity &amp; Scenarios'!$C$11*'Sensitivity &amp; Scenarios'!$C$6*((1+$E133)^5-(1+$E133)^4))*(1+$D133)/($C133-$D133)/(1+$C133)^('Sensitivity &amp; Scenarios'!$C$18+4)</f>
        <v>51538.783322780153</v>
      </c>
      <c r="J133" s="209">
        <f>($H133+$I133-'Sensitivity &amp; Scenarios'!$C$15+'Sensitivity &amp; Scenarios'!$C$16)/'Sensitivity &amp; Scenarios'!$C$17</f>
        <v>1706.4258686712694</v>
      </c>
    </row>
    <row r="134" spans="2:10" x14ac:dyDescent="0.3">
      <c r="B134" s="127">
        <v>104</v>
      </c>
      <c r="C134" s="206">
        <f>$D$7+-0.678264*$E$7</f>
        <v>0.13076961943997797</v>
      </c>
      <c r="D134" s="206">
        <f>MIN($D$8+0.749434*$E$8,'Debt &amp; Cost of Capital'!$C$38)</f>
        <v>5.9496604000000002E-2</v>
      </c>
      <c r="E134" s="207">
        <f>$D$9+-0.284884*$E$9</f>
        <v>0.15867457770254634</v>
      </c>
      <c r="F134" s="207">
        <f>$D$10+0.19779*$E$10</f>
        <v>0.14737347999999992</v>
      </c>
      <c r="G134" s="208">
        <f>$F134*(1-'Sensitivity &amp; Scenarios'!$C$12)+'Sensitivity &amp; Scenarios'!$C$9*'Sensitivity &amp; Scenarios'!$C$12-'Sensitivity &amp; Scenarios'!$C$10</f>
        <v>7.9474993172464647E-2</v>
      </c>
      <c r="H134" s="209">
        <f>('Sensitivity &amp; Scenarios'!$C$6*(1+$E134)^1*$G134+'Sensitivity &amp; Scenarios'!$C$11*'Sensitivity &amp; Scenarios'!$C$6*((1+$E134)^1-(1+$E134)^0))*'Sensitivity &amp; Scenarios'!$C$18/(1+$C134)^'Sensitivity &amp; Scenarios'!$C$18+('Sensitivity &amp; Scenarios'!$C$6*(1+$E134)^2*$G134+'Sensitivity &amp; Scenarios'!$C$11*'Sensitivity &amp; Scenarios'!$C$6*((1+$E134)^2-(1+$E134)^1))/(1+$C134)^('Sensitivity &amp; Scenarios'!$C$18+1)+('Sensitivity &amp; Scenarios'!$C$6*(1+$E134)^3*$G134+'Sensitivity &amp; Scenarios'!$C$11*'Sensitivity &amp; Scenarios'!$C$6*((1+$E134)^3-(1+$E134)^2))/(1+$C134)^('Sensitivity &amp; Scenarios'!$C$18+2)+('Sensitivity &amp; Scenarios'!$C$6*(1+$E134)^4*$G134+'Sensitivity &amp; Scenarios'!$C$11*'Sensitivity &amp; Scenarios'!$C$6*((1+$E134)^4-(1+$E134)^3))/(1+$C134)^('Sensitivity &amp; Scenarios'!$C$18+3)+('Sensitivity &amp; Scenarios'!$C$6*(1+$E134)^5*$G134+'Sensitivity &amp; Scenarios'!$C$11*'Sensitivity &amp; Scenarios'!$C$6*((1+$E134)^5-(1+$E134)^4))/(1+$C134)^('Sensitivity &amp; Scenarios'!$C$18+4)</f>
        <v>23405.399049112879</v>
      </c>
      <c r="I134" s="209">
        <f>('Sensitivity &amp; Scenarios'!$C$6*(1+$E134)^5*$G134+'Sensitivity &amp; Scenarios'!$C$11*'Sensitivity &amp; Scenarios'!$C$6*((1+$E134)^5-(1+$E134)^4))*(1+$D134)/($C134-$D134)/(1+$C134)^('Sensitivity &amp; Scenarios'!$C$18+4)</f>
        <v>78505.909899821243</v>
      </c>
      <c r="J134" s="209">
        <f>($H134+$I134-'Sensitivity &amp; Scenarios'!$C$15+'Sensitivity &amp; Scenarios'!$C$16)/'Sensitivity &amp; Scenarios'!$C$17</f>
        <v>2431.6695111730787</v>
      </c>
    </row>
    <row r="135" spans="2:10" x14ac:dyDescent="0.3">
      <c r="B135" s="127">
        <v>105</v>
      </c>
      <c r="C135" s="206">
        <f>$D$7+1.089217*$E$7</f>
        <v>0.14844442943997799</v>
      </c>
      <c r="D135" s="206">
        <f>MIN($D$8+1.327686*$E$8,'Debt &amp; Cost of Capital'!$C$38)</f>
        <v>6.2966116000000003E-2</v>
      </c>
      <c r="E135" s="207">
        <f>$D$9+-0.069138*$E$9</f>
        <v>0.16514695770254634</v>
      </c>
      <c r="F135" s="207">
        <f>$D$10+1.353586*$E$10</f>
        <v>0.1612430319999999</v>
      </c>
      <c r="G135" s="208">
        <f>$F135*(1-'Sensitivity &amp; Scenarios'!$C$12)+'Sensitivity &amp; Scenarios'!$C$9*'Sensitivity &amp; Scenarios'!$C$12-'Sensitivity &amp; Scenarios'!$C$10</f>
        <v>8.9853578934064635E-2</v>
      </c>
      <c r="H135" s="209">
        <f>('Sensitivity &amp; Scenarios'!$C$6*(1+$E135)^1*$G135+'Sensitivity &amp; Scenarios'!$C$11*'Sensitivity &amp; Scenarios'!$C$6*((1+$E135)^1-(1+$E135)^0))*'Sensitivity &amp; Scenarios'!$C$18/(1+$C135)^'Sensitivity &amp; Scenarios'!$C$18+('Sensitivity &amp; Scenarios'!$C$6*(1+$E135)^2*$G135+'Sensitivity &amp; Scenarios'!$C$11*'Sensitivity &amp; Scenarios'!$C$6*((1+$E135)^2-(1+$E135)^1))/(1+$C135)^('Sensitivity &amp; Scenarios'!$C$18+1)+('Sensitivity &amp; Scenarios'!$C$6*(1+$E135)^3*$G135+'Sensitivity &amp; Scenarios'!$C$11*'Sensitivity &amp; Scenarios'!$C$6*((1+$E135)^3-(1+$E135)^2))/(1+$C135)^('Sensitivity &amp; Scenarios'!$C$18+2)+('Sensitivity &amp; Scenarios'!$C$6*(1+$E135)^4*$G135+'Sensitivity &amp; Scenarios'!$C$11*'Sensitivity &amp; Scenarios'!$C$6*((1+$E135)^4-(1+$E135)^3))/(1+$C135)^('Sensitivity &amp; Scenarios'!$C$18+3)+('Sensitivity &amp; Scenarios'!$C$6*(1+$E135)^5*$G135+'Sensitivity &amp; Scenarios'!$C$11*'Sensitivity &amp; Scenarios'!$C$6*((1+$E135)^5-(1+$E135)^4))/(1+$C135)^('Sensitivity &amp; Scenarios'!$C$18+4)</f>
        <v>25434.183802747473</v>
      </c>
      <c r="I135" s="209">
        <f>('Sensitivity &amp; Scenarios'!$C$6*(1+$E135)^5*$G135+'Sensitivity &amp; Scenarios'!$C$11*'Sensitivity &amp; Scenarios'!$C$6*((1+$E135)^5-(1+$E135)^4))*(1+$D135)/($C135-$D135)/(1+$C135)^('Sensitivity &amp; Scenarios'!$C$18+4)</f>
        <v>70096.442980860927</v>
      </c>
      <c r="J135" s="209">
        <f>($H135+$I135-'Sensitivity &amp; Scenarios'!$C$15+'Sensitivity &amp; Scenarios'!$C$16)/'Sensitivity &amp; Scenarios'!$C$17</f>
        <v>2297.3639594462225</v>
      </c>
    </row>
    <row r="136" spans="2:10" x14ac:dyDescent="0.3">
      <c r="B136" s="127">
        <v>106</v>
      </c>
      <c r="C136" s="206">
        <f>$D$7+0.092127*$E$7</f>
        <v>0.13847352943997798</v>
      </c>
      <c r="D136" s="206">
        <f>MIN($D$8+-0.837398*$E$8,'Debt &amp; Cost of Capital'!$C$38)</f>
        <v>4.9975612000000003E-2</v>
      </c>
      <c r="E136" s="207">
        <f>$D$9+-0.5944*$E$9</f>
        <v>0.14938909770254633</v>
      </c>
      <c r="F136" s="207">
        <f>$D$10+-1.480537*$E$10</f>
        <v>0.12723355599999991</v>
      </c>
      <c r="G136" s="208">
        <f>$F136*(1-'Sensitivity &amp; Scenarios'!$C$12)+'Sensitivity &amp; Scenarios'!$C$9*'Sensitivity &amp; Scenarios'!$C$12-'Sensitivity &amp; Scenarios'!$C$10</f>
        <v>6.4404288043264646E-2</v>
      </c>
      <c r="H136" s="209">
        <f>('Sensitivity &amp; Scenarios'!$C$6*(1+$E136)^1*$G136+'Sensitivity &amp; Scenarios'!$C$11*'Sensitivity &amp; Scenarios'!$C$6*((1+$E136)^1-(1+$E136)^0))*'Sensitivity &amp; Scenarios'!$C$18/(1+$C136)^'Sensitivity &amp; Scenarios'!$C$18+('Sensitivity &amp; Scenarios'!$C$6*(1+$E136)^2*$G136+'Sensitivity &amp; Scenarios'!$C$11*'Sensitivity &amp; Scenarios'!$C$6*((1+$E136)^2-(1+$E136)^1))/(1+$C136)^('Sensitivity &amp; Scenarios'!$C$18+1)+('Sensitivity &amp; Scenarios'!$C$6*(1+$E136)^3*$G136+'Sensitivity &amp; Scenarios'!$C$11*'Sensitivity &amp; Scenarios'!$C$6*((1+$E136)^3-(1+$E136)^2))/(1+$C136)^('Sensitivity &amp; Scenarios'!$C$18+2)+('Sensitivity &amp; Scenarios'!$C$6*(1+$E136)^4*$G136+'Sensitivity &amp; Scenarios'!$C$11*'Sensitivity &amp; Scenarios'!$C$6*((1+$E136)^4-(1+$E136)^3))/(1+$C136)^('Sensitivity &amp; Scenarios'!$C$18+3)+('Sensitivity &amp; Scenarios'!$C$6*(1+$E136)^5*$G136+'Sensitivity &amp; Scenarios'!$C$11*'Sensitivity &amp; Scenarios'!$C$6*((1+$E136)^5-(1+$E136)^4))/(1+$C136)^('Sensitivity &amp; Scenarios'!$C$18+4)</f>
        <v>18630.33523308385</v>
      </c>
      <c r="I136" s="209">
        <f>('Sensitivity &amp; Scenarios'!$C$6*(1+$E136)^5*$G136+'Sensitivity &amp; Scenarios'!$C$11*'Sensitivity &amp; Scenarios'!$C$6*((1+$E136)^5-(1+$E136)^4))*(1+$D136)/($C136-$D136)/(1+$C136)^('Sensitivity &amp; Scenarios'!$C$18+4)</f>
        <v>48552.508482566416</v>
      </c>
      <c r="J136" s="209">
        <f>($H136+$I136-'Sensitivity &amp; Scenarios'!$C$15+'Sensitivity &amp; Scenarios'!$C$16)/'Sensitivity &amp; Scenarios'!$C$17</f>
        <v>1700.6778142147566</v>
      </c>
    </row>
    <row r="137" spans="2:10" x14ac:dyDescent="0.3">
      <c r="B137" s="127">
        <v>107</v>
      </c>
      <c r="C137" s="206">
        <f>$D$7+-0.888134*$E$7</f>
        <v>0.12867091943997799</v>
      </c>
      <c r="D137" s="206">
        <f>MIN($D$8+-0.358017*$E$8,'Debt &amp; Cost of Capital'!$C$38)</f>
        <v>5.2851898000000001E-2</v>
      </c>
      <c r="E137" s="207">
        <f>$D$9+0.803585*$E$9</f>
        <v>0.19132864770254635</v>
      </c>
      <c r="F137" s="207">
        <f>$D$10+1.72077*$E$10</f>
        <v>0.16564923999999992</v>
      </c>
      <c r="G137" s="208">
        <f>$F137*(1-'Sensitivity &amp; Scenarios'!$C$12)+'Sensitivity &amp; Scenarios'!$C$9*'Sensitivity &amp; Scenarios'!$C$12-'Sensitivity &amp; Scenarios'!$C$10</f>
        <v>9.315074438046464E-2</v>
      </c>
      <c r="H137" s="209">
        <f>('Sensitivity &amp; Scenarios'!$C$6*(1+$E137)^1*$G137+'Sensitivity &amp; Scenarios'!$C$11*'Sensitivity &amp; Scenarios'!$C$6*((1+$E137)^1-(1+$E137)^0))*'Sensitivity &amp; Scenarios'!$C$18/(1+$C137)^'Sensitivity &amp; Scenarios'!$C$18+('Sensitivity &amp; Scenarios'!$C$6*(1+$E137)^2*$G137+'Sensitivity &amp; Scenarios'!$C$11*'Sensitivity &amp; Scenarios'!$C$6*((1+$E137)^2-(1+$E137)^1))/(1+$C137)^('Sensitivity &amp; Scenarios'!$C$18+1)+('Sensitivity &amp; Scenarios'!$C$6*(1+$E137)^3*$G137+'Sensitivity &amp; Scenarios'!$C$11*'Sensitivity &amp; Scenarios'!$C$6*((1+$E137)^3-(1+$E137)^2))/(1+$C137)^('Sensitivity &amp; Scenarios'!$C$18+2)+('Sensitivity &amp; Scenarios'!$C$6*(1+$E137)^4*$G137+'Sensitivity &amp; Scenarios'!$C$11*'Sensitivity &amp; Scenarios'!$C$6*((1+$E137)^4-(1+$E137)^3))/(1+$C137)^('Sensitivity &amp; Scenarios'!$C$18+3)+('Sensitivity &amp; Scenarios'!$C$6*(1+$E137)^5*$G137+'Sensitivity &amp; Scenarios'!$C$11*'Sensitivity &amp; Scenarios'!$C$6*((1+$E137)^5-(1+$E137)^4))/(1+$C137)^('Sensitivity &amp; Scenarios'!$C$18+4)</f>
        <v>30171.748168755792</v>
      </c>
      <c r="I137" s="209">
        <f>('Sensitivity &amp; Scenarios'!$C$6*(1+$E137)^5*$G137+'Sensitivity &amp; Scenarios'!$C$11*'Sensitivity &amp; Scenarios'!$C$6*((1+$E137)^5-(1+$E137)^4))*(1+$D137)/($C137-$D137)/(1+$C137)^('Sensitivity &amp; Scenarios'!$C$18+4)</f>
        <v>99632.378835367126</v>
      </c>
      <c r="J137" s="209">
        <f>($H137+$I137-'Sensitivity &amp; Scenarios'!$C$15+'Sensitivity &amp; Scenarios'!$C$16)/'Sensitivity &amp; Scenarios'!$C$17</f>
        <v>3018.7791996130659</v>
      </c>
    </row>
    <row r="138" spans="2:10" x14ac:dyDescent="0.3">
      <c r="B138" s="127">
        <v>108</v>
      </c>
      <c r="C138" s="206">
        <f>$D$7+-1.382182*$E$7</f>
        <v>0.12373043943997798</v>
      </c>
      <c r="D138" s="206">
        <f>MIN($D$8+0.392827*$E$8,'Debt &amp; Cost of Capital'!$C$38)</f>
        <v>5.7356961999999997E-2</v>
      </c>
      <c r="E138" s="207">
        <f>$D$9+-1.040544*$E$9</f>
        <v>0.13600477770254635</v>
      </c>
      <c r="F138" s="207">
        <f>$D$10+0.474697*$E$10</f>
        <v>0.15069636399999992</v>
      </c>
      <c r="G138" s="208">
        <f>$F138*(1-'Sensitivity &amp; Scenarios'!$C$12)+'Sensitivity &amp; Scenarios'!$C$9*'Sensitivity &amp; Scenarios'!$C$12-'Sensitivity &amp; Scenarios'!$C$10</f>
        <v>8.1961507269664641E-2</v>
      </c>
      <c r="H138" s="209">
        <f>('Sensitivity &amp; Scenarios'!$C$6*(1+$E138)^1*$G138+'Sensitivity &amp; Scenarios'!$C$11*'Sensitivity &amp; Scenarios'!$C$6*((1+$E138)^1-(1+$E138)^0))*'Sensitivity &amp; Scenarios'!$C$18/(1+$C138)^'Sensitivity &amp; Scenarios'!$C$18+('Sensitivity &amp; Scenarios'!$C$6*(1+$E138)^2*$G138+'Sensitivity &amp; Scenarios'!$C$11*'Sensitivity &amp; Scenarios'!$C$6*((1+$E138)^2-(1+$E138)^1))/(1+$C138)^('Sensitivity &amp; Scenarios'!$C$18+1)+('Sensitivity &amp; Scenarios'!$C$6*(1+$E138)^3*$G138+'Sensitivity &amp; Scenarios'!$C$11*'Sensitivity &amp; Scenarios'!$C$6*((1+$E138)^3-(1+$E138)^2))/(1+$C138)^('Sensitivity &amp; Scenarios'!$C$18+2)+('Sensitivity &amp; Scenarios'!$C$6*(1+$E138)^4*$G138+'Sensitivity &amp; Scenarios'!$C$11*'Sensitivity &amp; Scenarios'!$C$6*((1+$E138)^4-(1+$E138)^3))/(1+$C138)^('Sensitivity &amp; Scenarios'!$C$18+3)+('Sensitivity &amp; Scenarios'!$C$6*(1+$E138)^5*$G138+'Sensitivity &amp; Scenarios'!$C$11*'Sensitivity &amp; Scenarios'!$C$6*((1+$E138)^5-(1+$E138)^4))/(1+$C138)^('Sensitivity &amp; Scenarios'!$C$18+4)</f>
        <v>22506.379585470022</v>
      </c>
      <c r="I138" s="209">
        <f>('Sensitivity &amp; Scenarios'!$C$6*(1+$E138)^5*$G138+'Sensitivity &amp; Scenarios'!$C$11*'Sensitivity &amp; Scenarios'!$C$6*((1+$E138)^5-(1+$E138)^4))*(1+$D138)/($C138-$D138)/(1+$C138)^('Sensitivity &amp; Scenarios'!$C$18+4)</f>
        <v>78944.833446205957</v>
      </c>
      <c r="J138" s="209">
        <f>($H138+$I138-'Sensitivity &amp; Scenarios'!$C$15+'Sensitivity &amp; Scenarios'!$C$16)/'Sensitivity &amp; Scenarios'!$C$17</f>
        <v>2421.9850551206482</v>
      </c>
    </row>
    <row r="139" spans="2:10" x14ac:dyDescent="0.3">
      <c r="B139" s="127">
        <v>109</v>
      </c>
      <c r="C139" s="206">
        <f>$D$7+-0.131087*$E$7</f>
        <v>0.13624138943997799</v>
      </c>
      <c r="D139" s="206">
        <f>MIN($D$8+-1.830906*$E$8,'Debt &amp; Cost of Capital'!$C$38)</f>
        <v>4.4014563999999999E-2</v>
      </c>
      <c r="E139" s="207">
        <f>$D$9+0.928297*$E$9</f>
        <v>0.19507000770254634</v>
      </c>
      <c r="F139" s="207">
        <f>$D$10+-0.605001*$E$10</f>
        <v>0.1377399879999999</v>
      </c>
      <c r="G139" s="208">
        <f>$F139*(1-'Sensitivity &amp; Scenarios'!$C$12)+'Sensitivity &amp; Scenarios'!$C$9*'Sensitivity &amp; Scenarios'!$C$12-'Sensitivity &amp; Scenarios'!$C$10</f>
        <v>7.2266251108864629E-2</v>
      </c>
      <c r="H139" s="209">
        <f>('Sensitivity &amp; Scenarios'!$C$6*(1+$E139)^1*$G139+'Sensitivity &amp; Scenarios'!$C$11*'Sensitivity &amp; Scenarios'!$C$6*((1+$E139)^1-(1+$E139)^0))*'Sensitivity &amp; Scenarios'!$C$18/(1+$C139)^'Sensitivity &amp; Scenarios'!$C$18+('Sensitivity &amp; Scenarios'!$C$6*(1+$E139)^2*$G139+'Sensitivity &amp; Scenarios'!$C$11*'Sensitivity &amp; Scenarios'!$C$6*((1+$E139)^2-(1+$E139)^1))/(1+$C139)^('Sensitivity &amp; Scenarios'!$C$18+1)+('Sensitivity &amp; Scenarios'!$C$6*(1+$E139)^3*$G139+'Sensitivity &amp; Scenarios'!$C$11*'Sensitivity &amp; Scenarios'!$C$6*((1+$E139)^3-(1+$E139)^2))/(1+$C139)^('Sensitivity &amp; Scenarios'!$C$18+2)+('Sensitivity &amp; Scenarios'!$C$6*(1+$E139)^4*$G139+'Sensitivity &amp; Scenarios'!$C$11*'Sensitivity &amp; Scenarios'!$C$6*((1+$E139)^4-(1+$E139)^3))/(1+$C139)^('Sensitivity &amp; Scenarios'!$C$18+3)+('Sensitivity &amp; Scenarios'!$C$6*(1+$E139)^5*$G139+'Sensitivity &amp; Scenarios'!$C$11*'Sensitivity &amp; Scenarios'!$C$6*((1+$E139)^5-(1+$E139)^4))/(1+$C139)^('Sensitivity &amp; Scenarios'!$C$18+4)</f>
        <v>24341.96918757564</v>
      </c>
      <c r="I139" s="209">
        <f>('Sensitivity &amp; Scenarios'!$C$6*(1+$E139)^5*$G139+'Sensitivity &amp; Scenarios'!$C$11*'Sensitivity &amp; Scenarios'!$C$6*((1+$E139)^5-(1+$E139)^4))*(1+$D139)/($C139-$D139)/(1+$C139)^('Sensitivity &amp; Scenarios'!$C$18+4)</f>
        <v>65121.273883116744</v>
      </c>
      <c r="J139" s="209">
        <f>($H139+$I139-'Sensitivity &amp; Scenarios'!$C$15+'Sensitivity &amp; Scenarios'!$C$16)/'Sensitivity &amp; Scenarios'!$C$17</f>
        <v>2169.6529567684806</v>
      </c>
    </row>
    <row r="140" spans="2:10" x14ac:dyDescent="0.3">
      <c r="B140" s="127">
        <v>110</v>
      </c>
      <c r="C140" s="206">
        <f>$D$7+-0.5339*$E$7</f>
        <v>0.13221325943997797</v>
      </c>
      <c r="D140" s="206">
        <f>MIN($D$8+-1.069752*$E$8,'Debt &amp; Cost of Capital'!$C$38)</f>
        <v>4.8581487999999999E-2</v>
      </c>
      <c r="E140" s="207">
        <f>$D$9+-0.654283*$E$9</f>
        <v>0.14759260770254634</v>
      </c>
      <c r="F140" s="207">
        <f>$D$10+0.42789*$E$10</f>
        <v>0.15013467999999991</v>
      </c>
      <c r="G140" s="208">
        <f>$F140*(1-'Sensitivity &amp; Scenarios'!$C$12)+'Sensitivity &amp; Scenarios'!$C$9*'Sensitivity &amp; Scenarios'!$C$12-'Sensitivity &amp; Scenarios'!$C$10</f>
        <v>8.1541199132464631E-2</v>
      </c>
      <c r="H140" s="209">
        <f>('Sensitivity &amp; Scenarios'!$C$6*(1+$E140)^1*$G140+'Sensitivity &amp; Scenarios'!$C$11*'Sensitivity &amp; Scenarios'!$C$6*((1+$E140)^1-(1+$E140)^0))*'Sensitivity &amp; Scenarios'!$C$18/(1+$C140)^'Sensitivity &amp; Scenarios'!$C$18+('Sensitivity &amp; Scenarios'!$C$6*(1+$E140)^2*$G140+'Sensitivity &amp; Scenarios'!$C$11*'Sensitivity &amp; Scenarios'!$C$6*((1+$E140)^2-(1+$E140)^1))/(1+$C140)^('Sensitivity &amp; Scenarios'!$C$18+1)+('Sensitivity &amp; Scenarios'!$C$6*(1+$E140)^3*$G140+'Sensitivity &amp; Scenarios'!$C$11*'Sensitivity &amp; Scenarios'!$C$6*((1+$E140)^3-(1+$E140)^2))/(1+$C140)^('Sensitivity &amp; Scenarios'!$C$18+2)+('Sensitivity &amp; Scenarios'!$C$6*(1+$E140)^4*$G140+'Sensitivity &amp; Scenarios'!$C$11*'Sensitivity &amp; Scenarios'!$C$6*((1+$E140)^4-(1+$E140)^3))/(1+$C140)^('Sensitivity &amp; Scenarios'!$C$18+3)+('Sensitivity &amp; Scenarios'!$C$6*(1+$E140)^5*$G140+'Sensitivity &amp; Scenarios'!$C$11*'Sensitivity &amp; Scenarios'!$C$6*((1+$E140)^5-(1+$E140)^4))/(1+$C140)^('Sensitivity &amp; Scenarios'!$C$18+4)</f>
        <v>22891.419688894428</v>
      </c>
      <c r="I140" s="209">
        <f>('Sensitivity &amp; Scenarios'!$C$6*(1+$E140)^5*$G140+'Sensitivity &amp; Scenarios'!$C$11*'Sensitivity &amp; Scenarios'!$C$6*((1+$E140)^5-(1+$E140)^4))*(1+$D140)/($C140-$D140)/(1+$C140)^('Sensitivity &amp; Scenarios'!$C$18+4)</f>
        <v>63499.671796103292</v>
      </c>
      <c r="J140" s="209">
        <f>($H140+$I140-'Sensitivity &amp; Scenarios'!$C$15+'Sensitivity &amp; Scenarios'!$C$16)/'Sensitivity &amp; Scenarios'!$C$17</f>
        <v>2104.9879251912189</v>
      </c>
    </row>
    <row r="141" spans="2:10" x14ac:dyDescent="0.3">
      <c r="B141" s="127">
        <v>111</v>
      </c>
      <c r="C141" s="206">
        <f>$D$7+-0.189244*$E$7</f>
        <v>0.13565981943997799</v>
      </c>
      <c r="D141" s="206">
        <f>MIN($D$8+0.328662*$E$8,'Debt &amp; Cost of Capital'!$C$38)</f>
        <v>5.6971972000000003E-2</v>
      </c>
      <c r="E141" s="207">
        <f>$D$9+0.361922*$E$9</f>
        <v>0.17807875770254633</v>
      </c>
      <c r="F141" s="207">
        <f>$D$10+1.320662*$E$10</f>
        <v>0.16084794399999991</v>
      </c>
      <c r="G141" s="208">
        <f>$F141*(1-'Sensitivity &amp; Scenarios'!$C$12)+'Sensitivity &amp; Scenarios'!$C$9*'Sensitivity &amp; Scenarios'!$C$12-'Sensitivity &amp; Scenarios'!$C$10</f>
        <v>8.9557934583664636E-2</v>
      </c>
      <c r="H141" s="209">
        <f>('Sensitivity &amp; Scenarios'!$C$6*(1+$E141)^1*$G141+'Sensitivity &amp; Scenarios'!$C$11*'Sensitivity &amp; Scenarios'!$C$6*((1+$E141)^1-(1+$E141)^0))*'Sensitivity &amp; Scenarios'!$C$18/(1+$C141)^'Sensitivity &amp; Scenarios'!$C$18+('Sensitivity &amp; Scenarios'!$C$6*(1+$E141)^2*$G141+'Sensitivity &amp; Scenarios'!$C$11*'Sensitivity &amp; Scenarios'!$C$6*((1+$E141)^2-(1+$E141)^1))/(1+$C141)^('Sensitivity &amp; Scenarios'!$C$18+1)+('Sensitivity &amp; Scenarios'!$C$6*(1+$E141)^3*$G141+'Sensitivity &amp; Scenarios'!$C$11*'Sensitivity &amp; Scenarios'!$C$6*((1+$E141)^3-(1+$E141)^2))/(1+$C141)^('Sensitivity &amp; Scenarios'!$C$18+2)+('Sensitivity &amp; Scenarios'!$C$6*(1+$E141)^4*$G141+'Sensitivity &amp; Scenarios'!$C$11*'Sensitivity &amp; Scenarios'!$C$6*((1+$E141)^4-(1+$E141)^3))/(1+$C141)^('Sensitivity &amp; Scenarios'!$C$18+3)+('Sensitivity &amp; Scenarios'!$C$6*(1+$E141)^5*$G141+'Sensitivity &amp; Scenarios'!$C$11*'Sensitivity &amp; Scenarios'!$C$6*((1+$E141)^5-(1+$E141)^4))/(1+$C141)^('Sensitivity &amp; Scenarios'!$C$18+4)</f>
        <v>27391.54139721685</v>
      </c>
      <c r="I141" s="209">
        <f>('Sensitivity &amp; Scenarios'!$C$6*(1+$E141)^5*$G141+'Sensitivity &amp; Scenarios'!$C$11*'Sensitivity &amp; Scenarios'!$C$6*((1+$E141)^5-(1+$E141)^4))*(1+$D141)/($C141-$D141)/(1+$C141)^('Sensitivity &amp; Scenarios'!$C$18+4)</f>
        <v>84863.346850788017</v>
      </c>
      <c r="J141" s="209">
        <f>($H141+$I141-'Sensitivity &amp; Scenarios'!$C$15+'Sensitivity &amp; Scenarios'!$C$16)/'Sensitivity &amp; Scenarios'!$C$17</f>
        <v>2649.389198284508</v>
      </c>
    </row>
    <row r="142" spans="2:10" x14ac:dyDescent="0.3">
      <c r="B142" s="127">
        <v>112</v>
      </c>
      <c r="C142" s="206">
        <f>$D$7+-0.342786*$E$7</f>
        <v>0.13412439943997798</v>
      </c>
      <c r="D142" s="206">
        <f>MIN($D$8+-1.476858*$E$8,'Debt &amp; Cost of Capital'!$C$38)</f>
        <v>4.6138852000000001E-2</v>
      </c>
      <c r="E142" s="207">
        <f>$D$9+1.067222*$E$9</f>
        <v>0.19923775770254634</v>
      </c>
      <c r="F142" s="207">
        <f>$D$10+-0.331488*$E$10</f>
        <v>0.1410221439999999</v>
      </c>
      <c r="G142" s="208">
        <f>$F142*(1-'Sensitivity &amp; Scenarios'!$C$12)+'Sensitivity &amp; Scenarios'!$C$9*'Sensitivity &amp; Scenarios'!$C$12-'Sensitivity &amp; Scenarios'!$C$10</f>
        <v>7.4722288443664631E-2</v>
      </c>
      <c r="H142" s="209">
        <f>('Sensitivity &amp; Scenarios'!$C$6*(1+$E142)^1*$G142+'Sensitivity &amp; Scenarios'!$C$11*'Sensitivity &amp; Scenarios'!$C$6*((1+$E142)^1-(1+$E142)^0))*'Sensitivity &amp; Scenarios'!$C$18/(1+$C142)^'Sensitivity &amp; Scenarios'!$C$18+('Sensitivity &amp; Scenarios'!$C$6*(1+$E142)^2*$G142+'Sensitivity &amp; Scenarios'!$C$11*'Sensitivity &amp; Scenarios'!$C$6*((1+$E142)^2-(1+$E142)^1))/(1+$C142)^('Sensitivity &amp; Scenarios'!$C$18+1)+('Sensitivity &amp; Scenarios'!$C$6*(1+$E142)^3*$G142+'Sensitivity &amp; Scenarios'!$C$11*'Sensitivity &amp; Scenarios'!$C$6*((1+$E142)^3-(1+$E142)^2))/(1+$C142)^('Sensitivity &amp; Scenarios'!$C$18+2)+('Sensitivity &amp; Scenarios'!$C$6*(1+$E142)^4*$G142+'Sensitivity &amp; Scenarios'!$C$11*'Sensitivity &amp; Scenarios'!$C$6*((1+$E142)^4-(1+$E142)^3))/(1+$C142)^('Sensitivity &amp; Scenarios'!$C$18+3)+('Sensitivity &amp; Scenarios'!$C$6*(1+$E142)^5*$G142+'Sensitivity &amp; Scenarios'!$C$11*'Sensitivity &amp; Scenarios'!$C$6*((1+$E142)^5-(1+$E142)^4))/(1+$C142)^('Sensitivity &amp; Scenarios'!$C$18+4)</f>
        <v>25513.848894524461</v>
      </c>
      <c r="I142" s="209">
        <f>('Sensitivity &amp; Scenarios'!$C$6*(1+$E142)^5*$G142+'Sensitivity &amp; Scenarios'!$C$11*'Sensitivity &amp; Scenarios'!$C$6*((1+$E142)^5-(1+$E142)^4))*(1+$D142)/($C142-$D142)/(1+$C142)^('Sensitivity &amp; Scenarios'!$C$18+4)</f>
        <v>72364.308459291729</v>
      </c>
      <c r="J142" s="209">
        <f>($H142+$I142-'Sensitivity &amp; Scenarios'!$C$15+'Sensitivity &amp; Scenarios'!$C$16)/'Sensitivity &amp; Scenarios'!$C$17</f>
        <v>2346.7766053449268</v>
      </c>
    </row>
    <row r="143" spans="2:10" x14ac:dyDescent="0.3">
      <c r="B143" s="127">
        <v>113</v>
      </c>
      <c r="C143" s="206">
        <f>$D$7+1.114592*$E$7</f>
        <v>0.14869817943997798</v>
      </c>
      <c r="D143" s="206">
        <f>MIN($D$8+0.383377*$E$8,'Debt &amp; Cost of Capital'!$C$38)</f>
        <v>5.7300261999999998E-2</v>
      </c>
      <c r="E143" s="207">
        <f>$D$9+-0.131138*$E$9</f>
        <v>0.16328695770254634</v>
      </c>
      <c r="F143" s="207">
        <f>$D$10+0.348776*$E$10</f>
        <v>0.1491853119999999</v>
      </c>
      <c r="G143" s="208">
        <f>$F143*(1-'Sensitivity &amp; Scenarios'!$C$12)+'Sensitivity &amp; Scenarios'!$C$9*'Sensitivity &amp; Scenarios'!$C$12-'Sensitivity &amp; Scenarios'!$C$10</f>
        <v>8.0830787058064638E-2</v>
      </c>
      <c r="H143" s="209">
        <f>('Sensitivity &amp; Scenarios'!$C$6*(1+$E143)^1*$G143+'Sensitivity &amp; Scenarios'!$C$11*'Sensitivity &amp; Scenarios'!$C$6*((1+$E143)^1-(1+$E143)^0))*'Sensitivity &amp; Scenarios'!$C$18/(1+$C143)^'Sensitivity &amp; Scenarios'!$C$18+('Sensitivity &amp; Scenarios'!$C$6*(1+$E143)^2*$G143+'Sensitivity &amp; Scenarios'!$C$11*'Sensitivity &amp; Scenarios'!$C$6*((1+$E143)^2-(1+$E143)^1))/(1+$C143)^('Sensitivity &amp; Scenarios'!$C$18+1)+('Sensitivity &amp; Scenarios'!$C$6*(1+$E143)^3*$G143+'Sensitivity &amp; Scenarios'!$C$11*'Sensitivity &amp; Scenarios'!$C$6*((1+$E143)^3-(1+$E143)^2))/(1+$C143)^('Sensitivity &amp; Scenarios'!$C$18+2)+('Sensitivity &amp; Scenarios'!$C$6*(1+$E143)^4*$G143+'Sensitivity &amp; Scenarios'!$C$11*'Sensitivity &amp; Scenarios'!$C$6*((1+$E143)^4-(1+$E143)^3))/(1+$C143)^('Sensitivity &amp; Scenarios'!$C$18+3)+('Sensitivity &amp; Scenarios'!$C$6*(1+$E143)^5*$G143+'Sensitivity &amp; Scenarios'!$C$11*'Sensitivity &amp; Scenarios'!$C$6*((1+$E143)^5-(1+$E143)^4))/(1+$C143)^('Sensitivity &amp; Scenarios'!$C$18+4)</f>
        <v>23089.242789564312</v>
      </c>
      <c r="I143" s="209">
        <f>('Sensitivity &amp; Scenarios'!$C$6*(1+$E143)^5*$G143+'Sensitivity &amp; Scenarios'!$C$11*'Sensitivity &amp; Scenarios'!$C$6*((1+$E143)^5-(1+$E143)^4))*(1+$D143)/($C143-$D143)/(1+$C143)^('Sensitivity &amp; Scenarios'!$C$18+4)</f>
        <v>58999.917413733514</v>
      </c>
      <c r="J143" s="209">
        <f>($H143+$I143-'Sensitivity &amp; Scenarios'!$C$15+'Sensitivity &amp; Scenarios'!$C$16)/'Sensitivity &amp; Scenarios'!$C$17</f>
        <v>2014.43753585832</v>
      </c>
    </row>
    <row r="144" spans="2:10" x14ac:dyDescent="0.3">
      <c r="B144" s="127">
        <v>114</v>
      </c>
      <c r="C144" s="206">
        <f>$D$7+1.951013*$E$7</f>
        <v>0.15706238943997797</v>
      </c>
      <c r="D144" s="206">
        <f>MIN($D$8+2.076981*$E$8,'Debt &amp; Cost of Capital'!$C$38)</f>
        <v>6.7461885999999999E-2</v>
      </c>
      <c r="E144" s="207">
        <f>$D$9+0.069381*$E$9</f>
        <v>0.16930252770254633</v>
      </c>
      <c r="F144" s="207">
        <f>$D$10+0.160191*$E$10</f>
        <v>0.1469222919999999</v>
      </c>
      <c r="G144" s="208">
        <f>$F144*(1-'Sensitivity &amp; Scenarios'!$C$12)+'Sensitivity &amp; Scenarios'!$C$9*'Sensitivity &amp; Scenarios'!$C$12-'Sensitivity &amp; Scenarios'!$C$10</f>
        <v>7.9137369192064627E-2</v>
      </c>
      <c r="H144" s="209">
        <f>('Sensitivity &amp; Scenarios'!$C$6*(1+$E144)^1*$G144+'Sensitivity &amp; Scenarios'!$C$11*'Sensitivity &amp; Scenarios'!$C$6*((1+$E144)^1-(1+$E144)^0))*'Sensitivity &amp; Scenarios'!$C$18/(1+$C144)^'Sensitivity &amp; Scenarios'!$C$18+('Sensitivity &amp; Scenarios'!$C$6*(1+$E144)^2*$G144+'Sensitivity &amp; Scenarios'!$C$11*'Sensitivity &amp; Scenarios'!$C$6*((1+$E144)^2-(1+$E144)^1))/(1+$C144)^('Sensitivity &amp; Scenarios'!$C$18+1)+('Sensitivity &amp; Scenarios'!$C$6*(1+$E144)^3*$G144+'Sensitivity &amp; Scenarios'!$C$11*'Sensitivity &amp; Scenarios'!$C$6*((1+$E144)^3-(1+$E144)^2))/(1+$C144)^('Sensitivity &amp; Scenarios'!$C$18+2)+('Sensitivity &amp; Scenarios'!$C$6*(1+$E144)^4*$G144+'Sensitivity &amp; Scenarios'!$C$11*'Sensitivity &amp; Scenarios'!$C$6*((1+$E144)^4-(1+$E144)^3))/(1+$C144)^('Sensitivity &amp; Scenarios'!$C$18+3)+('Sensitivity &amp; Scenarios'!$C$6*(1+$E144)^5*$G144+'Sensitivity &amp; Scenarios'!$C$11*'Sensitivity &amp; Scenarios'!$C$6*((1+$E144)^5-(1+$E144)^4))/(1+$C144)^('Sensitivity &amp; Scenarios'!$C$18+4)</f>
        <v>22708.652260803072</v>
      </c>
      <c r="I144" s="209">
        <f>('Sensitivity &amp; Scenarios'!$C$6*(1+$E144)^5*$G144+'Sensitivity &amp; Scenarios'!$C$11*'Sensitivity &amp; Scenarios'!$C$6*((1+$E144)^5-(1+$E144)^4))*(1+$D144)/($C144-$D144)/(1+$C144)^('Sensitivity &amp; Scenarios'!$C$18+4)</f>
        <v>59532.594788799259</v>
      </c>
      <c r="J144" s="209">
        <f>($H144+$I144-'Sensitivity &amp; Scenarios'!$C$15+'Sensitivity &amp; Scenarios'!$C$16)/'Sensitivity &amp; Scenarios'!$C$17</f>
        <v>2017.6387778688256</v>
      </c>
    </row>
    <row r="145" spans="2:10" x14ac:dyDescent="0.3">
      <c r="B145" s="127">
        <v>115</v>
      </c>
      <c r="C145" s="206">
        <f>$D$7+1.07624*$E$7</f>
        <v>0.14831465943997799</v>
      </c>
      <c r="D145" s="206">
        <f>MIN($D$8+-0.845661*$E$8,'Debt &amp; Cost of Capital'!$C$38)</f>
        <v>4.9926034000000001E-2</v>
      </c>
      <c r="E145" s="207">
        <f>$D$9+0.33307*$E$9</f>
        <v>0.17721319770254634</v>
      </c>
      <c r="F145" s="207">
        <f>$D$10+-0.025863*$E$10</f>
        <v>0.1446896439999999</v>
      </c>
      <c r="G145" s="208">
        <f>$F145*(1-'Sensitivity &amp; Scenarios'!$C$12)+'Sensitivity &amp; Scenarios'!$C$9*'Sensitivity &amp; Scenarios'!$C$12-'Sensitivity &amp; Scenarios'!$C$10</f>
        <v>7.7466678693664623E-2</v>
      </c>
      <c r="H145" s="209">
        <f>('Sensitivity &amp; Scenarios'!$C$6*(1+$E145)^1*$G145+'Sensitivity &amp; Scenarios'!$C$11*'Sensitivity &amp; Scenarios'!$C$6*((1+$E145)^1-(1+$E145)^0))*'Sensitivity &amp; Scenarios'!$C$18/(1+$C145)^'Sensitivity &amp; Scenarios'!$C$18+('Sensitivity &amp; Scenarios'!$C$6*(1+$E145)^2*$G145+'Sensitivity &amp; Scenarios'!$C$11*'Sensitivity &amp; Scenarios'!$C$6*((1+$E145)^2-(1+$E145)^1))/(1+$C145)^('Sensitivity &amp; Scenarios'!$C$18+1)+('Sensitivity &amp; Scenarios'!$C$6*(1+$E145)^3*$G145+'Sensitivity &amp; Scenarios'!$C$11*'Sensitivity &amp; Scenarios'!$C$6*((1+$E145)^3-(1+$E145)^2))/(1+$C145)^('Sensitivity &amp; Scenarios'!$C$18+2)+('Sensitivity &amp; Scenarios'!$C$6*(1+$E145)^4*$G145+'Sensitivity &amp; Scenarios'!$C$11*'Sensitivity &amp; Scenarios'!$C$6*((1+$E145)^4-(1+$E145)^3))/(1+$C145)^('Sensitivity &amp; Scenarios'!$C$18+3)+('Sensitivity &amp; Scenarios'!$C$6*(1+$E145)^5*$G145+'Sensitivity &amp; Scenarios'!$C$11*'Sensitivity &amp; Scenarios'!$C$6*((1+$E145)^5-(1+$E145)^4))/(1+$C145)^('Sensitivity &amp; Scenarios'!$C$18+4)</f>
        <v>23446.02578445098</v>
      </c>
      <c r="I145" s="209">
        <f>('Sensitivity &amp; Scenarios'!$C$6*(1+$E145)^5*$G145+'Sensitivity &amp; Scenarios'!$C$11*'Sensitivity &amp; Scenarios'!$C$6*((1+$E145)^5-(1+$E145)^4))*(1+$D145)/($C145-$D145)/(1+$C145)^('Sensitivity &amp; Scenarios'!$C$18+4)</f>
        <v>56502.365544029031</v>
      </c>
      <c r="J145" s="209">
        <f>($H145+$I145-'Sensitivity &amp; Scenarios'!$C$15+'Sensitivity &amp; Scenarios'!$C$16)/'Sensitivity &amp; Scenarios'!$C$17</f>
        <v>1969.3769706393639</v>
      </c>
    </row>
    <row r="146" spans="2:10" x14ac:dyDescent="0.3">
      <c r="B146" s="127">
        <v>116</v>
      </c>
      <c r="C146" s="206">
        <f>$D$7+0.313908*$E$7</f>
        <v>0.14069133943997797</v>
      </c>
      <c r="D146" s="206">
        <f>MIN($D$8+-0.833369*$E$8,'Debt &amp; Cost of Capital'!$C$38)</f>
        <v>4.9999785999999997E-2</v>
      </c>
      <c r="E146" s="207">
        <f>$D$9+-1.589567*$E$9</f>
        <v>0.11953408770254634</v>
      </c>
      <c r="F146" s="207">
        <f>$D$10+-2.072983*$E$10</f>
        <v>0.1201242039999999</v>
      </c>
      <c r="G146" s="208">
        <f>$F146*(1-'Sensitivity &amp; Scenarios'!$C$12)+'Sensitivity &amp; Scenarios'!$C$9*'Sensitivity &amp; Scenarios'!$C$12-'Sensitivity &amp; Scenarios'!$C$10</f>
        <v>5.9084359941664638E-2</v>
      </c>
      <c r="H146" s="209">
        <f>('Sensitivity &amp; Scenarios'!$C$6*(1+$E146)^1*$G146+'Sensitivity &amp; Scenarios'!$C$11*'Sensitivity &amp; Scenarios'!$C$6*((1+$E146)^1-(1+$E146)^0))*'Sensitivity &amp; Scenarios'!$C$18/(1+$C146)^'Sensitivity &amp; Scenarios'!$C$18+('Sensitivity &amp; Scenarios'!$C$6*(1+$E146)^2*$G146+'Sensitivity &amp; Scenarios'!$C$11*'Sensitivity &amp; Scenarios'!$C$6*((1+$E146)^2-(1+$E146)^1))/(1+$C146)^('Sensitivity &amp; Scenarios'!$C$18+1)+('Sensitivity &amp; Scenarios'!$C$6*(1+$E146)^3*$G146+'Sensitivity &amp; Scenarios'!$C$11*'Sensitivity &amp; Scenarios'!$C$6*((1+$E146)^3-(1+$E146)^2))/(1+$C146)^('Sensitivity &amp; Scenarios'!$C$18+2)+('Sensitivity &amp; Scenarios'!$C$6*(1+$E146)^4*$G146+'Sensitivity &amp; Scenarios'!$C$11*'Sensitivity &amp; Scenarios'!$C$6*((1+$E146)^4-(1+$E146)^3))/(1+$C146)^('Sensitivity &amp; Scenarios'!$C$18+3)+('Sensitivity &amp; Scenarios'!$C$6*(1+$E146)^5*$G146+'Sensitivity &amp; Scenarios'!$C$11*'Sensitivity &amp; Scenarios'!$C$6*((1+$E146)^5-(1+$E146)^4))/(1+$C146)^('Sensitivity &amp; Scenarios'!$C$18+4)</f>
        <v>15349.481350498105</v>
      </c>
      <c r="I146" s="209">
        <f>('Sensitivity &amp; Scenarios'!$C$6*(1+$E146)^5*$G146+'Sensitivity &amp; Scenarios'!$C$11*'Sensitivity &amp; Scenarios'!$C$6*((1+$E146)^5-(1+$E146)^4))*(1+$D146)/($C146-$D146)/(1+$C146)^('Sensitivity &amp; Scenarios'!$C$18+4)</f>
        <v>37047.0777570219</v>
      </c>
      <c r="J146" s="209">
        <f>($H146+$I146-'Sensitivity &amp; Scenarios'!$C$15+'Sensitivity &amp; Scenarios'!$C$16)/'Sensitivity &amp; Scenarios'!$C$17</f>
        <v>1389.4446167555489</v>
      </c>
    </row>
    <row r="147" spans="2:10" x14ac:dyDescent="0.3">
      <c r="B147" s="127">
        <v>117</v>
      </c>
      <c r="C147" s="206">
        <f>$D$7+-1.117384*$E$7</f>
        <v>0.12637841943997799</v>
      </c>
      <c r="D147" s="206">
        <f>MIN($D$8+-0.458675*$E$8,'Debt &amp; Cost of Capital'!$C$38)</f>
        <v>5.2247950000000001E-2</v>
      </c>
      <c r="E147" s="207">
        <f>$D$9+-0.293192*$E$9</f>
        <v>0.15842533770254635</v>
      </c>
      <c r="F147" s="207">
        <f>$D$10+1.937231*$E$10</f>
        <v>0.16824677199999991</v>
      </c>
      <c r="G147" s="208">
        <f>$F147*(1-'Sensitivity &amp; Scenarios'!$C$12)+'Sensitivity &amp; Scenarios'!$C$9*'Sensitivity &amp; Scenarios'!$C$12-'Sensitivity &amp; Scenarios'!$C$10</f>
        <v>9.5094477576064623E-2</v>
      </c>
      <c r="H147" s="209">
        <f>('Sensitivity &amp; Scenarios'!$C$6*(1+$E147)^1*$G147+'Sensitivity &amp; Scenarios'!$C$11*'Sensitivity &amp; Scenarios'!$C$6*((1+$E147)^1-(1+$E147)^0))*'Sensitivity &amp; Scenarios'!$C$18/(1+$C147)^'Sensitivity &amp; Scenarios'!$C$18+('Sensitivity &amp; Scenarios'!$C$6*(1+$E147)^2*$G147+'Sensitivity &amp; Scenarios'!$C$11*'Sensitivity &amp; Scenarios'!$C$6*((1+$E147)^2-(1+$E147)^1))/(1+$C147)^('Sensitivity &amp; Scenarios'!$C$18+1)+('Sensitivity &amp; Scenarios'!$C$6*(1+$E147)^3*$G147+'Sensitivity &amp; Scenarios'!$C$11*'Sensitivity &amp; Scenarios'!$C$6*((1+$E147)^3-(1+$E147)^2))/(1+$C147)^('Sensitivity &amp; Scenarios'!$C$18+2)+('Sensitivity &amp; Scenarios'!$C$6*(1+$E147)^4*$G147+'Sensitivity &amp; Scenarios'!$C$11*'Sensitivity &amp; Scenarios'!$C$6*((1+$E147)^4-(1+$E147)^3))/(1+$C147)^('Sensitivity &amp; Scenarios'!$C$18+3)+('Sensitivity &amp; Scenarios'!$C$6*(1+$E147)^5*$G147+'Sensitivity &amp; Scenarios'!$C$11*'Sensitivity &amp; Scenarios'!$C$6*((1+$E147)^5-(1+$E147)^4))/(1+$C147)^('Sensitivity &amp; Scenarios'!$C$18+4)</f>
        <v>27551.176779257068</v>
      </c>
      <c r="I147" s="209">
        <f>('Sensitivity &amp; Scenarios'!$C$6*(1+$E147)^5*$G147+'Sensitivity &amp; Scenarios'!$C$11*'Sensitivity &amp; Scenarios'!$C$6*((1+$E147)^5-(1+$E147)^4))*(1+$D147)/($C147-$D147)/(1+$C147)^('Sensitivity &amp; Scenarios'!$C$18+4)</f>
        <v>88825.414627374354</v>
      </c>
      <c r="J147" s="209">
        <f>($H147+$I147-'Sensitivity &amp; Scenarios'!$C$15+'Sensitivity &amp; Scenarios'!$C$16)/'Sensitivity &amp; Scenarios'!$C$17</f>
        <v>2736.1460061665712</v>
      </c>
    </row>
    <row r="148" spans="2:10" x14ac:dyDescent="0.3">
      <c r="B148" s="127">
        <v>118</v>
      </c>
      <c r="C148" s="206">
        <f>$D$7+1.105993*$E$7</f>
        <v>0.14861218943997798</v>
      </c>
      <c r="D148" s="206">
        <f>MIN($D$8+-0.962091*$E$8,'Debt &amp; Cost of Capital'!$C$38)</f>
        <v>4.9227454000000004E-2</v>
      </c>
      <c r="E148" s="207">
        <f>$D$9+0.347708*$E$9</f>
        <v>0.17765233770254635</v>
      </c>
      <c r="F148" s="207">
        <f>$D$10+-0.407078*$E$10</f>
        <v>0.1401150639999999</v>
      </c>
      <c r="G148" s="208">
        <f>$F148*(1-'Sensitivity &amp; Scenarios'!$C$12)+'Sensitivity &amp; Scenarios'!$C$9*'Sensitivity &amp; Scenarios'!$C$12-'Sensitivity &amp; Scenarios'!$C$10</f>
        <v>7.4043520479664629E-2</v>
      </c>
      <c r="H148" s="209">
        <f>('Sensitivity &amp; Scenarios'!$C$6*(1+$E148)^1*$G148+'Sensitivity &amp; Scenarios'!$C$11*'Sensitivity &amp; Scenarios'!$C$6*((1+$E148)^1-(1+$E148)^0))*'Sensitivity &amp; Scenarios'!$C$18/(1+$C148)^'Sensitivity &amp; Scenarios'!$C$18+('Sensitivity &amp; Scenarios'!$C$6*(1+$E148)^2*$G148+'Sensitivity &amp; Scenarios'!$C$11*'Sensitivity &amp; Scenarios'!$C$6*((1+$E148)^2-(1+$E148)^1))/(1+$C148)^('Sensitivity &amp; Scenarios'!$C$18+1)+('Sensitivity &amp; Scenarios'!$C$6*(1+$E148)^3*$G148+'Sensitivity &amp; Scenarios'!$C$11*'Sensitivity &amp; Scenarios'!$C$6*((1+$E148)^3-(1+$E148)^2))/(1+$C148)^('Sensitivity &amp; Scenarios'!$C$18+2)+('Sensitivity &amp; Scenarios'!$C$6*(1+$E148)^4*$G148+'Sensitivity &amp; Scenarios'!$C$11*'Sensitivity &amp; Scenarios'!$C$6*((1+$E148)^4-(1+$E148)^3))/(1+$C148)^('Sensitivity &amp; Scenarios'!$C$18+3)+('Sensitivity &amp; Scenarios'!$C$6*(1+$E148)^5*$G148+'Sensitivity &amp; Scenarios'!$C$11*'Sensitivity &amp; Scenarios'!$C$6*((1+$E148)^5-(1+$E148)^4))/(1+$C148)^('Sensitivity &amp; Scenarios'!$C$18+4)</f>
        <v>22611.52209021552</v>
      </c>
      <c r="I148" s="209">
        <f>('Sensitivity &amp; Scenarios'!$C$6*(1+$E148)^5*$G148+'Sensitivity &amp; Scenarios'!$C$11*'Sensitivity &amp; Scenarios'!$C$6*((1+$E148)^5-(1+$E148)^4))*(1+$D148)/($C148-$D148)/(1+$C148)^('Sensitivity &amp; Scenarios'!$C$18+4)</f>
        <v>53920.286821730391</v>
      </c>
      <c r="J148" s="209">
        <f>($H148+$I148-'Sensitivity &amp; Scenarios'!$C$15+'Sensitivity &amp; Scenarios'!$C$16)/'Sensitivity &amp; Scenarios'!$C$17</f>
        <v>1897.4620915428172</v>
      </c>
    </row>
    <row r="149" spans="2:10" x14ac:dyDescent="0.3">
      <c r="B149" s="127">
        <v>119</v>
      </c>
      <c r="C149" s="206">
        <f>$D$7+-0.284364*$E$7</f>
        <v>0.13470861943997797</v>
      </c>
      <c r="D149" s="206">
        <f>MIN($D$8+0.185326*$E$8,'Debt &amp; Cost of Capital'!$C$38)</f>
        <v>5.6111955999999998E-2</v>
      </c>
      <c r="E149" s="207">
        <f>$D$9+0.619171*$E$9</f>
        <v>0.18579622770254633</v>
      </c>
      <c r="F149" s="207">
        <f>$D$10+-0.339258*$E$10</f>
        <v>0.14092890399999991</v>
      </c>
      <c r="G149" s="208">
        <f>$F149*(1-'Sensitivity &amp; Scenarios'!$C$12)+'Sensitivity &amp; Scenarios'!$C$9*'Sensitivity &amp; Scenarios'!$C$12-'Sensitivity &amp; Scenarios'!$C$10</f>
        <v>7.4652516951664638E-2</v>
      </c>
      <c r="H149" s="209">
        <f>('Sensitivity &amp; Scenarios'!$C$6*(1+$E149)^1*$G149+'Sensitivity &amp; Scenarios'!$C$11*'Sensitivity &amp; Scenarios'!$C$6*((1+$E149)^1-(1+$E149)^0))*'Sensitivity &amp; Scenarios'!$C$18/(1+$C149)^'Sensitivity &amp; Scenarios'!$C$18+('Sensitivity &amp; Scenarios'!$C$6*(1+$E149)^2*$G149+'Sensitivity &amp; Scenarios'!$C$11*'Sensitivity &amp; Scenarios'!$C$6*((1+$E149)^2-(1+$E149)^1))/(1+$C149)^('Sensitivity &amp; Scenarios'!$C$18+1)+('Sensitivity &amp; Scenarios'!$C$6*(1+$E149)^3*$G149+'Sensitivity &amp; Scenarios'!$C$11*'Sensitivity &amp; Scenarios'!$C$6*((1+$E149)^3-(1+$E149)^2))/(1+$C149)^('Sensitivity &amp; Scenarios'!$C$18+2)+('Sensitivity &amp; Scenarios'!$C$6*(1+$E149)^4*$G149+'Sensitivity &amp; Scenarios'!$C$11*'Sensitivity &amp; Scenarios'!$C$6*((1+$E149)^4-(1+$E149)^3))/(1+$C149)^('Sensitivity &amp; Scenarios'!$C$18+3)+('Sensitivity &amp; Scenarios'!$C$6*(1+$E149)^5*$G149+'Sensitivity &amp; Scenarios'!$C$11*'Sensitivity &amp; Scenarios'!$C$6*((1+$E149)^5-(1+$E149)^4))/(1+$C149)^('Sensitivity &amp; Scenarios'!$C$18+4)</f>
        <v>24266.953307797015</v>
      </c>
      <c r="I149" s="209">
        <f>('Sensitivity &amp; Scenarios'!$C$6*(1+$E149)^5*$G149+'Sensitivity &amp; Scenarios'!$C$11*'Sensitivity &amp; Scenarios'!$C$6*((1+$E149)^5-(1+$E149)^4))*(1+$D149)/($C149-$D149)/(1+$C149)^('Sensitivity &amp; Scenarios'!$C$18+4)</f>
        <v>76195.160376726722</v>
      </c>
      <c r="J149" s="209">
        <f>($H149+$I149-'Sensitivity &amp; Scenarios'!$C$15+'Sensitivity &amp; Scenarios'!$C$16)/'Sensitivity &amp; Scenarios'!$C$17</f>
        <v>2401.1657241948965</v>
      </c>
    </row>
    <row r="150" spans="2:10" x14ac:dyDescent="0.3">
      <c r="B150" s="127">
        <v>120</v>
      </c>
      <c r="C150" s="206">
        <f>$D$7+1.063852*$E$7</f>
        <v>0.14819077943997799</v>
      </c>
      <c r="D150" s="206">
        <f>MIN($D$8+-1.141938*$E$8,'Debt &amp; Cost of Capital'!$C$38)</f>
        <v>4.8148372000000002E-2</v>
      </c>
      <c r="E150" s="207">
        <f>$D$9+0.006339*$E$9</f>
        <v>0.16741126770254633</v>
      </c>
      <c r="F150" s="207">
        <f>$D$10+2.597674*$E$10</f>
        <v>0.17617208799999989</v>
      </c>
      <c r="G150" s="208">
        <f>$F150*(1-'Sensitivity &amp; Scenarios'!$C$12)+'Sensitivity &amp; Scenarios'!$C$9*'Sensitivity &amp; Scenarios'!$C$12-'Sensitivity &amp; Scenarios'!$C$10</f>
        <v>0.10102499153886463</v>
      </c>
      <c r="H150" s="209">
        <f>('Sensitivity &amp; Scenarios'!$C$6*(1+$E150)^1*$G150+'Sensitivity &amp; Scenarios'!$C$11*'Sensitivity &amp; Scenarios'!$C$6*((1+$E150)^1-(1+$E150)^0))*'Sensitivity &amp; Scenarios'!$C$18/(1+$C150)^'Sensitivity &amp; Scenarios'!$C$18+('Sensitivity &amp; Scenarios'!$C$6*(1+$E150)^2*$G150+'Sensitivity &amp; Scenarios'!$C$11*'Sensitivity &amp; Scenarios'!$C$6*((1+$E150)^2-(1+$E150)^1))/(1+$C150)^('Sensitivity &amp; Scenarios'!$C$18+1)+('Sensitivity &amp; Scenarios'!$C$6*(1+$E150)^3*$G150+'Sensitivity &amp; Scenarios'!$C$11*'Sensitivity &amp; Scenarios'!$C$6*((1+$E150)^3-(1+$E150)^2))/(1+$C150)^('Sensitivity &amp; Scenarios'!$C$18+2)+('Sensitivity &amp; Scenarios'!$C$6*(1+$E150)^4*$G150+'Sensitivity &amp; Scenarios'!$C$11*'Sensitivity &amp; Scenarios'!$C$6*((1+$E150)^4-(1+$E150)^3))/(1+$C150)^('Sensitivity &amp; Scenarios'!$C$18+3)+('Sensitivity &amp; Scenarios'!$C$6*(1+$E150)^5*$G150+'Sensitivity &amp; Scenarios'!$C$11*'Sensitivity &amp; Scenarios'!$C$6*((1+$E150)^5-(1+$E150)^4))/(1+$C150)^('Sensitivity &amp; Scenarios'!$C$18+4)</f>
        <v>28365.4922926728</v>
      </c>
      <c r="I150" s="209">
        <f>('Sensitivity &amp; Scenarios'!$C$6*(1+$E150)^5*$G150+'Sensitivity &amp; Scenarios'!$C$11*'Sensitivity &amp; Scenarios'!$C$6*((1+$E150)^5-(1+$E150)^4))*(1+$D150)/($C150-$D150)/(1+$C150)^('Sensitivity &amp; Scenarios'!$C$18+4)</f>
        <v>66122.091967088127</v>
      </c>
      <c r="J150" s="209">
        <f>($H150+$I150-'Sensitivity &amp; Scenarios'!$C$15+'Sensitivity &amp; Scenarios'!$C$16)/'Sensitivity &amp; Scenarios'!$C$17</f>
        <v>2275.4091906597164</v>
      </c>
    </row>
    <row r="151" spans="2:10" x14ac:dyDescent="0.3">
      <c r="B151" s="127">
        <v>121</v>
      </c>
      <c r="C151" s="206">
        <f>$D$7+0.22308*$E$7</f>
        <v>0.13978305943997799</v>
      </c>
      <c r="D151" s="206">
        <f>MIN($D$8+1.433215*$E$8,'Debt &amp; Cost of Capital'!$C$38)</f>
        <v>6.3599290000000003E-2</v>
      </c>
      <c r="E151" s="207">
        <f>$D$9+0.09152*$E$9</f>
        <v>0.16996669770254633</v>
      </c>
      <c r="F151" s="207">
        <f>$D$10+0.580777*$E$10</f>
        <v>0.15196932399999991</v>
      </c>
      <c r="G151" s="208">
        <f>$F151*(1-'Sensitivity &amp; Scenarios'!$C$12)+'Sensitivity &amp; Scenarios'!$C$9*'Sensitivity &amp; Scenarios'!$C$12-'Sensitivity &amp; Scenarios'!$C$10</f>
        <v>8.2914063237664634E-2</v>
      </c>
      <c r="H151" s="209">
        <f>('Sensitivity &amp; Scenarios'!$C$6*(1+$E151)^1*$G151+'Sensitivity &amp; Scenarios'!$C$11*'Sensitivity &amp; Scenarios'!$C$6*((1+$E151)^1-(1+$E151)^0))*'Sensitivity &amp; Scenarios'!$C$18/(1+$C151)^'Sensitivity &amp; Scenarios'!$C$18+('Sensitivity &amp; Scenarios'!$C$6*(1+$E151)^2*$G151+'Sensitivity &amp; Scenarios'!$C$11*'Sensitivity &amp; Scenarios'!$C$6*((1+$E151)^2-(1+$E151)^1))/(1+$C151)^('Sensitivity &amp; Scenarios'!$C$18+1)+('Sensitivity &amp; Scenarios'!$C$6*(1+$E151)^3*$G151+'Sensitivity &amp; Scenarios'!$C$11*'Sensitivity &amp; Scenarios'!$C$6*((1+$E151)^3-(1+$E151)^2))/(1+$C151)^('Sensitivity &amp; Scenarios'!$C$18+2)+('Sensitivity &amp; Scenarios'!$C$6*(1+$E151)^4*$G151+'Sensitivity &amp; Scenarios'!$C$11*'Sensitivity &amp; Scenarios'!$C$6*((1+$E151)^4-(1+$E151)^3))/(1+$C151)^('Sensitivity &amp; Scenarios'!$C$18+3)+('Sensitivity &amp; Scenarios'!$C$6*(1+$E151)^5*$G151+'Sensitivity &amp; Scenarios'!$C$11*'Sensitivity &amp; Scenarios'!$C$6*((1+$E151)^5-(1+$E151)^4))/(1+$C151)^('Sensitivity &amp; Scenarios'!$C$18+4)</f>
        <v>24693.939448419434</v>
      </c>
      <c r="I151" s="209">
        <f>('Sensitivity &amp; Scenarios'!$C$6*(1+$E151)^5*$G151+'Sensitivity &amp; Scenarios'!$C$11*'Sensitivity &amp; Scenarios'!$C$6*((1+$E151)^5-(1+$E151)^4))*(1+$D151)/($C151-$D151)/(1+$C151)^('Sensitivity &amp; Scenarios'!$C$18+4)</f>
        <v>78035.043673669643</v>
      </c>
      <c r="J151" s="209">
        <f>($H151+$I151-'Sensitivity &amp; Scenarios'!$C$15+'Sensitivity &amp; Scenarios'!$C$16)/'Sensitivity &amp; Scenarios'!$C$17</f>
        <v>2448.8805519541347</v>
      </c>
    </row>
    <row r="152" spans="2:10" x14ac:dyDescent="0.3">
      <c r="B152" s="127">
        <v>122</v>
      </c>
      <c r="C152" s="206">
        <f>$D$7+-0.056783*$E$7</f>
        <v>0.13698442943997799</v>
      </c>
      <c r="D152" s="206">
        <f>MIN($D$8+-0.170408*$E$8,'Debt &amp; Cost of Capital'!$C$38)</f>
        <v>5.3977551999999998E-2</v>
      </c>
      <c r="E152" s="207">
        <f>$D$9+-0.779482*$E$9</f>
        <v>0.14383663770254634</v>
      </c>
      <c r="F152" s="207">
        <f>$D$10+0.430301*$E$10</f>
        <v>0.15016361199999992</v>
      </c>
      <c r="G152" s="208">
        <f>$F152*(1-'Sensitivity &amp; Scenarios'!$C$12)+'Sensitivity &amp; Scenarios'!$C$9*'Sensitivity &amp; Scenarios'!$C$12-'Sensitivity &amp; Scenarios'!$C$10</f>
        <v>8.1562848948064648E-2</v>
      </c>
      <c r="H152" s="209">
        <f>('Sensitivity &amp; Scenarios'!$C$6*(1+$E152)^1*$G152+'Sensitivity &amp; Scenarios'!$C$11*'Sensitivity &amp; Scenarios'!$C$6*((1+$E152)^1-(1+$E152)^0))*'Sensitivity &amp; Scenarios'!$C$18/(1+$C152)^'Sensitivity &amp; Scenarios'!$C$18+('Sensitivity &amp; Scenarios'!$C$6*(1+$E152)^2*$G152+'Sensitivity &amp; Scenarios'!$C$11*'Sensitivity &amp; Scenarios'!$C$6*((1+$E152)^2-(1+$E152)^1))/(1+$C152)^('Sensitivity &amp; Scenarios'!$C$18+1)+('Sensitivity &amp; Scenarios'!$C$6*(1+$E152)^3*$G152+'Sensitivity &amp; Scenarios'!$C$11*'Sensitivity &amp; Scenarios'!$C$6*((1+$E152)^3-(1+$E152)^2))/(1+$C152)^('Sensitivity &amp; Scenarios'!$C$18+2)+('Sensitivity &amp; Scenarios'!$C$6*(1+$E152)^4*$G152+'Sensitivity &amp; Scenarios'!$C$11*'Sensitivity &amp; Scenarios'!$C$6*((1+$E152)^4-(1+$E152)^3))/(1+$C152)^('Sensitivity &amp; Scenarios'!$C$18+3)+('Sensitivity &amp; Scenarios'!$C$6*(1+$E152)^5*$G152+'Sensitivity &amp; Scenarios'!$C$11*'Sensitivity &amp; Scenarios'!$C$6*((1+$E152)^5-(1+$E152)^4))/(1+$C152)^('Sensitivity &amp; Scenarios'!$C$18+4)</f>
        <v>22319.693697734514</v>
      </c>
      <c r="I152" s="209">
        <f>('Sensitivity &amp; Scenarios'!$C$6*(1+$E152)^5*$G152+'Sensitivity &amp; Scenarios'!$C$11*'Sensitivity &amp; Scenarios'!$C$6*((1+$E152)^5-(1+$E152)^4))*(1+$D152)/($C152-$D152)/(1+$C152)^('Sensitivity &amp; Scenarios'!$C$18+4)</f>
        <v>61850.888102947007</v>
      </c>
      <c r="J152" s="209">
        <f>($H152+$I152-'Sensitivity &amp; Scenarios'!$C$15+'Sensitivity &amp; Scenarios'!$C$16)/'Sensitivity &amp; Scenarios'!$C$17</f>
        <v>2058.2489135088067</v>
      </c>
    </row>
    <row r="153" spans="2:10" x14ac:dyDescent="0.3">
      <c r="B153" s="127">
        <v>123</v>
      </c>
      <c r="C153" s="206">
        <f>$D$7+-0.851537*$E$7</f>
        <v>0.12903688943997799</v>
      </c>
      <c r="D153" s="206">
        <f>MIN($D$8+0.665585*$E$8,'Debt &amp; Cost of Capital'!$C$38)</f>
        <v>5.8993509999999999E-2</v>
      </c>
      <c r="E153" s="207">
        <f>$D$9+1.085287*$E$9</f>
        <v>0.19977970770254633</v>
      </c>
      <c r="F153" s="207">
        <f>$D$10+0.366531*$E$10</f>
        <v>0.14939837199999992</v>
      </c>
      <c r="G153" s="208">
        <f>$F153*(1-'Sensitivity &amp; Scenarios'!$C$12)+'Sensitivity &amp; Scenarios'!$C$9*'Sensitivity &amp; Scenarios'!$C$12-'Sensitivity &amp; Scenarios'!$C$10</f>
        <v>8.0990219856064638E-2</v>
      </c>
      <c r="H153" s="209">
        <f>('Sensitivity &amp; Scenarios'!$C$6*(1+$E153)^1*$G153+'Sensitivity &amp; Scenarios'!$C$11*'Sensitivity &amp; Scenarios'!$C$6*((1+$E153)^1-(1+$E153)^0))*'Sensitivity &amp; Scenarios'!$C$18/(1+$C153)^'Sensitivity &amp; Scenarios'!$C$18+('Sensitivity &amp; Scenarios'!$C$6*(1+$E153)^2*$G153+'Sensitivity &amp; Scenarios'!$C$11*'Sensitivity &amp; Scenarios'!$C$6*((1+$E153)^2-(1+$E153)^1))/(1+$C153)^('Sensitivity &amp; Scenarios'!$C$18+1)+('Sensitivity &amp; Scenarios'!$C$6*(1+$E153)^3*$G153+'Sensitivity &amp; Scenarios'!$C$11*'Sensitivity &amp; Scenarios'!$C$6*((1+$E153)^3-(1+$E153)^2))/(1+$C153)^('Sensitivity &amp; Scenarios'!$C$18+2)+('Sensitivity &amp; Scenarios'!$C$6*(1+$E153)^4*$G153+'Sensitivity &amp; Scenarios'!$C$11*'Sensitivity &amp; Scenarios'!$C$6*((1+$E153)^4-(1+$E153)^3))/(1+$C153)^('Sensitivity &amp; Scenarios'!$C$18+3)+('Sensitivity &amp; Scenarios'!$C$6*(1+$E153)^5*$G153+'Sensitivity &amp; Scenarios'!$C$11*'Sensitivity &amp; Scenarios'!$C$6*((1+$E153)^5-(1+$E153)^4))/(1+$C153)^('Sensitivity &amp; Scenarios'!$C$18+4)</f>
        <v>27642.70188208557</v>
      </c>
      <c r="I153" s="209">
        <f>('Sensitivity &amp; Scenarios'!$C$6*(1+$E153)^5*$G153+'Sensitivity &amp; Scenarios'!$C$11*'Sensitivity &amp; Scenarios'!$C$6*((1+$E153)^5-(1+$E153)^4))*(1+$D153)/($C153-$D153)/(1+$C153)^('Sensitivity &amp; Scenarios'!$C$18+4)</f>
        <v>100555.94245126567</v>
      </c>
      <c r="J153" s="209">
        <f>($H153+$I153-'Sensitivity &amp; Scenarios'!$C$15+'Sensitivity &amp; Scenarios'!$C$16)/'Sensitivity &amp; Scenarios'!$C$17</f>
        <v>2984.9857539752838</v>
      </c>
    </row>
    <row r="154" spans="2:10" x14ac:dyDescent="0.3">
      <c r="B154" s="127">
        <v>124</v>
      </c>
      <c r="C154" s="206">
        <f>$D$7+-0.286249*$E$7</f>
        <v>0.13468976943997799</v>
      </c>
      <c r="D154" s="206">
        <f>MIN($D$8+0.453966*$E$8,'Debt &amp; Cost of Capital'!$C$38)</f>
        <v>5.7723796000000001E-2</v>
      </c>
      <c r="E154" s="207">
        <f>$D$9+-0.308673*$E$9</f>
        <v>0.15796090770254634</v>
      </c>
      <c r="F154" s="207">
        <f>$D$10+0.935547*$E$10</f>
        <v>0.1562265639999999</v>
      </c>
      <c r="G154" s="208">
        <f>$F154*(1-'Sensitivity &amp; Scenarios'!$C$12)+'Sensitivity &amp; Scenarios'!$C$9*'Sensitivity &amp; Scenarios'!$C$12-'Sensitivity &amp; Scenarios'!$C$10</f>
        <v>8.6099755929664637E-2</v>
      </c>
      <c r="H154" s="209">
        <f>('Sensitivity &amp; Scenarios'!$C$6*(1+$E154)^1*$G154+'Sensitivity &amp; Scenarios'!$C$11*'Sensitivity &amp; Scenarios'!$C$6*((1+$E154)^1-(1+$E154)^0))*'Sensitivity &amp; Scenarios'!$C$18/(1+$C154)^'Sensitivity &amp; Scenarios'!$C$18+('Sensitivity &amp; Scenarios'!$C$6*(1+$E154)^2*$G154+'Sensitivity &amp; Scenarios'!$C$11*'Sensitivity &amp; Scenarios'!$C$6*((1+$E154)^2-(1+$E154)^1))/(1+$C154)^('Sensitivity &amp; Scenarios'!$C$18+1)+('Sensitivity &amp; Scenarios'!$C$6*(1+$E154)^3*$G154+'Sensitivity &amp; Scenarios'!$C$11*'Sensitivity &amp; Scenarios'!$C$6*((1+$E154)^3-(1+$E154)^2))/(1+$C154)^('Sensitivity &amp; Scenarios'!$C$18+2)+('Sensitivity &amp; Scenarios'!$C$6*(1+$E154)^4*$G154+'Sensitivity &amp; Scenarios'!$C$11*'Sensitivity &amp; Scenarios'!$C$6*((1+$E154)^4-(1+$E154)^3))/(1+$C154)^('Sensitivity &amp; Scenarios'!$C$18+3)+('Sensitivity &amp; Scenarios'!$C$6*(1+$E154)^5*$G154+'Sensitivity &amp; Scenarios'!$C$11*'Sensitivity &amp; Scenarios'!$C$6*((1+$E154)^5-(1+$E154)^4))/(1+$C154)^('Sensitivity &amp; Scenarios'!$C$18+4)</f>
        <v>24738.107054260392</v>
      </c>
      <c r="I154" s="209">
        <f>('Sensitivity &amp; Scenarios'!$C$6*(1+$E154)^5*$G154+'Sensitivity &amp; Scenarios'!$C$11*'Sensitivity &amp; Scenarios'!$C$6*((1+$E154)^5-(1+$E154)^4))*(1+$D154)/($C154-$D154)/(1+$C154)^('Sensitivity &amp; Scenarios'!$C$18+4)</f>
        <v>76148.790069068171</v>
      </c>
      <c r="J154" s="209">
        <f>($H154+$I154-'Sensitivity &amp; Scenarios'!$C$15+'Sensitivity &amp; Scenarios'!$C$16)/'Sensitivity &amp; Scenarios'!$C$17</f>
        <v>2410.1068957867274</v>
      </c>
    </row>
    <row r="155" spans="2:10" x14ac:dyDescent="0.3">
      <c r="B155" s="127">
        <v>125</v>
      </c>
      <c r="C155" s="206">
        <f>$D$7+-1.831406*$E$7</f>
        <v>0.11923819943997799</v>
      </c>
      <c r="D155" s="206">
        <f>MIN($D$8+-0.335607*$E$8,'Debt &amp; Cost of Capital'!$C$38)</f>
        <v>5.2986357999999997E-2</v>
      </c>
      <c r="E155" s="207">
        <f>$D$9+-1.990812*$E$9</f>
        <v>0.10749673770254634</v>
      </c>
      <c r="F155" s="207">
        <f>$D$10+-1.495061*$E$10</f>
        <v>0.12705926799999989</v>
      </c>
      <c r="G155" s="208">
        <f>$F155*(1-'Sensitivity &amp; Scenarios'!$C$12)+'Sensitivity &amp; Scenarios'!$C$9*'Sensitivity &amp; Scenarios'!$C$12-'Sensitivity &amp; Scenarios'!$C$10</f>
        <v>6.4273868332864623E-2</v>
      </c>
      <c r="H155" s="209">
        <f>('Sensitivity &amp; Scenarios'!$C$6*(1+$E155)^1*$G155+'Sensitivity &amp; Scenarios'!$C$11*'Sensitivity &amp; Scenarios'!$C$6*((1+$E155)^1-(1+$E155)^0))*'Sensitivity &amp; Scenarios'!$C$18/(1+$C155)^'Sensitivity &amp; Scenarios'!$C$18+('Sensitivity &amp; Scenarios'!$C$6*(1+$E155)^2*$G155+'Sensitivity &amp; Scenarios'!$C$11*'Sensitivity &amp; Scenarios'!$C$6*((1+$E155)^2-(1+$E155)^1))/(1+$C155)^('Sensitivity &amp; Scenarios'!$C$18+1)+('Sensitivity &amp; Scenarios'!$C$6*(1+$E155)^3*$G155+'Sensitivity &amp; Scenarios'!$C$11*'Sensitivity &amp; Scenarios'!$C$6*((1+$E155)^3-(1+$E155)^2))/(1+$C155)^('Sensitivity &amp; Scenarios'!$C$18+2)+('Sensitivity &amp; Scenarios'!$C$6*(1+$E155)^4*$G155+'Sensitivity &amp; Scenarios'!$C$11*'Sensitivity &amp; Scenarios'!$C$6*((1+$E155)^4-(1+$E155)^3))/(1+$C155)^('Sensitivity &amp; Scenarios'!$C$18+3)+('Sensitivity &amp; Scenarios'!$C$6*(1+$E155)^5*$G155+'Sensitivity &amp; Scenarios'!$C$11*'Sensitivity &amp; Scenarios'!$C$6*((1+$E155)^5-(1+$E155)^4))/(1+$C155)^('Sensitivity &amp; Scenarios'!$C$18+4)</f>
        <v>16548.204692527077</v>
      </c>
      <c r="I155" s="209">
        <f>('Sensitivity &amp; Scenarios'!$C$6*(1+$E155)^5*$G155+'Sensitivity &amp; Scenarios'!$C$11*'Sensitivity &amp; Scenarios'!$C$6*((1+$E155)^5-(1+$E155)^4))*(1+$D155)/($C155-$D155)/(1+$C155)^('Sensitivity &amp; Scenarios'!$C$18+4)</f>
        <v>55673.277103736225</v>
      </c>
      <c r="J155" s="209">
        <f>($H155+$I155-'Sensitivity &amp; Scenarios'!$C$15+'Sensitivity &amp; Scenarios'!$C$16)/'Sensitivity &amp; Scenarios'!$C$17</f>
        <v>1806.734980178318</v>
      </c>
    </row>
    <row r="156" spans="2:10" x14ac:dyDescent="0.3">
      <c r="B156" s="127">
        <v>126</v>
      </c>
      <c r="C156" s="206">
        <f>$D$7+1.363862*$E$7</f>
        <v>0.15119087943997797</v>
      </c>
      <c r="D156" s="206">
        <f>MIN($D$8+0.895185*$E$8,'Debt &amp; Cost of Capital'!$C$38)</f>
        <v>6.0371109999999999E-2</v>
      </c>
      <c r="E156" s="207">
        <f>$D$9+-0.71948*$E$9</f>
        <v>0.14563669770254634</v>
      </c>
      <c r="F156" s="207">
        <f>$D$10+-1.502503*$E$10</f>
        <v>0.12696996399999991</v>
      </c>
      <c r="G156" s="208">
        <f>$F156*(1-'Sensitivity &amp; Scenarios'!$C$12)+'Sensitivity &amp; Scenarios'!$C$9*'Sensitivity &amp; Scenarios'!$C$12-'Sensitivity &amp; Scenarios'!$C$10</f>
        <v>6.4207042149664634E-2</v>
      </c>
      <c r="H156" s="209">
        <f>('Sensitivity &amp; Scenarios'!$C$6*(1+$E156)^1*$G156+'Sensitivity &amp; Scenarios'!$C$11*'Sensitivity &amp; Scenarios'!$C$6*((1+$E156)^1-(1+$E156)^0))*'Sensitivity &amp; Scenarios'!$C$18/(1+$C156)^'Sensitivity &amp; Scenarios'!$C$18+('Sensitivity &amp; Scenarios'!$C$6*(1+$E156)^2*$G156+'Sensitivity &amp; Scenarios'!$C$11*'Sensitivity &amp; Scenarios'!$C$6*((1+$E156)^2-(1+$E156)^1))/(1+$C156)^('Sensitivity &amp; Scenarios'!$C$18+1)+('Sensitivity &amp; Scenarios'!$C$6*(1+$E156)^3*$G156+'Sensitivity &amp; Scenarios'!$C$11*'Sensitivity &amp; Scenarios'!$C$6*((1+$E156)^3-(1+$E156)^2))/(1+$C156)^('Sensitivity &amp; Scenarios'!$C$18+2)+('Sensitivity &amp; Scenarios'!$C$6*(1+$E156)^4*$G156+'Sensitivity &amp; Scenarios'!$C$11*'Sensitivity &amp; Scenarios'!$C$6*((1+$E156)^4-(1+$E156)^3))/(1+$C156)^('Sensitivity &amp; Scenarios'!$C$18+3)+('Sensitivity &amp; Scenarios'!$C$6*(1+$E156)^5*$G156+'Sensitivity &amp; Scenarios'!$C$11*'Sensitivity &amp; Scenarios'!$C$6*((1+$E156)^5-(1+$E156)^4))/(1+$C156)^('Sensitivity &amp; Scenarios'!$C$18+4)</f>
        <v>17758.831153602925</v>
      </c>
      <c r="I156" s="209">
        <f>('Sensitivity &amp; Scenarios'!$C$6*(1+$E156)^5*$G156+'Sensitivity &amp; Scenarios'!$C$11*'Sensitivity &amp; Scenarios'!$C$6*((1+$E156)^5-(1+$E156)^4))*(1+$D156)/($C156-$D156)/(1+$C156)^('Sensitivity &amp; Scenarios'!$C$18+4)</f>
        <v>44357.181213808115</v>
      </c>
      <c r="J156" s="209">
        <f>($H156+$I156-'Sensitivity &amp; Scenarios'!$C$15+'Sensitivity &amp; Scenarios'!$C$16)/'Sensitivity &amp; Scenarios'!$C$17</f>
        <v>1594.0272144669373</v>
      </c>
    </row>
    <row r="157" spans="2:10" x14ac:dyDescent="0.3">
      <c r="B157" s="127">
        <v>127</v>
      </c>
      <c r="C157" s="206">
        <f>$D$7+-2.964529*$E$7</f>
        <v>0.10790696943997798</v>
      </c>
      <c r="D157" s="206">
        <f>MIN($D$8+-0.543496*$E$8,'Debt &amp; Cost of Capital'!$C$38)</f>
        <v>5.1739024000000002E-2</v>
      </c>
      <c r="E157" s="207">
        <f>$D$9+2.420415*$E$9</f>
        <v>0.23983354770254633</v>
      </c>
      <c r="F157" s="207">
        <f>$D$10+0.434884*$E$10</f>
        <v>0.15021860799999992</v>
      </c>
      <c r="G157" s="208">
        <f>$F157*(1-'Sensitivity &amp; Scenarios'!$C$12)+'Sensitivity &amp; Scenarios'!$C$9*'Sensitivity &amp; Scenarios'!$C$12-'Sensitivity &amp; Scenarios'!$C$10</f>
        <v>8.1604002454864641E-2</v>
      </c>
      <c r="H157" s="209">
        <f>('Sensitivity &amp; Scenarios'!$C$6*(1+$E157)^1*$G157+'Sensitivity &amp; Scenarios'!$C$11*'Sensitivity &amp; Scenarios'!$C$6*((1+$E157)^1-(1+$E157)^0))*'Sensitivity &amp; Scenarios'!$C$18/(1+$C157)^'Sensitivity &amp; Scenarios'!$C$18+('Sensitivity &amp; Scenarios'!$C$6*(1+$E157)^2*$G157+'Sensitivity &amp; Scenarios'!$C$11*'Sensitivity &amp; Scenarios'!$C$6*((1+$E157)^2-(1+$E157)^1))/(1+$C157)^('Sensitivity &amp; Scenarios'!$C$18+1)+('Sensitivity &amp; Scenarios'!$C$6*(1+$E157)^3*$G157+'Sensitivity &amp; Scenarios'!$C$11*'Sensitivity &amp; Scenarios'!$C$6*((1+$E157)^3-(1+$E157)^2))/(1+$C157)^('Sensitivity &amp; Scenarios'!$C$18+2)+('Sensitivity &amp; Scenarios'!$C$6*(1+$E157)^4*$G157+'Sensitivity &amp; Scenarios'!$C$11*'Sensitivity &amp; Scenarios'!$C$6*((1+$E157)^4-(1+$E157)^3))/(1+$C157)^('Sensitivity &amp; Scenarios'!$C$18+3)+('Sensitivity &amp; Scenarios'!$C$6*(1+$E157)^5*$G157+'Sensitivity &amp; Scenarios'!$C$11*'Sensitivity &amp; Scenarios'!$C$6*((1+$E157)^5-(1+$E157)^4))/(1+$C157)^('Sensitivity &amp; Scenarios'!$C$18+4)</f>
        <v>33759.545425025433</v>
      </c>
      <c r="I157" s="209">
        <f>('Sensitivity &amp; Scenarios'!$C$6*(1+$E157)^5*$G157+'Sensitivity &amp; Scenarios'!$C$11*'Sensitivity &amp; Scenarios'!$C$6*((1+$E157)^5-(1+$E157)^4))*(1+$D157)/($C157-$D157)/(1+$C157)^('Sensitivity &amp; Scenarios'!$C$18+4)</f>
        <v>165952.89975164118</v>
      </c>
      <c r="J157" s="209">
        <f>($H157+$I157-'Sensitivity &amp; Scenarios'!$C$15+'Sensitivity &amp; Scenarios'!$C$16)/'Sensitivity &amp; Scenarios'!$C$17</f>
        <v>4490.2637523906351</v>
      </c>
    </row>
    <row r="158" spans="2:10" x14ac:dyDescent="0.3">
      <c r="B158" s="127">
        <v>128</v>
      </c>
      <c r="C158" s="206">
        <f>$D$7+-0.559572*$E$7</f>
        <v>0.13195653943997798</v>
      </c>
      <c r="D158" s="206">
        <f>MIN($D$8+0.46508*$E$8,'Debt &amp; Cost of Capital'!$C$38)</f>
        <v>5.7790479999999998E-2</v>
      </c>
      <c r="E158" s="207">
        <f>$D$9+-1.560958*$E$9</f>
        <v>0.12039235770254633</v>
      </c>
      <c r="F158" s="207">
        <f>$D$10+-0.297323*$E$10</f>
        <v>0.14143212399999991</v>
      </c>
      <c r="G158" s="208">
        <f>$F158*(1-'Sensitivity &amp; Scenarios'!$C$12)+'Sensitivity &amp; Scenarios'!$C$9*'Sensitivity &amp; Scenarios'!$C$12-'Sensitivity &amp; Scenarios'!$C$10</f>
        <v>7.5029076477664644E-2</v>
      </c>
      <c r="H158" s="209">
        <f>('Sensitivity &amp; Scenarios'!$C$6*(1+$E158)^1*$G158+'Sensitivity &amp; Scenarios'!$C$11*'Sensitivity &amp; Scenarios'!$C$6*((1+$E158)^1-(1+$E158)^0))*'Sensitivity &amp; Scenarios'!$C$18/(1+$C158)^'Sensitivity &amp; Scenarios'!$C$18+('Sensitivity &amp; Scenarios'!$C$6*(1+$E158)^2*$G158+'Sensitivity &amp; Scenarios'!$C$11*'Sensitivity &amp; Scenarios'!$C$6*((1+$E158)^2-(1+$E158)^1))/(1+$C158)^('Sensitivity &amp; Scenarios'!$C$18+1)+('Sensitivity &amp; Scenarios'!$C$6*(1+$E158)^3*$G158+'Sensitivity &amp; Scenarios'!$C$11*'Sensitivity &amp; Scenarios'!$C$6*((1+$E158)^3-(1+$E158)^2))/(1+$C158)^('Sensitivity &amp; Scenarios'!$C$18+2)+('Sensitivity &amp; Scenarios'!$C$6*(1+$E158)^4*$G158+'Sensitivity &amp; Scenarios'!$C$11*'Sensitivity &amp; Scenarios'!$C$6*((1+$E158)^4-(1+$E158)^3))/(1+$C158)^('Sensitivity &amp; Scenarios'!$C$18+3)+('Sensitivity &amp; Scenarios'!$C$6*(1+$E158)^5*$G158+'Sensitivity &amp; Scenarios'!$C$11*'Sensitivity &amp; Scenarios'!$C$6*((1+$E158)^5-(1+$E158)^4))/(1+$C158)^('Sensitivity &amp; Scenarios'!$C$18+4)</f>
        <v>19271.708801085657</v>
      </c>
      <c r="I158" s="209">
        <f>('Sensitivity &amp; Scenarios'!$C$6*(1+$E158)^5*$G158+'Sensitivity &amp; Scenarios'!$C$11*'Sensitivity &amp; Scenarios'!$C$6*((1+$E158)^5-(1+$E158)^4))*(1+$D158)/($C158-$D158)/(1+$C158)^('Sensitivity &amp; Scenarios'!$C$18+4)</f>
        <v>58211.646073368247</v>
      </c>
      <c r="J158" s="209">
        <f>($H158+$I158-'Sensitivity &amp; Scenarios'!$C$15+'Sensitivity &amp; Scenarios'!$C$16)/'Sensitivity &amp; Scenarios'!$C$17</f>
        <v>1917.4909696747802</v>
      </c>
    </row>
    <row r="159" spans="2:10" x14ac:dyDescent="0.3">
      <c r="B159" s="127">
        <v>129</v>
      </c>
      <c r="C159" s="206">
        <f>$D$7+0.099477*$E$7</f>
        <v>0.13854702943997799</v>
      </c>
      <c r="D159" s="206">
        <f>MIN($D$8+-0.086101*$E$8,'Debt &amp; Cost of Capital'!$C$38)</f>
        <v>5.4483393999999997E-2</v>
      </c>
      <c r="E159" s="207">
        <f>$D$9+0.790806*$E$9</f>
        <v>0.19094527770254635</v>
      </c>
      <c r="F159" s="207">
        <f>$D$10+0.344645*$E$10</f>
        <v>0.14913573999999991</v>
      </c>
      <c r="G159" s="208">
        <f>$F159*(1-'Sensitivity &amp; Scenarios'!$C$12)+'Sensitivity &amp; Scenarios'!$C$9*'Sensitivity &amp; Scenarios'!$C$12-'Sensitivity &amp; Scenarios'!$C$10</f>
        <v>8.0793692330464628E-2</v>
      </c>
      <c r="H159" s="209">
        <f>('Sensitivity &amp; Scenarios'!$C$6*(1+$E159)^1*$G159+'Sensitivity &amp; Scenarios'!$C$11*'Sensitivity &amp; Scenarios'!$C$6*((1+$E159)^1-(1+$E159)^0))*'Sensitivity &amp; Scenarios'!$C$18/(1+$C159)^'Sensitivity &amp; Scenarios'!$C$18+('Sensitivity &amp; Scenarios'!$C$6*(1+$E159)^2*$G159+'Sensitivity &amp; Scenarios'!$C$11*'Sensitivity &amp; Scenarios'!$C$6*((1+$E159)^2-(1+$E159)^1))/(1+$C159)^('Sensitivity &amp; Scenarios'!$C$18+1)+('Sensitivity &amp; Scenarios'!$C$6*(1+$E159)^3*$G159+'Sensitivity &amp; Scenarios'!$C$11*'Sensitivity &amp; Scenarios'!$C$6*((1+$E159)^3-(1+$E159)^2))/(1+$C159)^('Sensitivity &amp; Scenarios'!$C$18+2)+('Sensitivity &amp; Scenarios'!$C$6*(1+$E159)^4*$G159+'Sensitivity &amp; Scenarios'!$C$11*'Sensitivity &amp; Scenarios'!$C$6*((1+$E159)^4-(1+$E159)^3))/(1+$C159)^('Sensitivity &amp; Scenarios'!$C$18+3)+('Sensitivity &amp; Scenarios'!$C$6*(1+$E159)^5*$G159+'Sensitivity &amp; Scenarios'!$C$11*'Sensitivity &amp; Scenarios'!$C$6*((1+$E159)^5-(1+$E159)^4))/(1+$C159)^('Sensitivity &amp; Scenarios'!$C$18+4)</f>
        <v>26107.668900215078</v>
      </c>
      <c r="I159" s="209">
        <f>('Sensitivity &amp; Scenarios'!$C$6*(1+$E159)^5*$G159+'Sensitivity &amp; Scenarios'!$C$11*'Sensitivity &amp; Scenarios'!$C$6*((1+$E159)^5-(1+$E159)^4))*(1+$D159)/($C159-$D159)/(1+$C159)^('Sensitivity &amp; Scenarios'!$C$18+4)</f>
        <v>76654.3778089525</v>
      </c>
      <c r="J159" s="209">
        <f>($H159+$I159-'Sensitivity &amp; Scenarios'!$C$15+'Sensitivity &amp; Scenarios'!$C$16)/'Sensitivity &amp; Scenarios'!$C$17</f>
        <v>2449.5765000031975</v>
      </c>
    </row>
    <row r="160" spans="2:10" x14ac:dyDescent="0.3">
      <c r="B160" s="127">
        <v>130</v>
      </c>
      <c r="C160" s="206">
        <f>$D$7+0.668326*$E$7</f>
        <v>0.14423551943997798</v>
      </c>
      <c r="D160" s="206">
        <f>MIN($D$8+-0.688372*$E$8,'Debt &amp; Cost of Capital'!$C$38)</f>
        <v>5.0869768000000003E-2</v>
      </c>
      <c r="E160" s="207">
        <f>$D$9+0.897815*$E$9</f>
        <v>0.19415554770254634</v>
      </c>
      <c r="F160" s="207">
        <f>$D$10+1.628937*$E$10</f>
        <v>0.1645472439999999</v>
      </c>
      <c r="G160" s="208">
        <f>$F160*(1-'Sensitivity &amp; Scenarios'!$C$12)+'Sensitivity &amp; Scenarios'!$C$9*'Sensitivity &amp; Scenarios'!$C$12-'Sensitivity &amp; Scenarios'!$C$10</f>
        <v>9.2326120773664644E-2</v>
      </c>
      <c r="H160" s="209">
        <f>('Sensitivity &amp; Scenarios'!$C$6*(1+$E160)^1*$G160+'Sensitivity &amp; Scenarios'!$C$11*'Sensitivity &amp; Scenarios'!$C$6*((1+$E160)^1-(1+$E160)^0))*'Sensitivity &amp; Scenarios'!$C$18/(1+$C160)^'Sensitivity &amp; Scenarios'!$C$18+('Sensitivity &amp; Scenarios'!$C$6*(1+$E160)^2*$G160+'Sensitivity &amp; Scenarios'!$C$11*'Sensitivity &amp; Scenarios'!$C$6*((1+$E160)^2-(1+$E160)^1))/(1+$C160)^('Sensitivity &amp; Scenarios'!$C$18+1)+('Sensitivity &amp; Scenarios'!$C$6*(1+$E160)^3*$G160+'Sensitivity &amp; Scenarios'!$C$11*'Sensitivity &amp; Scenarios'!$C$6*((1+$E160)^3-(1+$E160)^2))/(1+$C160)^('Sensitivity &amp; Scenarios'!$C$18+2)+('Sensitivity &amp; Scenarios'!$C$6*(1+$E160)^4*$G160+'Sensitivity &amp; Scenarios'!$C$11*'Sensitivity &amp; Scenarios'!$C$6*((1+$E160)^4-(1+$E160)^3))/(1+$C160)^('Sensitivity &amp; Scenarios'!$C$18+3)+('Sensitivity &amp; Scenarios'!$C$6*(1+$E160)^5*$G160+'Sensitivity &amp; Scenarios'!$C$11*'Sensitivity &amp; Scenarios'!$C$6*((1+$E160)^5-(1+$E160)^4))/(1+$C160)^('Sensitivity &amp; Scenarios'!$C$18+4)</f>
        <v>29069.41261385809</v>
      </c>
      <c r="I160" s="209">
        <f>('Sensitivity &amp; Scenarios'!$C$6*(1+$E160)^5*$G160+'Sensitivity &amp; Scenarios'!$C$11*'Sensitivity &amp; Scenarios'!$C$6*((1+$E160)^5-(1+$E160)^4))*(1+$D160)/($C160-$D160)/(1+$C160)^('Sensitivity &amp; Scenarios'!$C$18+4)</f>
        <v>76274.765619408849</v>
      </c>
      <c r="J160" s="209">
        <f>($H160+$I160-'Sensitivity &amp; Scenarios'!$C$15+'Sensitivity &amp; Scenarios'!$C$16)/'Sensitivity &amp; Scenarios'!$C$17</f>
        <v>2503.9272089070269</v>
      </c>
    </row>
    <row r="161" spans="2:10" x14ac:dyDescent="0.3">
      <c r="B161" s="127">
        <v>131</v>
      </c>
      <c r="C161" s="206">
        <f>$D$7+-0.97015*$E$7</f>
        <v>0.12785075943997798</v>
      </c>
      <c r="D161" s="206">
        <f>MIN($D$8+-0.887696*$E$8,'Debt &amp; Cost of Capital'!$C$38)</f>
        <v>4.9673823999999998E-2</v>
      </c>
      <c r="E161" s="207">
        <f>$D$9+1.335784*$E$9</f>
        <v>0.20729461770254634</v>
      </c>
      <c r="F161" s="207">
        <f>$D$10+-0.191344*$E$10</f>
        <v>0.1427038719999999</v>
      </c>
      <c r="G161" s="208">
        <f>$F161*(1-'Sensitivity &amp; Scenarios'!$C$12)+'Sensitivity &amp; Scenarios'!$C$9*'Sensitivity &amp; Scenarios'!$C$12-'Sensitivity &amp; Scenarios'!$C$10</f>
        <v>7.5980725506064634E-2</v>
      </c>
      <c r="H161" s="209">
        <f>('Sensitivity &amp; Scenarios'!$C$6*(1+$E161)^1*$G161+'Sensitivity &amp; Scenarios'!$C$11*'Sensitivity &amp; Scenarios'!$C$6*((1+$E161)^1-(1+$E161)^0))*'Sensitivity &amp; Scenarios'!$C$18/(1+$C161)^'Sensitivity &amp; Scenarios'!$C$18+('Sensitivity &amp; Scenarios'!$C$6*(1+$E161)^2*$G161+'Sensitivity &amp; Scenarios'!$C$11*'Sensitivity &amp; Scenarios'!$C$6*((1+$E161)^2-(1+$E161)^1))/(1+$C161)^('Sensitivity &amp; Scenarios'!$C$18+1)+('Sensitivity &amp; Scenarios'!$C$6*(1+$E161)^3*$G161+'Sensitivity &amp; Scenarios'!$C$11*'Sensitivity &amp; Scenarios'!$C$6*((1+$E161)^3-(1+$E161)^2))/(1+$C161)^('Sensitivity &amp; Scenarios'!$C$18+2)+('Sensitivity &amp; Scenarios'!$C$6*(1+$E161)^4*$G161+'Sensitivity &amp; Scenarios'!$C$11*'Sensitivity &amp; Scenarios'!$C$6*((1+$E161)^4-(1+$E161)^3))/(1+$C161)^('Sensitivity &amp; Scenarios'!$C$18+3)+('Sensitivity &amp; Scenarios'!$C$6*(1+$E161)^5*$G161+'Sensitivity &amp; Scenarios'!$C$11*'Sensitivity &amp; Scenarios'!$C$6*((1+$E161)^5-(1+$E161)^4))/(1+$C161)^('Sensitivity &amp; Scenarios'!$C$18+4)</f>
        <v>27035.171707136804</v>
      </c>
      <c r="I161" s="209">
        <f>('Sensitivity &amp; Scenarios'!$C$6*(1+$E161)^5*$G161+'Sensitivity &amp; Scenarios'!$C$11*'Sensitivity &amp; Scenarios'!$C$6*((1+$E161)^5-(1+$E161)^4))*(1+$D161)/($C161-$D161)/(1+$C161)^('Sensitivity &amp; Scenarios'!$C$18+4)</f>
        <v>88444.66442042838</v>
      </c>
      <c r="J161" s="209">
        <f>($H161+$I161-'Sensitivity &amp; Scenarios'!$C$15+'Sensitivity &amp; Scenarios'!$C$16)/'Sensitivity &amp; Scenarios'!$C$17</f>
        <v>2717.2704048753076</v>
      </c>
    </row>
    <row r="162" spans="2:10" x14ac:dyDescent="0.3">
      <c r="B162" s="127">
        <v>132</v>
      </c>
      <c r="C162" s="206">
        <f>$D$7+1.403821*$E$7</f>
        <v>0.15159046943997798</v>
      </c>
      <c r="D162" s="206">
        <f>MIN($D$8+-0.442536*$E$8,'Debt &amp; Cost of Capital'!$C$38)</f>
        <v>5.2344783999999998E-2</v>
      </c>
      <c r="E162" s="207">
        <f>$D$9+1.455046*$E$9</f>
        <v>0.21087247770254636</v>
      </c>
      <c r="F162" s="207">
        <f>$D$10+0.131486*$E$10</f>
        <v>0.14657783199999991</v>
      </c>
      <c r="G162" s="208">
        <f>$F162*(1-'Sensitivity &amp; Scenarios'!$C$12)+'Sensitivity &amp; Scenarios'!$C$9*'Sensitivity &amp; Scenarios'!$C$12-'Sensitivity &amp; Scenarios'!$C$10</f>
        <v>7.8879609774064635E-2</v>
      </c>
      <c r="H162" s="209">
        <f>('Sensitivity &amp; Scenarios'!$C$6*(1+$E162)^1*$G162+'Sensitivity &amp; Scenarios'!$C$11*'Sensitivity &amp; Scenarios'!$C$6*((1+$E162)^1-(1+$E162)^0))*'Sensitivity &amp; Scenarios'!$C$18/(1+$C162)^'Sensitivity &amp; Scenarios'!$C$18+('Sensitivity &amp; Scenarios'!$C$6*(1+$E162)^2*$G162+'Sensitivity &amp; Scenarios'!$C$11*'Sensitivity &amp; Scenarios'!$C$6*((1+$E162)^2-(1+$E162)^1))/(1+$C162)^('Sensitivity &amp; Scenarios'!$C$18+1)+('Sensitivity &amp; Scenarios'!$C$6*(1+$E162)^3*$G162+'Sensitivity &amp; Scenarios'!$C$11*'Sensitivity &amp; Scenarios'!$C$6*((1+$E162)^3-(1+$E162)^2))/(1+$C162)^('Sensitivity &amp; Scenarios'!$C$18+2)+('Sensitivity &amp; Scenarios'!$C$6*(1+$E162)^4*$G162+'Sensitivity &amp; Scenarios'!$C$11*'Sensitivity &amp; Scenarios'!$C$6*((1+$E162)^4-(1+$E162)^3))/(1+$C162)^('Sensitivity &amp; Scenarios'!$C$18+3)+('Sensitivity &amp; Scenarios'!$C$6*(1+$E162)^5*$G162+'Sensitivity &amp; Scenarios'!$C$11*'Sensitivity &amp; Scenarios'!$C$6*((1+$E162)^5-(1+$E162)^4))/(1+$C162)^('Sensitivity &amp; Scenarios'!$C$18+4)</f>
        <v>26556.652293882653</v>
      </c>
      <c r="I162" s="209">
        <f>('Sensitivity &amp; Scenarios'!$C$6*(1+$E162)^5*$G162+'Sensitivity &amp; Scenarios'!$C$11*'Sensitivity &amp; Scenarios'!$C$6*((1+$E162)^5-(1+$E162)^4))*(1+$D162)/($C162-$D162)/(1+$C162)^('Sensitivity &amp; Scenarios'!$C$18+4)</f>
        <v>66515.579245890069</v>
      </c>
      <c r="J162" s="209">
        <f>($H162+$I162-'Sensitivity &amp; Scenarios'!$C$15+'Sensitivity &amp; Scenarios'!$C$16)/'Sensitivity &amp; Scenarios'!$C$17</f>
        <v>2245.6177478294935</v>
      </c>
    </row>
    <row r="163" spans="2:10" x14ac:dyDescent="0.3">
      <c r="B163" s="127">
        <v>133</v>
      </c>
      <c r="C163" s="206">
        <f>$D$7+0.258229*$E$7</f>
        <v>0.14013454943997797</v>
      </c>
      <c r="D163" s="206">
        <f>MIN($D$8+1.564718*$E$8,'Debt &amp; Cost of Capital'!$C$38)</f>
        <v>6.4388308000000005E-2</v>
      </c>
      <c r="E163" s="207">
        <f>$D$9+-0.36177*$E$9</f>
        <v>0.15636799770254634</v>
      </c>
      <c r="F163" s="207">
        <f>$D$10+-0.941122*$E$10</f>
        <v>0.1337065359999999</v>
      </c>
      <c r="G163" s="208">
        <f>$F163*(1-'Sensitivity &amp; Scenarios'!$C$12)+'Sensitivity &amp; Scenarios'!$C$9*'Sensitivity &amp; Scenarios'!$C$12-'Sensitivity &amp; Scenarios'!$C$10</f>
        <v>6.9248018977264639E-2</v>
      </c>
      <c r="H163" s="209">
        <f>('Sensitivity &amp; Scenarios'!$C$6*(1+$E163)^1*$G163+'Sensitivity &amp; Scenarios'!$C$11*'Sensitivity &amp; Scenarios'!$C$6*((1+$E163)^1-(1+$E163)^0))*'Sensitivity &amp; Scenarios'!$C$18/(1+$C163)^'Sensitivity &amp; Scenarios'!$C$18+('Sensitivity &amp; Scenarios'!$C$6*(1+$E163)^2*$G163+'Sensitivity &amp; Scenarios'!$C$11*'Sensitivity &amp; Scenarios'!$C$6*((1+$E163)^2-(1+$E163)^1))/(1+$C163)^('Sensitivity &amp; Scenarios'!$C$18+1)+('Sensitivity &amp; Scenarios'!$C$6*(1+$E163)^3*$G163+'Sensitivity &amp; Scenarios'!$C$11*'Sensitivity &amp; Scenarios'!$C$6*((1+$E163)^3-(1+$E163)^2))/(1+$C163)^('Sensitivity &amp; Scenarios'!$C$18+2)+('Sensitivity &amp; Scenarios'!$C$6*(1+$E163)^4*$G163+'Sensitivity &amp; Scenarios'!$C$11*'Sensitivity &amp; Scenarios'!$C$6*((1+$E163)^4-(1+$E163)^3))/(1+$C163)^('Sensitivity &amp; Scenarios'!$C$18+3)+('Sensitivity &amp; Scenarios'!$C$6*(1+$E163)^5*$G163+'Sensitivity &amp; Scenarios'!$C$11*'Sensitivity &amp; Scenarios'!$C$6*((1+$E163)^5-(1+$E163)^4))/(1+$C163)^('Sensitivity &amp; Scenarios'!$C$18+4)</f>
        <v>20217.649325802526</v>
      </c>
      <c r="I163" s="209">
        <f>('Sensitivity &amp; Scenarios'!$C$6*(1+$E163)^5*$G163+'Sensitivity &amp; Scenarios'!$C$11*'Sensitivity &amp; Scenarios'!$C$6*((1+$E163)^5-(1+$E163)^4))*(1+$D163)/($C163-$D163)/(1+$C163)^('Sensitivity &amp; Scenarios'!$C$18+4)</f>
        <v>62928.438553620879</v>
      </c>
      <c r="J163" s="209">
        <f>($H163+$I163-'Sensitivity &amp; Scenarios'!$C$15+'Sensitivity &amp; Scenarios'!$C$16)/'Sensitivity &amp; Scenarios'!$C$17</f>
        <v>2036.6845701094271</v>
      </c>
    </row>
    <row r="164" spans="2:10" x14ac:dyDescent="0.3">
      <c r="B164" s="127">
        <v>134</v>
      </c>
      <c r="C164" s="206">
        <f>$D$7+-0.448564*$E$7</f>
        <v>0.13306661943997797</v>
      </c>
      <c r="D164" s="206">
        <f>MIN($D$8+0.452334*$E$8,'Debt &amp; Cost of Capital'!$C$38)</f>
        <v>5.7714003999999999E-2</v>
      </c>
      <c r="E164" s="207">
        <f>$D$9+-1.565759*$E$9</f>
        <v>0.12024832770254634</v>
      </c>
      <c r="F164" s="207">
        <f>$D$10+0.637471*$E$10</f>
        <v>0.15264965199999991</v>
      </c>
      <c r="G164" s="208">
        <f>$F164*(1-'Sensitivity &amp; Scenarios'!$C$12)+'Sensitivity &amp; Scenarios'!$C$9*'Sensitivity &amp; Scenarios'!$C$12-'Sensitivity &amp; Scenarios'!$C$10</f>
        <v>8.3423152680064644E-2</v>
      </c>
      <c r="H164" s="209">
        <f>('Sensitivity &amp; Scenarios'!$C$6*(1+$E164)^1*$G164+'Sensitivity &amp; Scenarios'!$C$11*'Sensitivity &amp; Scenarios'!$C$6*((1+$E164)^1-(1+$E164)^0))*'Sensitivity &amp; Scenarios'!$C$18/(1+$C164)^'Sensitivity &amp; Scenarios'!$C$18+('Sensitivity &amp; Scenarios'!$C$6*(1+$E164)^2*$G164+'Sensitivity &amp; Scenarios'!$C$11*'Sensitivity &amp; Scenarios'!$C$6*((1+$E164)^2-(1+$E164)^1))/(1+$C164)^('Sensitivity &amp; Scenarios'!$C$18+1)+('Sensitivity &amp; Scenarios'!$C$6*(1+$E164)^3*$G164+'Sensitivity &amp; Scenarios'!$C$11*'Sensitivity &amp; Scenarios'!$C$6*((1+$E164)^3-(1+$E164)^2))/(1+$C164)^('Sensitivity &amp; Scenarios'!$C$18+2)+('Sensitivity &amp; Scenarios'!$C$6*(1+$E164)^4*$G164+'Sensitivity &amp; Scenarios'!$C$11*'Sensitivity &amp; Scenarios'!$C$6*((1+$E164)^4-(1+$E164)^3))/(1+$C164)^('Sensitivity &amp; Scenarios'!$C$18+3)+('Sensitivity &amp; Scenarios'!$C$6*(1+$E164)^5*$G164+'Sensitivity &amp; Scenarios'!$C$11*'Sensitivity &amp; Scenarios'!$C$6*((1+$E164)^5-(1+$E164)^4))/(1+$C164)^('Sensitivity &amp; Scenarios'!$C$18+4)</f>
        <v>21065.706706732119</v>
      </c>
      <c r="I164" s="209">
        <f>('Sensitivity &amp; Scenarios'!$C$6*(1+$E164)^5*$G164+'Sensitivity &amp; Scenarios'!$C$11*'Sensitivity &amp; Scenarios'!$C$6*((1+$E164)^5-(1+$E164)^4))*(1+$D164)/($C164-$D164)/(1+$C164)^('Sensitivity &amp; Scenarios'!$C$18+4)</f>
        <v>62494.954125682809</v>
      </c>
      <c r="J164" s="209">
        <f>($H164+$I164-'Sensitivity &amp; Scenarios'!$C$15+'Sensitivity &amp; Scenarios'!$C$16)/'Sensitivity &amp; Scenarios'!$C$17</f>
        <v>2045.4108234691598</v>
      </c>
    </row>
    <row r="165" spans="2:10" x14ac:dyDescent="0.3">
      <c r="B165" s="127">
        <v>135</v>
      </c>
      <c r="C165" s="206">
        <f>$D$7+-0.538771*$E$7</f>
        <v>0.13216454943997799</v>
      </c>
      <c r="D165" s="206">
        <f>MIN($D$8+1.147813*$E$8,'Debt &amp; Cost of Capital'!$C$38)</f>
        <v>6.1886877999999999E-2</v>
      </c>
      <c r="E165" s="207">
        <f>$D$9+-2.39426*$E$9</f>
        <v>9.5393297702546342E-2</v>
      </c>
      <c r="F165" s="207">
        <f>$D$10+-0.786566*$E$10</f>
        <v>0.13556120799999991</v>
      </c>
      <c r="G165" s="208">
        <f>$F165*(1-'Sensitivity &amp; Scenarios'!$C$12)+'Sensitivity &amp; Scenarios'!$C$9*'Sensitivity &amp; Scenarios'!$C$12-'Sensitivity &amp; Scenarios'!$C$10</f>
        <v>7.0635870034864628E-2</v>
      </c>
      <c r="H165" s="209">
        <f>('Sensitivity &amp; Scenarios'!$C$6*(1+$E165)^1*$G165+'Sensitivity &amp; Scenarios'!$C$11*'Sensitivity &amp; Scenarios'!$C$6*((1+$E165)^1-(1+$E165)^0))*'Sensitivity &amp; Scenarios'!$C$18/(1+$C165)^'Sensitivity &amp; Scenarios'!$C$18+('Sensitivity &amp; Scenarios'!$C$6*(1+$E165)^2*$G165+'Sensitivity &amp; Scenarios'!$C$11*'Sensitivity &amp; Scenarios'!$C$6*((1+$E165)^2-(1+$E165)^1))/(1+$C165)^('Sensitivity &amp; Scenarios'!$C$18+1)+('Sensitivity &amp; Scenarios'!$C$6*(1+$E165)^3*$G165+'Sensitivity &amp; Scenarios'!$C$11*'Sensitivity &amp; Scenarios'!$C$6*((1+$E165)^3-(1+$E165)^2))/(1+$C165)^('Sensitivity &amp; Scenarios'!$C$18+2)+('Sensitivity &amp; Scenarios'!$C$6*(1+$E165)^4*$G165+'Sensitivity &amp; Scenarios'!$C$11*'Sensitivity &amp; Scenarios'!$C$6*((1+$E165)^4-(1+$E165)^3))/(1+$C165)^('Sensitivity &amp; Scenarios'!$C$18+3)+('Sensitivity &amp; Scenarios'!$C$6*(1+$E165)^5*$G165+'Sensitivity &amp; Scenarios'!$C$11*'Sensitivity &amp; Scenarios'!$C$6*((1+$E165)^5-(1+$E165)^4))/(1+$C165)^('Sensitivity &amp; Scenarios'!$C$18+4)</f>
        <v>16581.529870150538</v>
      </c>
      <c r="I165" s="209">
        <f>('Sensitivity &amp; Scenarios'!$C$6*(1+$E165)^5*$G165+'Sensitivity &amp; Scenarios'!$C$11*'Sensitivity &amp; Scenarios'!$C$6*((1+$E165)^5-(1+$E165)^4))*(1+$D165)/($C165-$D165)/(1+$C165)^('Sensitivity &amp; Scenarios'!$C$18+4)</f>
        <v>50839.10417202222</v>
      </c>
      <c r="J165" s="209">
        <f>($H165+$I165-'Sensitivity &amp; Scenarios'!$C$15+'Sensitivity &amp; Scenarios'!$C$16)/'Sensitivity &amp; Scenarios'!$C$17</f>
        <v>1705.6830096110205</v>
      </c>
    </row>
    <row r="166" spans="2:10" x14ac:dyDescent="0.3">
      <c r="B166" s="127">
        <v>136</v>
      </c>
      <c r="C166" s="206">
        <f>$D$7+-1.686468*$E$7</f>
        <v>0.12068757943997799</v>
      </c>
      <c r="D166" s="206">
        <f>MIN($D$8+-0.826229*$E$8,'Debt &amp; Cost of Capital'!$C$38)</f>
        <v>5.0042626E-2</v>
      </c>
      <c r="E166" s="207">
        <f>$D$9+0.247666*$E$9</f>
        <v>0.17465107770254634</v>
      </c>
      <c r="F166" s="207">
        <f>$D$10+-0.179227*$E$10</f>
        <v>0.14284927599999991</v>
      </c>
      <c r="G166" s="208">
        <f>$F166*(1-'Sensitivity &amp; Scenarios'!$C$12)+'Sensitivity &amp; Scenarios'!$C$9*'Sensitivity &amp; Scenarios'!$C$12-'Sensitivity &amp; Scenarios'!$C$10</f>
        <v>7.6089531319264644E-2</v>
      </c>
      <c r="H166" s="209">
        <f>('Sensitivity &amp; Scenarios'!$C$6*(1+$E166)^1*$G166+'Sensitivity &amp; Scenarios'!$C$11*'Sensitivity &amp; Scenarios'!$C$6*((1+$E166)^1-(1+$E166)^0))*'Sensitivity &amp; Scenarios'!$C$18/(1+$C166)^'Sensitivity &amp; Scenarios'!$C$18+('Sensitivity &amp; Scenarios'!$C$6*(1+$E166)^2*$G166+'Sensitivity &amp; Scenarios'!$C$11*'Sensitivity &amp; Scenarios'!$C$6*((1+$E166)^2-(1+$E166)^1))/(1+$C166)^('Sensitivity &amp; Scenarios'!$C$18+1)+('Sensitivity &amp; Scenarios'!$C$6*(1+$E166)^3*$G166+'Sensitivity &amp; Scenarios'!$C$11*'Sensitivity &amp; Scenarios'!$C$6*((1+$E166)^3-(1+$E166)^2))/(1+$C166)^('Sensitivity &amp; Scenarios'!$C$18+2)+('Sensitivity &amp; Scenarios'!$C$6*(1+$E166)^4*$G166+'Sensitivity &amp; Scenarios'!$C$11*'Sensitivity &amp; Scenarios'!$C$6*((1+$E166)^4-(1+$E166)^3))/(1+$C166)^('Sensitivity &amp; Scenarios'!$C$18+3)+('Sensitivity &amp; Scenarios'!$C$6*(1+$E166)^5*$G166+'Sensitivity &amp; Scenarios'!$C$11*'Sensitivity &amp; Scenarios'!$C$6*((1+$E166)^5-(1+$E166)^4))/(1+$C166)^('Sensitivity &amp; Scenarios'!$C$18+4)</f>
        <v>24539.487540158923</v>
      </c>
      <c r="I166" s="209">
        <f>('Sensitivity &amp; Scenarios'!$C$6*(1+$E166)^5*$G166+'Sensitivity &amp; Scenarios'!$C$11*'Sensitivity &amp; Scenarios'!$C$6*((1+$E166)^5-(1+$E166)^4))*(1+$D166)/($C166-$D166)/(1+$C166)^('Sensitivity &amp; Scenarios'!$C$18+4)</f>
        <v>85680.494010601222</v>
      </c>
      <c r="J166" s="209">
        <f>($H166+$I166-'Sensitivity &amp; Scenarios'!$C$15+'Sensitivity &amp; Scenarios'!$C$16)/'Sensitivity &amp; Scenarios'!$C$17</f>
        <v>2606.5569023630296</v>
      </c>
    </row>
    <row r="167" spans="2:10" x14ac:dyDescent="0.3">
      <c r="B167" s="127">
        <v>137</v>
      </c>
      <c r="C167" s="206">
        <f>$D$7+-0.253378*$E$7</f>
        <v>0.13501847943997797</v>
      </c>
      <c r="D167" s="206">
        <f>MIN($D$8+-0.159185*$E$8,'Debt &amp; Cost of Capital'!$C$38)</f>
        <v>5.4044889999999998E-2</v>
      </c>
      <c r="E167" s="207">
        <f>$D$9+0.203388*$E$9</f>
        <v>0.17332273770254633</v>
      </c>
      <c r="F167" s="207">
        <f>$D$10+-1.008536*$E$10</f>
        <v>0.13289756799999991</v>
      </c>
      <c r="G167" s="208">
        <f>$F167*(1-'Sensitivity &amp; Scenarios'!$C$12)+'Sensitivity &amp; Scenarios'!$C$9*'Sensitivity &amp; Scenarios'!$C$12-'Sensitivity &amp; Scenarios'!$C$10</f>
        <v>6.8642668222864633E-2</v>
      </c>
      <c r="H167" s="209">
        <f>('Sensitivity &amp; Scenarios'!$C$6*(1+$E167)^1*$G167+'Sensitivity &amp; Scenarios'!$C$11*'Sensitivity &amp; Scenarios'!$C$6*((1+$E167)^1-(1+$E167)^0))*'Sensitivity &amp; Scenarios'!$C$18/(1+$C167)^'Sensitivity &amp; Scenarios'!$C$18+('Sensitivity &amp; Scenarios'!$C$6*(1+$E167)^2*$G167+'Sensitivity &amp; Scenarios'!$C$11*'Sensitivity &amp; Scenarios'!$C$6*((1+$E167)^2-(1+$E167)^1))/(1+$C167)^('Sensitivity &amp; Scenarios'!$C$18+1)+('Sensitivity &amp; Scenarios'!$C$6*(1+$E167)^3*$G167+'Sensitivity &amp; Scenarios'!$C$11*'Sensitivity &amp; Scenarios'!$C$6*((1+$E167)^3-(1+$E167)^2))/(1+$C167)^('Sensitivity &amp; Scenarios'!$C$18+2)+('Sensitivity &amp; Scenarios'!$C$6*(1+$E167)^4*$G167+'Sensitivity &amp; Scenarios'!$C$11*'Sensitivity &amp; Scenarios'!$C$6*((1+$E167)^4-(1+$E167)^3))/(1+$C167)^('Sensitivity &amp; Scenarios'!$C$18+3)+('Sensitivity &amp; Scenarios'!$C$6*(1+$E167)^5*$G167+'Sensitivity &amp; Scenarios'!$C$11*'Sensitivity &amp; Scenarios'!$C$6*((1+$E167)^5-(1+$E167)^4))/(1+$C167)^('Sensitivity &amp; Scenarios'!$C$18+4)</f>
        <v>21649.956581395953</v>
      </c>
      <c r="I167" s="209">
        <f>('Sensitivity &amp; Scenarios'!$C$6*(1+$E167)^5*$G167+'Sensitivity &amp; Scenarios'!$C$11*'Sensitivity &amp; Scenarios'!$C$6*((1+$E167)^5-(1+$E167)^4))*(1+$D167)/($C167-$D167)/(1+$C167)^('Sensitivity &amp; Scenarios'!$C$18+4)</f>
        <v>64600.042059397972</v>
      </c>
      <c r="J167" s="209">
        <f>($H167+$I167-'Sensitivity &amp; Scenarios'!$C$15+'Sensitivity &amp; Scenarios'!$C$16)/'Sensitivity &amp; Scenarios'!$C$17</f>
        <v>2102.018093471896</v>
      </c>
    </row>
    <row r="168" spans="2:10" x14ac:dyDescent="0.3">
      <c r="B168" s="127">
        <v>138</v>
      </c>
      <c r="C168" s="206">
        <f>$D$7+0.70685*$E$7</f>
        <v>0.14462075943997799</v>
      </c>
      <c r="D168" s="206">
        <f>MIN($D$8+0.662666*$E$8,'Debt &amp; Cost of Capital'!$C$38)</f>
        <v>5.8975996000000003E-2</v>
      </c>
      <c r="E168" s="207">
        <f>$D$9+0.385038*$E$9</f>
        <v>0.17877223770254633</v>
      </c>
      <c r="F168" s="207">
        <f>$D$10+0.556533*$E$10</f>
        <v>0.15167839599999991</v>
      </c>
      <c r="G168" s="208">
        <f>$F168*(1-'Sensitivity &amp; Scenarios'!$C$12)+'Sensitivity &amp; Scenarios'!$C$9*'Sensitivity &amp; Scenarios'!$C$12-'Sensitivity &amp; Scenarios'!$C$10</f>
        <v>8.2696361815264643E-2</v>
      </c>
      <c r="H168" s="209">
        <f>('Sensitivity &amp; Scenarios'!$C$6*(1+$E168)^1*$G168+'Sensitivity &amp; Scenarios'!$C$11*'Sensitivity &amp; Scenarios'!$C$6*((1+$E168)^1-(1+$E168)^0))*'Sensitivity &amp; Scenarios'!$C$18/(1+$C168)^'Sensitivity &amp; Scenarios'!$C$18+('Sensitivity &amp; Scenarios'!$C$6*(1+$E168)^2*$G168+'Sensitivity &amp; Scenarios'!$C$11*'Sensitivity &amp; Scenarios'!$C$6*((1+$E168)^2-(1+$E168)^1))/(1+$C168)^('Sensitivity &amp; Scenarios'!$C$18+1)+('Sensitivity &amp; Scenarios'!$C$6*(1+$E168)^3*$G168+'Sensitivity &amp; Scenarios'!$C$11*'Sensitivity &amp; Scenarios'!$C$6*((1+$E168)^3-(1+$E168)^2))/(1+$C168)^('Sensitivity &amp; Scenarios'!$C$18+2)+('Sensitivity &amp; Scenarios'!$C$6*(1+$E168)^4*$G168+'Sensitivity &amp; Scenarios'!$C$11*'Sensitivity &amp; Scenarios'!$C$6*((1+$E168)^4-(1+$E168)^3))/(1+$C168)^('Sensitivity &amp; Scenarios'!$C$18+3)+('Sensitivity &amp; Scenarios'!$C$6*(1+$E168)^5*$G168+'Sensitivity &amp; Scenarios'!$C$11*'Sensitivity &amp; Scenarios'!$C$6*((1+$E168)^5-(1+$E168)^4))/(1+$C168)^('Sensitivity &amp; Scenarios'!$C$18+4)</f>
        <v>25115.138697720788</v>
      </c>
      <c r="I168" s="209">
        <f>('Sensitivity &amp; Scenarios'!$C$6*(1+$E168)^5*$G168+'Sensitivity &amp; Scenarios'!$C$11*'Sensitivity &amp; Scenarios'!$C$6*((1+$E168)^5-(1+$E168)^4))*(1+$D168)/($C168-$D168)/(1+$C168)^('Sensitivity &amp; Scenarios'!$C$18+4)</f>
        <v>70703.78475520217</v>
      </c>
      <c r="J168" s="209">
        <f>($H168+$I168-'Sensitivity &amp; Scenarios'!$C$15+'Sensitivity &amp; Scenarios'!$C$16)/'Sensitivity &amp; Scenarios'!$C$17</f>
        <v>2303.4322515551321</v>
      </c>
    </row>
    <row r="169" spans="2:10" x14ac:dyDescent="0.3">
      <c r="B169" s="127">
        <v>139</v>
      </c>
      <c r="C169" s="206">
        <f>$D$7+0.296418*$E$7</f>
        <v>0.14051643943997799</v>
      </c>
      <c r="D169" s="206">
        <f>MIN($D$8+2.035073*$E$8,'Debt &amp; Cost of Capital'!$C$38)</f>
        <v>6.7210437999999997E-2</v>
      </c>
      <c r="E169" s="207">
        <f>$D$9+-0.087094*$E$9</f>
        <v>0.16460827770254635</v>
      </c>
      <c r="F169" s="207">
        <f>$D$10+-0.307083*$E$10</f>
        <v>0.14131500399999991</v>
      </c>
      <c r="G169" s="208">
        <f>$F169*(1-'Sensitivity &amp; Scenarios'!$C$12)+'Sensitivity &amp; Scenarios'!$C$9*'Sensitivity &amp; Scenarios'!$C$12-'Sensitivity &amp; Scenarios'!$C$10</f>
        <v>7.4941435581664634E-2</v>
      </c>
      <c r="H169" s="209">
        <f>('Sensitivity &amp; Scenarios'!$C$6*(1+$E169)^1*$G169+'Sensitivity &amp; Scenarios'!$C$11*'Sensitivity &amp; Scenarios'!$C$6*((1+$E169)^1-(1+$E169)^0))*'Sensitivity &amp; Scenarios'!$C$18/(1+$C169)^'Sensitivity &amp; Scenarios'!$C$18+('Sensitivity &amp; Scenarios'!$C$6*(1+$E169)^2*$G169+'Sensitivity &amp; Scenarios'!$C$11*'Sensitivity &amp; Scenarios'!$C$6*((1+$E169)^2-(1+$E169)^1))/(1+$C169)^('Sensitivity &amp; Scenarios'!$C$18+1)+('Sensitivity &amp; Scenarios'!$C$6*(1+$E169)^3*$G169+'Sensitivity &amp; Scenarios'!$C$11*'Sensitivity &amp; Scenarios'!$C$6*((1+$E169)^3-(1+$E169)^2))/(1+$C169)^('Sensitivity &amp; Scenarios'!$C$18+2)+('Sensitivity &amp; Scenarios'!$C$6*(1+$E169)^4*$G169+'Sensitivity &amp; Scenarios'!$C$11*'Sensitivity &amp; Scenarios'!$C$6*((1+$E169)^4-(1+$E169)^3))/(1+$C169)^('Sensitivity &amp; Scenarios'!$C$18+3)+('Sensitivity &amp; Scenarios'!$C$6*(1+$E169)^5*$G169+'Sensitivity &amp; Scenarios'!$C$11*'Sensitivity &amp; Scenarios'!$C$6*((1+$E169)^5-(1+$E169)^4))/(1+$C169)^('Sensitivity &amp; Scenarios'!$C$18+4)</f>
        <v>22224.998708818861</v>
      </c>
      <c r="I169" s="209">
        <f>('Sensitivity &amp; Scenarios'!$C$6*(1+$E169)^5*$G169+'Sensitivity &amp; Scenarios'!$C$11*'Sensitivity &amp; Scenarios'!$C$6*((1+$E169)^5-(1+$E169)^4))*(1+$D169)/($C169-$D169)/(1+$C169)^('Sensitivity &amp; Scenarios'!$C$18+4)</f>
        <v>72551.636355032722</v>
      </c>
      <c r="J169" s="209">
        <f>($H169+$I169-'Sensitivity &amp; Scenarios'!$C$15+'Sensitivity &amp; Scenarios'!$C$16)/'Sensitivity &amp; Scenarios'!$C$17</f>
        <v>2281.4933563828504</v>
      </c>
    </row>
    <row r="170" spans="2:10" x14ac:dyDescent="0.3">
      <c r="B170" s="127">
        <v>140</v>
      </c>
      <c r="C170" s="206">
        <f>$D$7+-0.753528*$E$7</f>
        <v>0.13001697943997798</v>
      </c>
      <c r="D170" s="206">
        <f>MIN($D$8+-1.032263*$E$8,'Debt &amp; Cost of Capital'!$C$38)</f>
        <v>4.8806422000000002E-2</v>
      </c>
      <c r="E170" s="207">
        <f>$D$9+-1.244472*$E$9</f>
        <v>0.12988693770254633</v>
      </c>
      <c r="F170" s="207">
        <f>$D$10+-0.888797*$E$10</f>
        <v>0.13433443599999992</v>
      </c>
      <c r="G170" s="208">
        <f>$F170*(1-'Sensitivity &amp; Scenarios'!$C$12)+'Sensitivity &amp; Scenarios'!$C$9*'Sensitivity &amp; Scenarios'!$C$12-'Sensitivity &amp; Scenarios'!$C$10</f>
        <v>6.9717876547264648E-2</v>
      </c>
      <c r="H170" s="209">
        <f>('Sensitivity &amp; Scenarios'!$C$6*(1+$E170)^1*$G170+'Sensitivity &amp; Scenarios'!$C$11*'Sensitivity &amp; Scenarios'!$C$6*((1+$E170)^1-(1+$E170)^0))*'Sensitivity &amp; Scenarios'!$C$18/(1+$C170)^'Sensitivity &amp; Scenarios'!$C$18+('Sensitivity &amp; Scenarios'!$C$6*(1+$E170)^2*$G170+'Sensitivity &amp; Scenarios'!$C$11*'Sensitivity &amp; Scenarios'!$C$6*((1+$E170)^2-(1+$E170)^1))/(1+$C170)^('Sensitivity &amp; Scenarios'!$C$18+1)+('Sensitivity &amp; Scenarios'!$C$6*(1+$E170)^3*$G170+'Sensitivity &amp; Scenarios'!$C$11*'Sensitivity &amp; Scenarios'!$C$6*((1+$E170)^3-(1+$E170)^2))/(1+$C170)^('Sensitivity &amp; Scenarios'!$C$18+2)+('Sensitivity &amp; Scenarios'!$C$6*(1+$E170)^4*$G170+'Sensitivity &amp; Scenarios'!$C$11*'Sensitivity &amp; Scenarios'!$C$6*((1+$E170)^4-(1+$E170)^3))/(1+$C170)^('Sensitivity &amp; Scenarios'!$C$18+3)+('Sensitivity &amp; Scenarios'!$C$6*(1+$E170)^5*$G170+'Sensitivity &amp; Scenarios'!$C$11*'Sensitivity &amp; Scenarios'!$C$6*((1+$E170)^5-(1+$E170)^4))/(1+$C170)^('Sensitivity &amp; Scenarios'!$C$18+4)</f>
        <v>18858.163058573609</v>
      </c>
      <c r="I170" s="209">
        <f>('Sensitivity &amp; Scenarios'!$C$6*(1+$E170)^5*$G170+'Sensitivity &amp; Scenarios'!$C$11*'Sensitivity &amp; Scenarios'!$C$6*((1+$E170)^5-(1+$E170)^4))*(1+$D170)/($C170-$D170)/(1+$C170)^('Sensitivity &amp; Scenarios'!$C$18+4)</f>
        <v>52558.074168413834</v>
      </c>
      <c r="J170" s="209">
        <f>($H170+$I170-'Sensitivity &amp; Scenarios'!$C$15+'Sensitivity &amp; Scenarios'!$C$16)/'Sensitivity &amp; Scenarios'!$C$17</f>
        <v>1789.7855673491754</v>
      </c>
    </row>
    <row r="171" spans="2:10" x14ac:dyDescent="0.3">
      <c r="B171" s="127">
        <v>141</v>
      </c>
      <c r="C171" s="206">
        <f>$D$7+-0.07068*$E$7</f>
        <v>0.13684545943997797</v>
      </c>
      <c r="D171" s="206">
        <f>MIN($D$8+0.334295*$E$8,'Debt &amp; Cost of Capital'!$C$38)</f>
        <v>5.7005769999999997E-2</v>
      </c>
      <c r="E171" s="207">
        <f>$D$9+0.051142*$E$9</f>
        <v>0.16875535770254635</v>
      </c>
      <c r="F171" s="207">
        <f>$D$10+-0.765535*$E$10</f>
        <v>0.13581357999999991</v>
      </c>
      <c r="G171" s="208">
        <f>$F171*(1-'Sensitivity &amp; Scenarios'!$C$12)+'Sensitivity &amp; Scenarios'!$C$9*'Sensitivity &amp; Scenarios'!$C$12-'Sensitivity &amp; Scenarios'!$C$10</f>
        <v>7.0824720002464633E-2</v>
      </c>
      <c r="H171" s="209">
        <f>('Sensitivity &amp; Scenarios'!$C$6*(1+$E171)^1*$G171+'Sensitivity &amp; Scenarios'!$C$11*'Sensitivity &amp; Scenarios'!$C$6*((1+$E171)^1-(1+$E171)^0))*'Sensitivity &amp; Scenarios'!$C$18/(1+$C171)^'Sensitivity &amp; Scenarios'!$C$18+('Sensitivity &amp; Scenarios'!$C$6*(1+$E171)^2*$G171+'Sensitivity &amp; Scenarios'!$C$11*'Sensitivity &amp; Scenarios'!$C$6*((1+$E171)^2-(1+$E171)^1))/(1+$C171)^('Sensitivity &amp; Scenarios'!$C$18+1)+('Sensitivity &amp; Scenarios'!$C$6*(1+$E171)^3*$G171+'Sensitivity &amp; Scenarios'!$C$11*'Sensitivity &amp; Scenarios'!$C$6*((1+$E171)^3-(1+$E171)^2))/(1+$C171)^('Sensitivity &amp; Scenarios'!$C$18+2)+('Sensitivity &amp; Scenarios'!$C$6*(1+$E171)^4*$G171+'Sensitivity &amp; Scenarios'!$C$11*'Sensitivity &amp; Scenarios'!$C$6*((1+$E171)^4-(1+$E171)^3))/(1+$C171)^('Sensitivity &amp; Scenarios'!$C$18+3)+('Sensitivity &amp; Scenarios'!$C$6*(1+$E171)^5*$G171+'Sensitivity &amp; Scenarios'!$C$11*'Sensitivity &amp; Scenarios'!$C$6*((1+$E171)^5-(1+$E171)^4))/(1+$C171)^('Sensitivity &amp; Scenarios'!$C$18+4)</f>
        <v>21737.824101966326</v>
      </c>
      <c r="I171" s="209">
        <f>('Sensitivity &amp; Scenarios'!$C$6*(1+$E171)^5*$G171+'Sensitivity &amp; Scenarios'!$C$11*'Sensitivity &amp; Scenarios'!$C$6*((1+$E171)^5-(1+$E171)^4))*(1+$D171)/($C171-$D171)/(1+$C171)^('Sensitivity &amp; Scenarios'!$C$18+4)</f>
        <v>65322.232119873595</v>
      </c>
      <c r="J171" s="209">
        <f>($H171+$I171-'Sensitivity &amp; Scenarios'!$C$15+'Sensitivity &amp; Scenarios'!$C$16)/'Sensitivity &amp; Scenarios'!$C$17</f>
        <v>2119.0688143092584</v>
      </c>
    </row>
    <row r="172" spans="2:10" x14ac:dyDescent="0.3">
      <c r="B172" s="127">
        <v>142</v>
      </c>
      <c r="C172" s="206">
        <f>$D$7+0.900185*$E$7</f>
        <v>0.14655410943997799</v>
      </c>
      <c r="D172" s="206">
        <f>MIN($D$8+0.739413*$E$8,'Debt &amp; Cost of Capital'!$C$38)</f>
        <v>5.9436478000000001E-2</v>
      </c>
      <c r="E172" s="207">
        <f>$D$9+-0.159648*$E$9</f>
        <v>0.16243165770254633</v>
      </c>
      <c r="F172" s="207">
        <f>$D$10+-0.652916*$E$10</f>
        <v>0.13716500799999989</v>
      </c>
      <c r="G172" s="208">
        <f>$F172*(1-'Sensitivity &amp; Scenarios'!$C$12)+'Sensitivity &amp; Scenarios'!$C$9*'Sensitivity &amp; Scenarios'!$C$12-'Sensitivity &amp; Scenarios'!$C$10</f>
        <v>7.1835993574864629E-2</v>
      </c>
      <c r="H172" s="209">
        <f>('Sensitivity &amp; Scenarios'!$C$6*(1+$E172)^1*$G172+'Sensitivity &amp; Scenarios'!$C$11*'Sensitivity &amp; Scenarios'!$C$6*((1+$E172)^1-(1+$E172)^0))*'Sensitivity &amp; Scenarios'!$C$18/(1+$C172)^'Sensitivity &amp; Scenarios'!$C$18+('Sensitivity &amp; Scenarios'!$C$6*(1+$E172)^2*$G172+'Sensitivity &amp; Scenarios'!$C$11*'Sensitivity &amp; Scenarios'!$C$6*((1+$E172)^2-(1+$E172)^1))/(1+$C172)^('Sensitivity &amp; Scenarios'!$C$18+1)+('Sensitivity &amp; Scenarios'!$C$6*(1+$E172)^3*$G172+'Sensitivity &amp; Scenarios'!$C$11*'Sensitivity &amp; Scenarios'!$C$6*((1+$E172)^3-(1+$E172)^2))/(1+$C172)^('Sensitivity &amp; Scenarios'!$C$18+2)+('Sensitivity &amp; Scenarios'!$C$6*(1+$E172)^4*$G172+'Sensitivity &amp; Scenarios'!$C$11*'Sensitivity &amp; Scenarios'!$C$6*((1+$E172)^4-(1+$E172)^3))/(1+$C172)^('Sensitivity &amp; Scenarios'!$C$18+3)+('Sensitivity &amp; Scenarios'!$C$6*(1+$E172)^5*$G172+'Sensitivity &amp; Scenarios'!$C$11*'Sensitivity &amp; Scenarios'!$C$6*((1+$E172)^5-(1+$E172)^4))/(1+$C172)^('Sensitivity &amp; Scenarios'!$C$18+4)</f>
        <v>20976.425786541822</v>
      </c>
      <c r="I172" s="209">
        <f>('Sensitivity &amp; Scenarios'!$C$6*(1+$E172)^5*$G172+'Sensitivity &amp; Scenarios'!$C$11*'Sensitivity &amp; Scenarios'!$C$6*((1+$E172)^5-(1+$E172)^4))*(1+$D172)/($C172-$D172)/(1+$C172)^('Sensitivity &amp; Scenarios'!$C$18+4)</f>
        <v>56464.330394115153</v>
      </c>
      <c r="J172" s="209">
        <f>($H172+$I172-'Sensitivity &amp; Scenarios'!$C$15+'Sensitivity &amp; Scenarios'!$C$16)/'Sensitivity &amp; Scenarios'!$C$17</f>
        <v>1916.5943192971245</v>
      </c>
    </row>
    <row r="173" spans="2:10" x14ac:dyDescent="0.3">
      <c r="B173" s="127">
        <v>143</v>
      </c>
      <c r="C173" s="206">
        <f>$D$7+0.548428*$E$7</f>
        <v>0.14303653943997799</v>
      </c>
      <c r="D173" s="206">
        <f>MIN($D$8+0.187974*$E$8,'Debt &amp; Cost of Capital'!$C$38)</f>
        <v>5.6127844000000003E-2</v>
      </c>
      <c r="E173" s="207">
        <f>$D$9+-1.448127*$E$9</f>
        <v>0.12377728770254634</v>
      </c>
      <c r="F173" s="207">
        <f>$D$10+-0.06798*$E$10</f>
        <v>0.14418423999999991</v>
      </c>
      <c r="G173" s="208">
        <f>$F173*(1-'Sensitivity &amp; Scenarios'!$C$12)+'Sensitivity &amp; Scenarios'!$C$9*'Sensitivity &amp; Scenarios'!$C$12-'Sensitivity &amp; Scenarios'!$C$10</f>
        <v>7.7088484880464631E-2</v>
      </c>
      <c r="H173" s="209">
        <f>('Sensitivity &amp; Scenarios'!$C$6*(1+$E173)^1*$G173+'Sensitivity &amp; Scenarios'!$C$11*'Sensitivity &amp; Scenarios'!$C$6*((1+$E173)^1-(1+$E173)^0))*'Sensitivity &amp; Scenarios'!$C$18/(1+$C173)^'Sensitivity &amp; Scenarios'!$C$18+('Sensitivity &amp; Scenarios'!$C$6*(1+$E173)^2*$G173+'Sensitivity &amp; Scenarios'!$C$11*'Sensitivity &amp; Scenarios'!$C$6*((1+$E173)^2-(1+$E173)^1))/(1+$C173)^('Sensitivity &amp; Scenarios'!$C$18+1)+('Sensitivity &amp; Scenarios'!$C$6*(1+$E173)^3*$G173+'Sensitivity &amp; Scenarios'!$C$11*'Sensitivity &amp; Scenarios'!$C$6*((1+$E173)^3-(1+$E173)^2))/(1+$C173)^('Sensitivity &amp; Scenarios'!$C$18+2)+('Sensitivity &amp; Scenarios'!$C$6*(1+$E173)^4*$G173+'Sensitivity &amp; Scenarios'!$C$11*'Sensitivity &amp; Scenarios'!$C$6*((1+$E173)^4-(1+$E173)^3))/(1+$C173)^('Sensitivity &amp; Scenarios'!$C$18+3)+('Sensitivity &amp; Scenarios'!$C$6*(1+$E173)^5*$G173+'Sensitivity &amp; Scenarios'!$C$11*'Sensitivity &amp; Scenarios'!$C$6*((1+$E173)^5-(1+$E173)^4))/(1+$C173)^('Sensitivity &amp; Scenarios'!$C$18+4)</f>
        <v>19451.013325164862</v>
      </c>
      <c r="I173" s="209">
        <f>('Sensitivity &amp; Scenarios'!$C$6*(1+$E173)^5*$G173+'Sensitivity &amp; Scenarios'!$C$11*'Sensitivity &amp; Scenarios'!$C$6*((1+$E173)^5-(1+$E173)^4))*(1+$D173)/($C173-$D173)/(1+$C173)^('Sensitivity &amp; Scenarios'!$C$18+4)</f>
        <v>49435.69683928939</v>
      </c>
      <c r="J173" s="209">
        <f>($H173+$I173-'Sensitivity &amp; Scenarios'!$C$15+'Sensitivity &amp; Scenarios'!$C$16)/'Sensitivity &amp; Scenarios'!$C$17</f>
        <v>1736.5421179907803</v>
      </c>
    </row>
    <row r="174" spans="2:10" x14ac:dyDescent="0.3">
      <c r="B174" s="127">
        <v>144</v>
      </c>
      <c r="C174" s="206">
        <f>$D$7+0.262036*$E$7</f>
        <v>0.14017261943997797</v>
      </c>
      <c r="D174" s="206">
        <f>MIN($D$8+-0.899695*$E$8,'Debt &amp; Cost of Capital'!$C$38)</f>
        <v>4.960183E-2</v>
      </c>
      <c r="E174" s="207">
        <f>$D$9+0.189843*$E$9</f>
        <v>0.17291638770254633</v>
      </c>
      <c r="F174" s="207">
        <f>$D$10+-1.454822*$E$10</f>
        <v>0.12754213599999992</v>
      </c>
      <c r="G174" s="208">
        <f>$F174*(1-'Sensitivity &amp; Scenarios'!$C$12)+'Sensitivity &amp; Scenarios'!$C$9*'Sensitivity &amp; Scenarios'!$C$12-'Sensitivity &amp; Scenarios'!$C$10</f>
        <v>6.4635198457264648E-2</v>
      </c>
      <c r="H174" s="209">
        <f>('Sensitivity &amp; Scenarios'!$C$6*(1+$E174)^1*$G174+'Sensitivity &amp; Scenarios'!$C$11*'Sensitivity &amp; Scenarios'!$C$6*((1+$E174)^1-(1+$E174)^0))*'Sensitivity &amp; Scenarios'!$C$18/(1+$C174)^'Sensitivity &amp; Scenarios'!$C$18+('Sensitivity &amp; Scenarios'!$C$6*(1+$E174)^2*$G174+'Sensitivity &amp; Scenarios'!$C$11*'Sensitivity &amp; Scenarios'!$C$6*((1+$E174)^2-(1+$E174)^1))/(1+$C174)^('Sensitivity &amp; Scenarios'!$C$18+1)+('Sensitivity &amp; Scenarios'!$C$6*(1+$E174)^3*$G174+'Sensitivity &amp; Scenarios'!$C$11*'Sensitivity &amp; Scenarios'!$C$6*((1+$E174)^3-(1+$E174)^2))/(1+$C174)^('Sensitivity &amp; Scenarios'!$C$18+2)+('Sensitivity &amp; Scenarios'!$C$6*(1+$E174)^4*$G174+'Sensitivity &amp; Scenarios'!$C$11*'Sensitivity &amp; Scenarios'!$C$6*((1+$E174)^4-(1+$E174)^3))/(1+$C174)^('Sensitivity &amp; Scenarios'!$C$18+3)+('Sensitivity &amp; Scenarios'!$C$6*(1+$E174)^5*$G174+'Sensitivity &amp; Scenarios'!$C$11*'Sensitivity &amp; Scenarios'!$C$6*((1+$E174)^5-(1+$E174)^4))/(1+$C174)^('Sensitivity &amp; Scenarios'!$C$18+4)</f>
        <v>20332.724955945538</v>
      </c>
      <c r="I174" s="209">
        <f>('Sensitivity &amp; Scenarios'!$C$6*(1+$E174)^5*$G174+'Sensitivity &amp; Scenarios'!$C$11*'Sensitivity &amp; Scenarios'!$C$6*((1+$E174)^5-(1+$E174)^4))*(1+$D174)/($C174-$D174)/(1+$C174)^('Sensitivity &amp; Scenarios'!$C$18+4)</f>
        <v>53543.848189599332</v>
      </c>
      <c r="J174" s="209">
        <f>($H174+$I174-'Sensitivity &amp; Scenarios'!$C$15+'Sensitivity &amp; Scenarios'!$C$16)/'Sensitivity &amp; Scenarios'!$C$17</f>
        <v>1841.5726277940503</v>
      </c>
    </row>
    <row r="175" spans="2:10" x14ac:dyDescent="0.3">
      <c r="B175" s="127">
        <v>145</v>
      </c>
      <c r="C175" s="206">
        <f>$D$7+1.336186*$E$7</f>
        <v>0.15091411943997798</v>
      </c>
      <c r="D175" s="206">
        <f>MIN($D$8+1.24795*$E$8,'Debt &amp; Cost of Capital'!$C$38)</f>
        <v>6.24877E-2</v>
      </c>
      <c r="E175" s="207">
        <f>$D$9+-0.252517*$E$9</f>
        <v>0.15964558770254633</v>
      </c>
      <c r="F175" s="207">
        <f>$D$10+0.363454*$E$10</f>
        <v>0.1493614479999999</v>
      </c>
      <c r="G175" s="208">
        <f>$F175*(1-'Sensitivity &amp; Scenarios'!$C$12)+'Sensitivity &amp; Scenarios'!$C$9*'Sensitivity &amp; Scenarios'!$C$12-'Sensitivity &amp; Scenarios'!$C$10</f>
        <v>8.0962589626864631E-2</v>
      </c>
      <c r="H175" s="209">
        <f>('Sensitivity &amp; Scenarios'!$C$6*(1+$E175)^1*$G175+'Sensitivity &amp; Scenarios'!$C$11*'Sensitivity &amp; Scenarios'!$C$6*((1+$E175)^1-(1+$E175)^0))*'Sensitivity &amp; Scenarios'!$C$18/(1+$C175)^'Sensitivity &amp; Scenarios'!$C$18+('Sensitivity &amp; Scenarios'!$C$6*(1+$E175)^2*$G175+'Sensitivity &amp; Scenarios'!$C$11*'Sensitivity &amp; Scenarios'!$C$6*((1+$E175)^2-(1+$E175)^1))/(1+$C175)^('Sensitivity &amp; Scenarios'!$C$18+1)+('Sensitivity &amp; Scenarios'!$C$6*(1+$E175)^3*$G175+'Sensitivity &amp; Scenarios'!$C$11*'Sensitivity &amp; Scenarios'!$C$6*((1+$E175)^3-(1+$E175)^2))/(1+$C175)^('Sensitivity &amp; Scenarios'!$C$18+2)+('Sensitivity &amp; Scenarios'!$C$6*(1+$E175)^4*$G175+'Sensitivity &amp; Scenarios'!$C$11*'Sensitivity &amp; Scenarios'!$C$6*((1+$E175)^4-(1+$E175)^3))/(1+$C175)^('Sensitivity &amp; Scenarios'!$C$18+3)+('Sensitivity &amp; Scenarios'!$C$6*(1+$E175)^5*$G175+'Sensitivity &amp; Scenarios'!$C$11*'Sensitivity &amp; Scenarios'!$C$6*((1+$E175)^5-(1+$E175)^4))/(1+$C175)^('Sensitivity &amp; Scenarios'!$C$18+4)</f>
        <v>22697.971232853321</v>
      </c>
      <c r="I175" s="209">
        <f>('Sensitivity &amp; Scenarios'!$C$6*(1+$E175)^5*$G175+'Sensitivity &amp; Scenarios'!$C$11*'Sensitivity &amp; Scenarios'!$C$6*((1+$E175)^5-(1+$E175)^4))*(1+$D175)/($C175-$D175)/(1+$C175)^('Sensitivity &amp; Scenarios'!$C$18+4)</f>
        <v>59689.805177497365</v>
      </c>
      <c r="J175" s="209">
        <f>($H175+$I175-'Sensitivity &amp; Scenarios'!$C$15+'Sensitivity &amp; Scenarios'!$C$16)/'Sensitivity &amp; Scenarios'!$C$17</f>
        <v>2020.723041608906</v>
      </c>
    </row>
    <row r="176" spans="2:10" x14ac:dyDescent="0.3">
      <c r="B176" s="127">
        <v>146</v>
      </c>
      <c r="C176" s="206">
        <f>$D$7+-2.409922*$E$7</f>
        <v>0.11345303943997798</v>
      </c>
      <c r="D176" s="206">
        <f>MIN($D$8+-1.156348*$E$8,'Debt &amp; Cost of Capital'!$C$38)</f>
        <v>4.8061911999999998E-2</v>
      </c>
      <c r="E176" s="207">
        <f>$D$9+-0.293779*$E$9</f>
        <v>0.15840772770254635</v>
      </c>
      <c r="F176" s="207">
        <f>$D$10+-1.072133*$E$10</f>
        <v>0.1321344039999999</v>
      </c>
      <c r="G176" s="208">
        <f>$F176*(1-'Sensitivity &amp; Scenarios'!$C$12)+'Sensitivity &amp; Scenarios'!$C$9*'Sensitivity &amp; Scenarios'!$C$12-'Sensitivity &amp; Scenarios'!$C$10</f>
        <v>6.8071592601664635E-2</v>
      </c>
      <c r="H176" s="209">
        <f>('Sensitivity &amp; Scenarios'!$C$6*(1+$E176)^1*$G176+'Sensitivity &amp; Scenarios'!$C$11*'Sensitivity &amp; Scenarios'!$C$6*((1+$E176)^1-(1+$E176)^0))*'Sensitivity &amp; Scenarios'!$C$18/(1+$C176)^'Sensitivity &amp; Scenarios'!$C$18+('Sensitivity &amp; Scenarios'!$C$6*(1+$E176)^2*$G176+'Sensitivity &amp; Scenarios'!$C$11*'Sensitivity &amp; Scenarios'!$C$6*((1+$E176)^2-(1+$E176)^1))/(1+$C176)^('Sensitivity &amp; Scenarios'!$C$18+1)+('Sensitivity &amp; Scenarios'!$C$6*(1+$E176)^3*$G176+'Sensitivity &amp; Scenarios'!$C$11*'Sensitivity &amp; Scenarios'!$C$6*((1+$E176)^3-(1+$E176)^2))/(1+$C176)^('Sensitivity &amp; Scenarios'!$C$18+2)+('Sensitivity &amp; Scenarios'!$C$6*(1+$E176)^4*$G176+'Sensitivity &amp; Scenarios'!$C$11*'Sensitivity &amp; Scenarios'!$C$6*((1+$E176)^4-(1+$E176)^3))/(1+$C176)^('Sensitivity &amp; Scenarios'!$C$18+3)+('Sensitivity &amp; Scenarios'!$C$6*(1+$E176)^5*$G176+'Sensitivity &amp; Scenarios'!$C$11*'Sensitivity &amp; Scenarios'!$C$6*((1+$E176)^5-(1+$E176)^4))/(1+$C176)^('Sensitivity &amp; Scenarios'!$C$18+4)</f>
        <v>21485.858996236231</v>
      </c>
      <c r="I176" s="209">
        <f>('Sensitivity &amp; Scenarios'!$C$6*(1+$E176)^5*$G176+'Sensitivity &amp; Scenarios'!$C$11*'Sensitivity &amp; Scenarios'!$C$6*((1+$E176)^5-(1+$E176)^4))*(1+$D176)/($C176-$D176)/(1+$C176)^('Sensitivity &amp; Scenarios'!$C$18+4)</f>
        <v>79837.730638943554</v>
      </c>
      <c r="J176" s="209">
        <f>($H176+$I176-'Sensitivity &amp; Scenarios'!$C$15+'Sensitivity &amp; Scenarios'!$C$16)/'Sensitivity &amp; Scenarios'!$C$17</f>
        <v>2419.2987387934027</v>
      </c>
    </row>
    <row r="177" spans="2:10" x14ac:dyDescent="0.3">
      <c r="B177" s="127">
        <v>147</v>
      </c>
      <c r="C177" s="206">
        <f>$D$7+0.714396*$E$7</f>
        <v>0.14469621943997799</v>
      </c>
      <c r="D177" s="206">
        <f>MIN($D$8+1.997297*$E$8,'Debt &amp; Cost of Capital'!$C$38)</f>
        <v>6.6983782000000006E-2</v>
      </c>
      <c r="E177" s="207">
        <f>$D$9+-1.176615*$E$9</f>
        <v>0.13192264770254636</v>
      </c>
      <c r="F177" s="207">
        <f>$D$10+-0.837463*$E$10</f>
        <v>0.13495044399999992</v>
      </c>
      <c r="G177" s="208">
        <f>$F177*(1-'Sensitivity &amp; Scenarios'!$C$12)+'Sensitivity &amp; Scenarios'!$C$9*'Sensitivity &amp; Scenarios'!$C$12-'Sensitivity &amp; Scenarios'!$C$10</f>
        <v>7.0178835333664646E-2</v>
      </c>
      <c r="H177" s="209">
        <f>('Sensitivity &amp; Scenarios'!$C$6*(1+$E177)^1*$G177+'Sensitivity &amp; Scenarios'!$C$11*'Sensitivity &amp; Scenarios'!$C$6*((1+$E177)^1-(1+$E177)^0))*'Sensitivity &amp; Scenarios'!$C$18/(1+$C177)^'Sensitivity &amp; Scenarios'!$C$18+('Sensitivity &amp; Scenarios'!$C$6*(1+$E177)^2*$G177+'Sensitivity &amp; Scenarios'!$C$11*'Sensitivity &amp; Scenarios'!$C$6*((1+$E177)^2-(1+$E177)^1))/(1+$C177)^('Sensitivity &amp; Scenarios'!$C$18+1)+('Sensitivity &amp; Scenarios'!$C$6*(1+$E177)^3*$G177+'Sensitivity &amp; Scenarios'!$C$11*'Sensitivity &amp; Scenarios'!$C$6*((1+$E177)^3-(1+$E177)^2))/(1+$C177)^('Sensitivity &amp; Scenarios'!$C$18+2)+('Sensitivity &amp; Scenarios'!$C$6*(1+$E177)^4*$G177+'Sensitivity &amp; Scenarios'!$C$11*'Sensitivity &amp; Scenarios'!$C$6*((1+$E177)^4-(1+$E177)^3))/(1+$C177)^('Sensitivity &amp; Scenarios'!$C$18+3)+('Sensitivity &amp; Scenarios'!$C$6*(1+$E177)^5*$G177+'Sensitivity &amp; Scenarios'!$C$11*'Sensitivity &amp; Scenarios'!$C$6*((1+$E177)^5-(1+$E177)^4))/(1+$C177)^('Sensitivity &amp; Scenarios'!$C$18+4)</f>
        <v>18437.958599239435</v>
      </c>
      <c r="I177" s="209">
        <f>('Sensitivity &amp; Scenarios'!$C$6*(1+$E177)^5*$G177+'Sensitivity &amp; Scenarios'!$C$11*'Sensitivity &amp; Scenarios'!$C$6*((1+$E177)^5-(1+$E177)^4))*(1+$D177)/($C177-$D177)/(1+$C177)^('Sensitivity &amp; Scenarios'!$C$18+4)</f>
        <v>53518.640488685895</v>
      </c>
      <c r="J177" s="209">
        <f>($H177+$I177-'Sensitivity &amp; Scenarios'!$C$15+'Sensitivity &amp; Scenarios'!$C$16)/'Sensitivity &amp; Scenarios'!$C$17</f>
        <v>1801.1595232969894</v>
      </c>
    </row>
    <row r="178" spans="2:10" x14ac:dyDescent="0.3">
      <c r="B178" s="127">
        <v>148</v>
      </c>
      <c r="C178" s="206">
        <f>$D$7+0.235448*$E$7</f>
        <v>0.13990673943997797</v>
      </c>
      <c r="D178" s="206">
        <f>MIN($D$8+1.611116*$E$8,'Debt &amp; Cost of Capital'!$C$38)</f>
        <v>6.4666695999999996E-2</v>
      </c>
      <c r="E178" s="207">
        <f>$D$9+-1.222374*$E$9</f>
        <v>0.13054987770254634</v>
      </c>
      <c r="F178" s="207">
        <f>$D$10+0.249036*$E$10</f>
        <v>0.14798843199999992</v>
      </c>
      <c r="G178" s="208">
        <f>$F178*(1-'Sensitivity &amp; Scenarios'!$C$12)+'Sensitivity &amp; Scenarios'!$C$9*'Sensitivity &amp; Scenarios'!$C$12-'Sensitivity &amp; Scenarios'!$C$10</f>
        <v>7.9935161754064649E-2</v>
      </c>
      <c r="H178" s="209">
        <f>('Sensitivity &amp; Scenarios'!$C$6*(1+$E178)^1*$G178+'Sensitivity &amp; Scenarios'!$C$11*'Sensitivity &amp; Scenarios'!$C$6*((1+$E178)^1-(1+$E178)^0))*'Sensitivity &amp; Scenarios'!$C$18/(1+$C178)^'Sensitivity &amp; Scenarios'!$C$18+('Sensitivity &amp; Scenarios'!$C$6*(1+$E178)^2*$G178+'Sensitivity &amp; Scenarios'!$C$11*'Sensitivity &amp; Scenarios'!$C$6*((1+$E178)^2-(1+$E178)^1))/(1+$C178)^('Sensitivity &amp; Scenarios'!$C$18+1)+('Sensitivity &amp; Scenarios'!$C$6*(1+$E178)^3*$G178+'Sensitivity &amp; Scenarios'!$C$11*'Sensitivity &amp; Scenarios'!$C$6*((1+$E178)^3-(1+$E178)^2))/(1+$C178)^('Sensitivity &amp; Scenarios'!$C$18+2)+('Sensitivity &amp; Scenarios'!$C$6*(1+$E178)^4*$G178+'Sensitivity &amp; Scenarios'!$C$11*'Sensitivity &amp; Scenarios'!$C$6*((1+$E178)^4-(1+$E178)^3))/(1+$C178)^('Sensitivity &amp; Scenarios'!$C$18+3)+('Sensitivity &amp; Scenarios'!$C$6*(1+$E178)^5*$G178+'Sensitivity &amp; Scenarios'!$C$11*'Sensitivity &amp; Scenarios'!$C$6*((1+$E178)^5-(1+$E178)^4))/(1+$C178)^('Sensitivity &amp; Scenarios'!$C$18+4)</f>
        <v>20740.601565376131</v>
      </c>
      <c r="I178" s="209">
        <f>('Sensitivity &amp; Scenarios'!$C$6*(1+$E178)^5*$G178+'Sensitivity &amp; Scenarios'!$C$11*'Sensitivity &amp; Scenarios'!$C$6*((1+$E178)^5-(1+$E178)^4))*(1+$D178)/($C178-$D178)/(1+$C178)^('Sensitivity &amp; Scenarios'!$C$18+4)</f>
        <v>62390.226182530037</v>
      </c>
      <c r="J178" s="209">
        <f>($H178+$I178-'Sensitivity &amp; Scenarios'!$C$15+'Sensitivity &amp; Scenarios'!$C$16)/'Sensitivity &amp; Scenarios'!$C$17</f>
        <v>2036.3633630143636</v>
      </c>
    </row>
    <row r="179" spans="2:10" x14ac:dyDescent="0.3">
      <c r="B179" s="127">
        <v>149</v>
      </c>
      <c r="C179" s="206">
        <f>$D$7+1.821299*$E$7</f>
        <v>0.15576524943997799</v>
      </c>
      <c r="D179" s="206">
        <f>MIN($D$8+-1.651759*$E$8,'Debt &amp; Cost of Capital'!$C$38)</f>
        <v>4.5089445999999998E-2</v>
      </c>
      <c r="E179" s="207">
        <f>$D$9+-1.281069*$E$9</f>
        <v>0.12878902770254635</v>
      </c>
      <c r="F179" s="207">
        <f>$D$10+-0.423607*$E$10</f>
        <v>0.13991671599999991</v>
      </c>
      <c r="G179" s="208">
        <f>$F179*(1-'Sensitivity &amp; Scenarios'!$C$12)+'Sensitivity &amp; Scenarios'!$C$9*'Sensitivity &amp; Scenarios'!$C$12-'Sensitivity &amp; Scenarios'!$C$10</f>
        <v>7.3895096671264635E-2</v>
      </c>
      <c r="H179" s="209">
        <f>('Sensitivity &amp; Scenarios'!$C$6*(1+$E179)^1*$G179+'Sensitivity &amp; Scenarios'!$C$11*'Sensitivity &amp; Scenarios'!$C$6*((1+$E179)^1-(1+$E179)^0))*'Sensitivity &amp; Scenarios'!$C$18/(1+$C179)^'Sensitivity &amp; Scenarios'!$C$18+('Sensitivity &amp; Scenarios'!$C$6*(1+$E179)^2*$G179+'Sensitivity &amp; Scenarios'!$C$11*'Sensitivity &amp; Scenarios'!$C$6*((1+$E179)^2-(1+$E179)^1))/(1+$C179)^('Sensitivity &amp; Scenarios'!$C$18+1)+('Sensitivity &amp; Scenarios'!$C$6*(1+$E179)^3*$G179+'Sensitivity &amp; Scenarios'!$C$11*'Sensitivity &amp; Scenarios'!$C$6*((1+$E179)^3-(1+$E179)^2))/(1+$C179)^('Sensitivity &amp; Scenarios'!$C$18+2)+('Sensitivity &amp; Scenarios'!$C$6*(1+$E179)^4*$G179+'Sensitivity &amp; Scenarios'!$C$11*'Sensitivity &amp; Scenarios'!$C$6*((1+$E179)^4-(1+$E179)^3))/(1+$C179)^('Sensitivity &amp; Scenarios'!$C$18+3)+('Sensitivity &amp; Scenarios'!$C$6*(1+$E179)^5*$G179+'Sensitivity &amp; Scenarios'!$C$11*'Sensitivity &amp; Scenarios'!$C$6*((1+$E179)^5-(1+$E179)^4))/(1+$C179)^('Sensitivity &amp; Scenarios'!$C$18+4)</f>
        <v>18538.896230372571</v>
      </c>
      <c r="I179" s="209">
        <f>('Sensitivity &amp; Scenarios'!$C$6*(1+$E179)^5*$G179+'Sensitivity &amp; Scenarios'!$C$11*'Sensitivity &amp; Scenarios'!$C$6*((1+$E179)^5-(1+$E179)^4))*(1+$D179)/($C179-$D179)/(1+$C179)^('Sensitivity &amp; Scenarios'!$C$18+4)</f>
        <v>36159.762561001146</v>
      </c>
      <c r="J179" s="209">
        <f>($H179+$I179-'Sensitivity &amp; Scenarios'!$C$15+'Sensitivity &amp; Scenarios'!$C$16)/'Sensitivity &amp; Scenarios'!$C$17</f>
        <v>1437.9009980889407</v>
      </c>
    </row>
    <row r="180" spans="2:10" x14ac:dyDescent="0.3">
      <c r="B180" s="127">
        <v>150</v>
      </c>
      <c r="C180" s="206">
        <f>$D$7+-0.520588*$E$7</f>
        <v>0.13234637943997798</v>
      </c>
      <c r="D180" s="206">
        <f>MIN($D$8+0.812601*$E$8,'Debt &amp; Cost of Capital'!$C$38)</f>
        <v>5.9875605999999998E-2</v>
      </c>
      <c r="E180" s="207">
        <f>$D$9+0.24166*$E$9</f>
        <v>0.17447089770254634</v>
      </c>
      <c r="F180" s="207">
        <f>$D$10+-1.774962*$E$10</f>
        <v>0.1237004559999999</v>
      </c>
      <c r="G180" s="208">
        <f>$F180*(1-'Sensitivity &amp; Scenarios'!$C$12)+'Sensitivity &amp; Scenarios'!$C$9*'Sensitivity &amp; Scenarios'!$C$12-'Sensitivity &amp; Scenarios'!$C$10</f>
        <v>6.1760469313264635E-2</v>
      </c>
      <c r="H180" s="209">
        <f>('Sensitivity &amp; Scenarios'!$C$6*(1+$E180)^1*$G180+'Sensitivity &amp; Scenarios'!$C$11*'Sensitivity &amp; Scenarios'!$C$6*((1+$E180)^1-(1+$E180)^0))*'Sensitivity &amp; Scenarios'!$C$18/(1+$C180)^'Sensitivity &amp; Scenarios'!$C$18+('Sensitivity &amp; Scenarios'!$C$6*(1+$E180)^2*$G180+'Sensitivity &amp; Scenarios'!$C$11*'Sensitivity &amp; Scenarios'!$C$6*((1+$E180)^2-(1+$E180)^1))/(1+$C180)^('Sensitivity &amp; Scenarios'!$C$18+1)+('Sensitivity &amp; Scenarios'!$C$6*(1+$E180)^3*$G180+'Sensitivity &amp; Scenarios'!$C$11*'Sensitivity &amp; Scenarios'!$C$6*((1+$E180)^3-(1+$E180)^2))/(1+$C180)^('Sensitivity &amp; Scenarios'!$C$18+2)+('Sensitivity &amp; Scenarios'!$C$6*(1+$E180)^4*$G180+'Sensitivity &amp; Scenarios'!$C$11*'Sensitivity &amp; Scenarios'!$C$6*((1+$E180)^4-(1+$E180)^3))/(1+$C180)^('Sensitivity &amp; Scenarios'!$C$18+3)+('Sensitivity &amp; Scenarios'!$C$6*(1+$E180)^5*$G180+'Sensitivity &amp; Scenarios'!$C$11*'Sensitivity &amp; Scenarios'!$C$6*((1+$E180)^5-(1+$E180)^4))/(1+$C180)^('Sensitivity &amp; Scenarios'!$C$18+4)</f>
        <v>20115.91231683311</v>
      </c>
      <c r="I180" s="209">
        <f>('Sensitivity &amp; Scenarios'!$C$6*(1+$E180)^5*$G180+'Sensitivity &amp; Scenarios'!$C$11*'Sensitivity &amp; Scenarios'!$C$6*((1+$E180)^5-(1+$E180)^4))*(1+$D180)/($C180-$D180)/(1+$C180)^('Sensitivity &amp; Scenarios'!$C$18+4)</f>
        <v>67837.149955689703</v>
      </c>
      <c r="J180" s="209">
        <f>($H180+$I180-'Sensitivity &amp; Scenarios'!$C$15+'Sensitivity &amp; Scenarios'!$C$16)/'Sensitivity &amp; Scenarios'!$C$17</f>
        <v>2137.8654989308725</v>
      </c>
    </row>
    <row r="181" spans="2:10" x14ac:dyDescent="0.3">
      <c r="B181" s="127">
        <v>151</v>
      </c>
      <c r="C181" s="206">
        <f>$D$7+0.51541*$E$7</f>
        <v>0.14270635943997798</v>
      </c>
      <c r="D181" s="206">
        <f>MIN($D$8+-0.577539*$E$8,'Debt &amp; Cost of Capital'!$C$38)</f>
        <v>5.1534766000000003E-2</v>
      </c>
      <c r="E181" s="207">
        <f>$D$9+1.274447*$E$9</f>
        <v>0.20545450770254634</v>
      </c>
      <c r="F181" s="207">
        <f>$D$10+-0.627588*$E$10</f>
        <v>0.1374689439999999</v>
      </c>
      <c r="G181" s="208">
        <f>$F181*(1-'Sensitivity &amp; Scenarios'!$C$12)+'Sensitivity &amp; Scenarios'!$C$9*'Sensitivity &amp; Scenarios'!$C$12-'Sensitivity &amp; Scenarios'!$C$10</f>
        <v>7.2063428883664626E-2</v>
      </c>
      <c r="H181" s="209">
        <f>('Sensitivity &amp; Scenarios'!$C$6*(1+$E181)^1*$G181+'Sensitivity &amp; Scenarios'!$C$11*'Sensitivity &amp; Scenarios'!$C$6*((1+$E181)^1-(1+$E181)^0))*'Sensitivity &amp; Scenarios'!$C$18/(1+$C181)^'Sensitivity &amp; Scenarios'!$C$18+('Sensitivity &amp; Scenarios'!$C$6*(1+$E181)^2*$G181+'Sensitivity &amp; Scenarios'!$C$11*'Sensitivity &amp; Scenarios'!$C$6*((1+$E181)^2-(1+$E181)^1))/(1+$C181)^('Sensitivity &amp; Scenarios'!$C$18+1)+('Sensitivity &amp; Scenarios'!$C$6*(1+$E181)^3*$G181+'Sensitivity &amp; Scenarios'!$C$11*'Sensitivity &amp; Scenarios'!$C$6*((1+$E181)^3-(1+$E181)^2))/(1+$C181)^('Sensitivity &amp; Scenarios'!$C$18+2)+('Sensitivity &amp; Scenarios'!$C$6*(1+$E181)^4*$G181+'Sensitivity &amp; Scenarios'!$C$11*'Sensitivity &amp; Scenarios'!$C$6*((1+$E181)^4-(1+$E181)^3))/(1+$C181)^('Sensitivity &amp; Scenarios'!$C$18+3)+('Sensitivity &amp; Scenarios'!$C$6*(1+$E181)^5*$G181+'Sensitivity &amp; Scenarios'!$C$11*'Sensitivity &amp; Scenarios'!$C$6*((1+$E181)^5-(1+$E181)^4))/(1+$C181)^('Sensitivity &amp; Scenarios'!$C$18+4)</f>
        <v>24791.254690768448</v>
      </c>
      <c r="I181" s="209">
        <f>('Sensitivity &amp; Scenarios'!$C$6*(1+$E181)^5*$G181+'Sensitivity &amp; Scenarios'!$C$11*'Sensitivity &amp; Scenarios'!$C$6*((1+$E181)^5-(1+$E181)^4))*(1+$D181)/($C181-$D181)/(1+$C181)^('Sensitivity &amp; Scenarios'!$C$18+4)</f>
        <v>67926.744175785003</v>
      </c>
      <c r="J181" s="209">
        <f>($H181+$I181-'Sensitivity &amp; Scenarios'!$C$15+'Sensitivity &amp; Scenarios'!$C$16)/'Sensitivity &amp; Scenarios'!$C$17</f>
        <v>2238.1615835223397</v>
      </c>
    </row>
    <row r="182" spans="2:10" x14ac:dyDescent="0.3">
      <c r="B182" s="127">
        <v>152</v>
      </c>
      <c r="C182" s="206">
        <f>$D$7+-0.636615*$E$7</f>
        <v>0.13118610943997799</v>
      </c>
      <c r="D182" s="206">
        <f>MIN($D$8+0.541132*$E$8,'Debt &amp; Cost of Capital'!$C$38)</f>
        <v>5.8246791999999999E-2</v>
      </c>
      <c r="E182" s="207">
        <f>$D$9+0.762926*$E$9</f>
        <v>0.19010887770254634</v>
      </c>
      <c r="F182" s="207">
        <f>$D$10+0.448099*$E$10</f>
        <v>0.15037718799999991</v>
      </c>
      <c r="G182" s="208">
        <f>$F182*(1-'Sensitivity &amp; Scenarios'!$C$12)+'Sensitivity &amp; Scenarios'!$C$9*'Sensitivity &amp; Scenarios'!$C$12-'Sensitivity &amp; Scenarios'!$C$10</f>
        <v>8.1722667868864646E-2</v>
      </c>
      <c r="H182" s="209">
        <f>('Sensitivity &amp; Scenarios'!$C$6*(1+$E182)^1*$G182+'Sensitivity &amp; Scenarios'!$C$11*'Sensitivity &amp; Scenarios'!$C$6*((1+$E182)^1-(1+$E182)^0))*'Sensitivity &amp; Scenarios'!$C$18/(1+$C182)^'Sensitivity &amp; Scenarios'!$C$18+('Sensitivity &amp; Scenarios'!$C$6*(1+$E182)^2*$G182+'Sensitivity &amp; Scenarios'!$C$11*'Sensitivity &amp; Scenarios'!$C$6*((1+$E182)^2-(1+$E182)^1))/(1+$C182)^('Sensitivity &amp; Scenarios'!$C$18+1)+('Sensitivity &amp; Scenarios'!$C$6*(1+$E182)^3*$G182+'Sensitivity &amp; Scenarios'!$C$11*'Sensitivity &amp; Scenarios'!$C$6*((1+$E182)^3-(1+$E182)^2))/(1+$C182)^('Sensitivity &amp; Scenarios'!$C$18+2)+('Sensitivity &amp; Scenarios'!$C$6*(1+$E182)^4*$G182+'Sensitivity &amp; Scenarios'!$C$11*'Sensitivity &amp; Scenarios'!$C$6*((1+$E182)^4-(1+$E182)^3))/(1+$C182)^('Sensitivity &amp; Scenarios'!$C$18+3)+('Sensitivity &amp; Scenarios'!$C$6*(1+$E182)^5*$G182+'Sensitivity &amp; Scenarios'!$C$11*'Sensitivity &amp; Scenarios'!$C$6*((1+$E182)^5-(1+$E182)^4))/(1+$C182)^('Sensitivity &amp; Scenarios'!$C$18+4)</f>
        <v>26772.001560468882</v>
      </c>
      <c r="I182" s="209">
        <f>('Sensitivity &amp; Scenarios'!$C$6*(1+$E182)^5*$G182+'Sensitivity &amp; Scenarios'!$C$11*'Sensitivity &amp; Scenarios'!$C$6*((1+$E182)^5-(1+$E182)^4))*(1+$D182)/($C182-$D182)/(1+$C182)^('Sensitivity &amp; Scenarios'!$C$18+4)</f>
        <v>91844.105202290433</v>
      </c>
      <c r="J182" s="209">
        <f>($H182+$I182-'Sensitivity &amp; Scenarios'!$C$15+'Sensitivity &amp; Scenarios'!$C$16)/'Sensitivity &amp; Scenarios'!$C$17</f>
        <v>2783.2850639839367</v>
      </c>
    </row>
    <row r="183" spans="2:10" x14ac:dyDescent="0.3">
      <c r="B183" s="127">
        <v>153</v>
      </c>
      <c r="C183" s="206">
        <f>$D$7+-1.685597*$E$7</f>
        <v>0.12069628943997798</v>
      </c>
      <c r="D183" s="206">
        <f>MIN($D$8+0.538034*$E$8,'Debt &amp; Cost of Capital'!$C$38)</f>
        <v>5.8228203999999999E-2</v>
      </c>
      <c r="E183" s="207">
        <f>$D$9+-1.034308*$E$9</f>
        <v>0.13619185770254633</v>
      </c>
      <c r="F183" s="207">
        <f>$D$10+0.235276*$E$10</f>
        <v>0.1478233119999999</v>
      </c>
      <c r="G183" s="208">
        <f>$F183*(1-'Sensitivity &amp; Scenarios'!$C$12)+'Sensitivity &amp; Scenarios'!$C$9*'Sensitivity &amp; Scenarios'!$C$12-'Sensitivity &amp; Scenarios'!$C$10</f>
        <v>7.9811602458064637E-2</v>
      </c>
      <c r="H183" s="209">
        <f>('Sensitivity &amp; Scenarios'!$C$6*(1+$E183)^1*$G183+'Sensitivity &amp; Scenarios'!$C$11*'Sensitivity &amp; Scenarios'!$C$6*((1+$E183)^1-(1+$E183)^0))*'Sensitivity &amp; Scenarios'!$C$18/(1+$C183)^'Sensitivity &amp; Scenarios'!$C$18+('Sensitivity &amp; Scenarios'!$C$6*(1+$E183)^2*$G183+'Sensitivity &amp; Scenarios'!$C$11*'Sensitivity &amp; Scenarios'!$C$6*((1+$E183)^2-(1+$E183)^1))/(1+$C183)^('Sensitivity &amp; Scenarios'!$C$18+1)+('Sensitivity &amp; Scenarios'!$C$6*(1+$E183)^3*$G183+'Sensitivity &amp; Scenarios'!$C$11*'Sensitivity &amp; Scenarios'!$C$6*((1+$E183)^3-(1+$E183)^2))/(1+$C183)^('Sensitivity &amp; Scenarios'!$C$18+2)+('Sensitivity &amp; Scenarios'!$C$6*(1+$E183)^4*$G183+'Sensitivity &amp; Scenarios'!$C$11*'Sensitivity &amp; Scenarios'!$C$6*((1+$E183)^4-(1+$E183)^3))/(1+$C183)^('Sensitivity &amp; Scenarios'!$C$18+3)+('Sensitivity &amp; Scenarios'!$C$6*(1+$E183)^5*$G183+'Sensitivity &amp; Scenarios'!$C$11*'Sensitivity &amp; Scenarios'!$C$6*((1+$E183)^5-(1+$E183)^4))/(1+$C183)^('Sensitivity &amp; Scenarios'!$C$18+4)</f>
        <v>22181.148058689527</v>
      </c>
      <c r="I183" s="209">
        <f>('Sensitivity &amp; Scenarios'!$C$6*(1+$E183)^5*$G183+'Sensitivity &amp; Scenarios'!$C$11*'Sensitivity &amp; Scenarios'!$C$6*((1+$E183)^5-(1+$E183)^4))*(1+$D183)/($C183-$D183)/(1+$C183)^('Sensitivity &amp; Scenarios'!$C$18+4)</f>
        <v>83169.174715398985</v>
      </c>
      <c r="J183" s="209">
        <f>($H183+$I183-'Sensitivity &amp; Scenarios'!$C$15+'Sensitivity &amp; Scenarios'!$C$16)/'Sensitivity &amp; Scenarios'!$C$17</f>
        <v>2504.0565439724273</v>
      </c>
    </row>
    <row r="184" spans="2:10" x14ac:dyDescent="0.3">
      <c r="B184" s="127">
        <v>154</v>
      </c>
      <c r="C184" s="206">
        <f>$D$7+-1.423734*$E$7</f>
        <v>0.12331491943997798</v>
      </c>
      <c r="D184" s="206">
        <f>MIN($D$8+0.446322*$E$8,'Debt &amp; Cost of Capital'!$C$38)</f>
        <v>5.7677932000000001E-2</v>
      </c>
      <c r="E184" s="207">
        <f>$D$9+-0.806599*$E$9</f>
        <v>0.14302312770254633</v>
      </c>
      <c r="F184" s="207">
        <f>$D$10+-1.282635*$E$10</f>
        <v>0.12960837999999991</v>
      </c>
      <c r="G184" s="208">
        <f>$F184*(1-'Sensitivity &amp; Scenarios'!$C$12)+'Sensitivity &amp; Scenarios'!$C$9*'Sensitivity &amp; Scenarios'!$C$12-'Sensitivity &amp; Scenarios'!$C$10</f>
        <v>6.6181368842464644E-2</v>
      </c>
      <c r="H184" s="209">
        <f>('Sensitivity &amp; Scenarios'!$C$6*(1+$E184)^1*$G184+'Sensitivity &amp; Scenarios'!$C$11*'Sensitivity &amp; Scenarios'!$C$6*((1+$E184)^1-(1+$E184)^0))*'Sensitivity &amp; Scenarios'!$C$18/(1+$C184)^'Sensitivity &amp; Scenarios'!$C$18+('Sensitivity &amp; Scenarios'!$C$6*(1+$E184)^2*$G184+'Sensitivity &amp; Scenarios'!$C$11*'Sensitivity &amp; Scenarios'!$C$6*((1+$E184)^2-(1+$E184)^1))/(1+$C184)^('Sensitivity &amp; Scenarios'!$C$18+1)+('Sensitivity &amp; Scenarios'!$C$6*(1+$E184)^3*$G184+'Sensitivity &amp; Scenarios'!$C$11*'Sensitivity &amp; Scenarios'!$C$6*((1+$E184)^3-(1+$E184)^2))/(1+$C184)^('Sensitivity &amp; Scenarios'!$C$18+2)+('Sensitivity &amp; Scenarios'!$C$6*(1+$E184)^4*$G184+'Sensitivity &amp; Scenarios'!$C$11*'Sensitivity &amp; Scenarios'!$C$6*((1+$E184)^4-(1+$E184)^3))/(1+$C184)^('Sensitivity &amp; Scenarios'!$C$18+3)+('Sensitivity &amp; Scenarios'!$C$6*(1+$E184)^5*$G184+'Sensitivity &amp; Scenarios'!$C$11*'Sensitivity &amp; Scenarios'!$C$6*((1+$E184)^5-(1+$E184)^4))/(1+$C184)^('Sensitivity &amp; Scenarios'!$C$18+4)</f>
        <v>19308.415335715061</v>
      </c>
      <c r="I184" s="209">
        <f>('Sensitivity &amp; Scenarios'!$C$6*(1+$E184)^5*$G184+'Sensitivity &amp; Scenarios'!$C$11*'Sensitivity &amp; Scenarios'!$C$6*((1+$E184)^5-(1+$E184)^4))*(1+$D184)/($C184-$D184)/(1+$C184)^('Sensitivity &amp; Scenarios'!$C$18+4)</f>
        <v>69325.232066396857</v>
      </c>
      <c r="J184" s="209">
        <f>($H184+$I184-'Sensitivity &amp; Scenarios'!$C$15+'Sensitivity &amp; Scenarios'!$C$16)/'Sensitivity &amp; Scenarios'!$C$17</f>
        <v>2152.1909830967011</v>
      </c>
    </row>
    <row r="185" spans="2:10" x14ac:dyDescent="0.3">
      <c r="B185" s="127">
        <v>155</v>
      </c>
      <c r="C185" s="206">
        <f>$D$7+0.71382*$E$7</f>
        <v>0.14469045943997799</v>
      </c>
      <c r="D185" s="206">
        <f>MIN($D$8+0.241645*$E$8,'Debt &amp; Cost of Capital'!$C$38)</f>
        <v>5.6449869999999999E-2</v>
      </c>
      <c r="E185" s="207">
        <f>$D$9+-0.613977*$E$9</f>
        <v>0.14880178770254635</v>
      </c>
      <c r="F185" s="207">
        <f>$D$10+1.451179*$E$10</f>
        <v>0.1624141479999999</v>
      </c>
      <c r="G185" s="208">
        <f>$F185*(1-'Sensitivity &amp; Scenarios'!$C$12)+'Sensitivity &amp; Scenarios'!$C$9*'Sensitivity &amp; Scenarios'!$C$12-'Sensitivity &amp; Scenarios'!$C$10</f>
        <v>9.0729925036864639E-2</v>
      </c>
      <c r="H185" s="209">
        <f>('Sensitivity &amp; Scenarios'!$C$6*(1+$E185)^1*$G185+'Sensitivity &amp; Scenarios'!$C$11*'Sensitivity &amp; Scenarios'!$C$6*((1+$E185)^1-(1+$E185)^0))*'Sensitivity &amp; Scenarios'!$C$18/(1+$C185)^'Sensitivity &amp; Scenarios'!$C$18+('Sensitivity &amp; Scenarios'!$C$6*(1+$E185)^2*$G185+'Sensitivity &amp; Scenarios'!$C$11*'Sensitivity &amp; Scenarios'!$C$6*((1+$E185)^2-(1+$E185)^1))/(1+$C185)^('Sensitivity &amp; Scenarios'!$C$18+1)+('Sensitivity &amp; Scenarios'!$C$6*(1+$E185)^3*$G185+'Sensitivity &amp; Scenarios'!$C$11*'Sensitivity &amp; Scenarios'!$C$6*((1+$E185)^3-(1+$E185)^2))/(1+$C185)^('Sensitivity &amp; Scenarios'!$C$18+2)+('Sensitivity &amp; Scenarios'!$C$6*(1+$E185)^4*$G185+'Sensitivity &amp; Scenarios'!$C$11*'Sensitivity &amp; Scenarios'!$C$6*((1+$E185)^4-(1+$E185)^3))/(1+$C185)^('Sensitivity &amp; Scenarios'!$C$18+3)+('Sensitivity &amp; Scenarios'!$C$6*(1+$E185)^5*$G185+'Sensitivity &amp; Scenarios'!$C$11*'Sensitivity &amp; Scenarios'!$C$6*((1+$E185)^5-(1+$E185)^4))/(1+$C185)^('Sensitivity &amp; Scenarios'!$C$18+4)</f>
        <v>24434.490578819907</v>
      </c>
      <c r="I185" s="209">
        <f>('Sensitivity &amp; Scenarios'!$C$6*(1+$E185)^5*$G185+'Sensitivity &amp; Scenarios'!$C$11*'Sensitivity &amp; Scenarios'!$C$6*((1+$E185)^5-(1+$E185)^4))*(1+$D185)/($C185-$D185)/(1+$C185)^('Sensitivity &amp; Scenarios'!$C$18+4)</f>
        <v>63561.667248423801</v>
      </c>
      <c r="J185" s="209">
        <f>($H185+$I185-'Sensitivity &amp; Scenarios'!$C$15+'Sensitivity &amp; Scenarios'!$C$16)/'Sensitivity &amp; Scenarios'!$C$17</f>
        <v>2138.7726076229837</v>
      </c>
    </row>
    <row r="186" spans="2:10" x14ac:dyDescent="0.3">
      <c r="B186" s="127">
        <v>156</v>
      </c>
      <c r="C186" s="206">
        <f>$D$7+-0.440652*$E$7</f>
        <v>0.13314573943997798</v>
      </c>
      <c r="D186" s="206">
        <f>MIN($D$8+0.032108*$E$8,'Debt &amp; Cost of Capital'!$C$38)</f>
        <v>5.5192647999999997E-2</v>
      </c>
      <c r="E186" s="207">
        <f>$D$9+0.268913*$E$9</f>
        <v>0.17528848770254635</v>
      </c>
      <c r="F186" s="207">
        <f>$D$10+-0.619666*$E$10</f>
        <v>0.1375640079999999</v>
      </c>
      <c r="G186" s="208">
        <f>$F186*(1-'Sensitivity &amp; Scenarios'!$C$12)+'Sensitivity &amp; Scenarios'!$C$9*'Sensitivity &amp; Scenarios'!$C$12-'Sensitivity &amp; Scenarios'!$C$10</f>
        <v>7.2134565274864629E-2</v>
      </c>
      <c r="H186" s="209">
        <f>('Sensitivity &amp; Scenarios'!$C$6*(1+$E186)^1*$G186+'Sensitivity &amp; Scenarios'!$C$11*'Sensitivity &amp; Scenarios'!$C$6*((1+$E186)^1-(1+$E186)^0))*'Sensitivity &amp; Scenarios'!$C$18/(1+$C186)^'Sensitivity &amp; Scenarios'!$C$18+('Sensitivity &amp; Scenarios'!$C$6*(1+$E186)^2*$G186+'Sensitivity &amp; Scenarios'!$C$11*'Sensitivity &amp; Scenarios'!$C$6*((1+$E186)^2-(1+$E186)^1))/(1+$C186)^('Sensitivity &amp; Scenarios'!$C$18+1)+('Sensitivity &amp; Scenarios'!$C$6*(1+$E186)^3*$G186+'Sensitivity &amp; Scenarios'!$C$11*'Sensitivity &amp; Scenarios'!$C$6*((1+$E186)^3-(1+$E186)^2))/(1+$C186)^('Sensitivity &amp; Scenarios'!$C$18+2)+('Sensitivity &amp; Scenarios'!$C$6*(1+$E186)^4*$G186+'Sensitivity &amp; Scenarios'!$C$11*'Sensitivity &amp; Scenarios'!$C$6*((1+$E186)^4-(1+$E186)^3))/(1+$C186)^('Sensitivity &amp; Scenarios'!$C$18+3)+('Sensitivity &amp; Scenarios'!$C$6*(1+$E186)^5*$G186+'Sensitivity &amp; Scenarios'!$C$11*'Sensitivity &amp; Scenarios'!$C$6*((1+$E186)^5-(1+$E186)^4))/(1+$C186)^('Sensitivity &amp; Scenarios'!$C$18+4)</f>
        <v>22809.854059739278</v>
      </c>
      <c r="I186" s="209">
        <f>('Sensitivity &amp; Scenarios'!$C$6*(1+$E186)^5*$G186+'Sensitivity &amp; Scenarios'!$C$11*'Sensitivity &amp; Scenarios'!$C$6*((1+$E186)^5-(1+$E186)^4))*(1+$D186)/($C186-$D186)/(1+$C186)^('Sensitivity &amp; Scenarios'!$C$18+4)</f>
        <v>71194.956774776278</v>
      </c>
      <c r="J186" s="209">
        <f>($H186+$I186-'Sensitivity &amp; Scenarios'!$C$15+'Sensitivity &amp; Scenarios'!$C$16)/'Sensitivity &amp; Scenarios'!$C$17</f>
        <v>2265.2474008139538</v>
      </c>
    </row>
    <row r="187" spans="2:10" x14ac:dyDescent="0.3">
      <c r="B187" s="127">
        <v>157</v>
      </c>
      <c r="C187" s="206">
        <f>$D$7+0.471136*$E$7</f>
        <v>0.14226361943997798</v>
      </c>
      <c r="D187" s="206">
        <f>MIN($D$8+-0.533452*$E$8,'Debt &amp; Cost of Capital'!$C$38)</f>
        <v>5.1799287999999999E-2</v>
      </c>
      <c r="E187" s="207">
        <f>$D$9+-0.411638*$E$9</f>
        <v>0.15487195770254633</v>
      </c>
      <c r="F187" s="207">
        <f>$D$10+1.362643*$E$10</f>
        <v>0.16135171599999992</v>
      </c>
      <c r="G187" s="208">
        <f>$F187*(1-'Sensitivity &amp; Scenarios'!$C$12)+'Sensitivity &amp; Scenarios'!$C$9*'Sensitivity &amp; Scenarios'!$C$12-'Sensitivity &amp; Scenarios'!$C$10</f>
        <v>8.993490717126465E-2</v>
      </c>
      <c r="H187" s="209">
        <f>('Sensitivity &amp; Scenarios'!$C$6*(1+$E187)^1*$G187+'Sensitivity &amp; Scenarios'!$C$11*'Sensitivity &amp; Scenarios'!$C$6*((1+$E187)^1-(1+$E187)^0))*'Sensitivity &amp; Scenarios'!$C$18/(1+$C187)^'Sensitivity &amp; Scenarios'!$C$18+('Sensitivity &amp; Scenarios'!$C$6*(1+$E187)^2*$G187+'Sensitivity &amp; Scenarios'!$C$11*'Sensitivity &amp; Scenarios'!$C$6*((1+$E187)^2-(1+$E187)^1))/(1+$C187)^('Sensitivity &amp; Scenarios'!$C$18+1)+('Sensitivity &amp; Scenarios'!$C$6*(1+$E187)^3*$G187+'Sensitivity &amp; Scenarios'!$C$11*'Sensitivity &amp; Scenarios'!$C$6*((1+$E187)^3-(1+$E187)^2))/(1+$C187)^('Sensitivity &amp; Scenarios'!$C$18+2)+('Sensitivity &amp; Scenarios'!$C$6*(1+$E187)^4*$G187+'Sensitivity &amp; Scenarios'!$C$11*'Sensitivity &amp; Scenarios'!$C$6*((1+$E187)^4-(1+$E187)^3))/(1+$C187)^('Sensitivity &amp; Scenarios'!$C$18+3)+('Sensitivity &amp; Scenarios'!$C$6*(1+$E187)^5*$G187+'Sensitivity &amp; Scenarios'!$C$11*'Sensitivity &amp; Scenarios'!$C$6*((1+$E187)^5-(1+$E187)^4))/(1+$C187)^('Sensitivity &amp; Scenarios'!$C$18+4)</f>
        <v>24925.21610029347</v>
      </c>
      <c r="I187" s="209">
        <f>('Sensitivity &amp; Scenarios'!$C$6*(1+$E187)^5*$G187+'Sensitivity &amp; Scenarios'!$C$11*'Sensitivity &amp; Scenarios'!$C$6*((1+$E187)^5-(1+$E187)^4))*(1+$D187)/($C187-$D187)/(1+$C187)^('Sensitivity &amp; Scenarios'!$C$18+4)</f>
        <v>63822.759428901343</v>
      </c>
      <c r="J187" s="209">
        <f>($H187+$I187-'Sensitivity &amp; Scenarios'!$C$15+'Sensitivity &amp; Scenarios'!$C$16)/'Sensitivity &amp; Scenarios'!$C$17</f>
        <v>2154.5974502718273</v>
      </c>
    </row>
    <row r="188" spans="2:10" x14ac:dyDescent="0.3">
      <c r="B188" s="127">
        <v>158</v>
      </c>
      <c r="C188" s="206">
        <f>$D$7+-1.040586*$E$7</f>
        <v>0.12714639943997799</v>
      </c>
      <c r="D188" s="206">
        <f>MIN($D$8+-2.41278*$E$8,'Debt &amp; Cost of Capital'!$C$38)</f>
        <v>4.0523320000000002E-2</v>
      </c>
      <c r="E188" s="207">
        <f>$D$9+1.610937*$E$9</f>
        <v>0.21554920770254635</v>
      </c>
      <c r="F188" s="207">
        <f>$D$10+2.549328*$E$10</f>
        <v>0.17559193599999989</v>
      </c>
      <c r="G188" s="208">
        <f>$F188*(1-'Sensitivity &amp; Scenarios'!$C$12)+'Sensitivity &amp; Scenarios'!$C$9*'Sensitivity &amp; Scenarios'!$C$12-'Sensitivity &amp; Scenarios'!$C$10</f>
        <v>0.10059086379726462</v>
      </c>
      <c r="H188" s="209">
        <f>('Sensitivity &amp; Scenarios'!$C$6*(1+$E188)^1*$G188+'Sensitivity &amp; Scenarios'!$C$11*'Sensitivity &amp; Scenarios'!$C$6*((1+$E188)^1-(1+$E188)^0))*'Sensitivity &amp; Scenarios'!$C$18/(1+$C188)^'Sensitivity &amp; Scenarios'!$C$18+('Sensitivity &amp; Scenarios'!$C$6*(1+$E188)^2*$G188+'Sensitivity &amp; Scenarios'!$C$11*'Sensitivity &amp; Scenarios'!$C$6*((1+$E188)^2-(1+$E188)^1))/(1+$C188)^('Sensitivity &amp; Scenarios'!$C$18+1)+('Sensitivity &amp; Scenarios'!$C$6*(1+$E188)^3*$G188+'Sensitivity &amp; Scenarios'!$C$11*'Sensitivity &amp; Scenarios'!$C$6*((1+$E188)^3-(1+$E188)^2))/(1+$C188)^('Sensitivity &amp; Scenarios'!$C$18+2)+('Sensitivity &amp; Scenarios'!$C$6*(1+$E188)^4*$G188+'Sensitivity &amp; Scenarios'!$C$11*'Sensitivity &amp; Scenarios'!$C$6*((1+$E188)^4-(1+$E188)^3))/(1+$C188)^('Sensitivity &amp; Scenarios'!$C$18+3)+('Sensitivity &amp; Scenarios'!$C$6*(1+$E188)^5*$G188+'Sensitivity &amp; Scenarios'!$C$11*'Sensitivity &amp; Scenarios'!$C$6*((1+$E188)^5-(1+$E188)^4))/(1+$C188)^('Sensitivity &amp; Scenarios'!$C$18+4)</f>
        <v>35064.192546229227</v>
      </c>
      <c r="I188" s="209">
        <f>('Sensitivity &amp; Scenarios'!$C$6*(1+$E188)^5*$G188+'Sensitivity &amp; Scenarios'!$C$11*'Sensitivity &amp; Scenarios'!$C$6*((1+$E188)^5-(1+$E188)^4))*(1+$D188)/($C188-$D188)/(1+$C188)^('Sensitivity &amp; Scenarios'!$C$18+4)</f>
        <v>103939.22439078423</v>
      </c>
      <c r="J188" s="209">
        <f>($H188+$I188-'Sensitivity &amp; Scenarios'!$C$15+'Sensitivity &amp; Scenarios'!$C$16)/'Sensitivity &amp; Scenarios'!$C$17</f>
        <v>3212.4129957996702</v>
      </c>
    </row>
    <row r="189" spans="2:10" x14ac:dyDescent="0.3">
      <c r="B189" s="127">
        <v>159</v>
      </c>
      <c r="C189" s="206">
        <f>$D$7+-0.405269*$E$7</f>
        <v>0.13349956943997798</v>
      </c>
      <c r="D189" s="206">
        <f>MIN($D$8+-1.936838*$E$8,'Debt &amp; Cost of Capital'!$C$38)</f>
        <v>4.3378972000000002E-2</v>
      </c>
      <c r="E189" s="207">
        <f>$D$9+-0.310484*$E$9</f>
        <v>0.15790657770254635</v>
      </c>
      <c r="F189" s="207">
        <f>$D$10+-0.286223*$E$10</f>
        <v>0.14156532399999991</v>
      </c>
      <c r="G189" s="208">
        <f>$F189*(1-'Sensitivity &amp; Scenarios'!$C$12)+'Sensitivity &amp; Scenarios'!$C$9*'Sensitivity &amp; Scenarios'!$C$12-'Sensitivity &amp; Scenarios'!$C$10</f>
        <v>7.5128750037664643E-2</v>
      </c>
      <c r="H189" s="209">
        <f>('Sensitivity &amp; Scenarios'!$C$6*(1+$E189)^1*$G189+'Sensitivity &amp; Scenarios'!$C$11*'Sensitivity &amp; Scenarios'!$C$6*((1+$E189)^1-(1+$E189)^0))*'Sensitivity &amp; Scenarios'!$C$18/(1+$C189)^'Sensitivity &amp; Scenarios'!$C$18+('Sensitivity &amp; Scenarios'!$C$6*(1+$E189)^2*$G189+'Sensitivity &amp; Scenarios'!$C$11*'Sensitivity &amp; Scenarios'!$C$6*((1+$E189)^2-(1+$E189)^1))/(1+$C189)^('Sensitivity &amp; Scenarios'!$C$18+1)+('Sensitivity &amp; Scenarios'!$C$6*(1+$E189)^3*$G189+'Sensitivity &amp; Scenarios'!$C$11*'Sensitivity &amp; Scenarios'!$C$6*((1+$E189)^3-(1+$E189)^2))/(1+$C189)^('Sensitivity &amp; Scenarios'!$C$18+2)+('Sensitivity &amp; Scenarios'!$C$6*(1+$E189)^4*$G189+'Sensitivity &amp; Scenarios'!$C$11*'Sensitivity &amp; Scenarios'!$C$6*((1+$E189)^4-(1+$E189)^3))/(1+$C189)^('Sensitivity &amp; Scenarios'!$C$18+3)+('Sensitivity &amp; Scenarios'!$C$6*(1+$E189)^5*$G189+'Sensitivity &amp; Scenarios'!$C$11*'Sensitivity &amp; Scenarios'!$C$6*((1+$E189)^5-(1+$E189)^4))/(1+$C189)^('Sensitivity &amp; Scenarios'!$C$18+4)</f>
        <v>22114.920406670535</v>
      </c>
      <c r="I189" s="209">
        <f>('Sensitivity &amp; Scenarios'!$C$6*(1+$E189)^5*$G189+'Sensitivity &amp; Scenarios'!$C$11*'Sensitivity &amp; Scenarios'!$C$6*((1+$E189)^5-(1+$E189)^4))*(1+$D189)/($C189-$D189)/(1+$C189)^('Sensitivity &amp; Scenarios'!$C$18+4)</f>
        <v>57452.880175872677</v>
      </c>
      <c r="J189" s="209">
        <f>($H189+$I189-'Sensitivity &amp; Scenarios'!$C$15+'Sensitivity &amp; Scenarios'!$C$16)/'Sensitivity &amp; Scenarios'!$C$17</f>
        <v>1961.3660011551056</v>
      </c>
    </row>
    <row r="190" spans="2:10" x14ac:dyDescent="0.3">
      <c r="B190" s="127">
        <v>160</v>
      </c>
      <c r="C190" s="206">
        <f>$D$7+-0.189924*$E$7</f>
        <v>0.13565301943997798</v>
      </c>
      <c r="D190" s="206">
        <f>MIN($D$8+-1.113388*$E$8,'Debt &amp; Cost of Capital'!$C$38)</f>
        <v>4.8319672000000001E-2</v>
      </c>
      <c r="E190" s="207">
        <f>$D$9+0.579561*$E$9</f>
        <v>0.18460792770254633</v>
      </c>
      <c r="F190" s="207">
        <f>$D$10+0.524507*$E$10</f>
        <v>0.15129408399999991</v>
      </c>
      <c r="G190" s="208">
        <f>$F190*(1-'Sensitivity &amp; Scenarios'!$C$12)+'Sensitivity &amp; Scenarios'!$C$9*'Sensitivity &amp; Scenarios'!$C$12-'Sensitivity &amp; Scenarios'!$C$10</f>
        <v>8.2408781145664634E-2</v>
      </c>
      <c r="H190" s="209">
        <f>('Sensitivity &amp; Scenarios'!$C$6*(1+$E190)^1*$G190+'Sensitivity &amp; Scenarios'!$C$11*'Sensitivity &amp; Scenarios'!$C$6*((1+$E190)^1-(1+$E190)^0))*'Sensitivity &amp; Scenarios'!$C$18/(1+$C190)^'Sensitivity &amp; Scenarios'!$C$18+('Sensitivity &amp; Scenarios'!$C$6*(1+$E190)^2*$G190+'Sensitivity &amp; Scenarios'!$C$11*'Sensitivity &amp; Scenarios'!$C$6*((1+$E190)^2-(1+$E190)^1))/(1+$C190)^('Sensitivity &amp; Scenarios'!$C$18+1)+('Sensitivity &amp; Scenarios'!$C$6*(1+$E190)^3*$G190+'Sensitivity &amp; Scenarios'!$C$11*'Sensitivity &amp; Scenarios'!$C$6*((1+$E190)^3-(1+$E190)^2))/(1+$C190)^('Sensitivity &amp; Scenarios'!$C$18+2)+('Sensitivity &amp; Scenarios'!$C$6*(1+$E190)^4*$G190+'Sensitivity &amp; Scenarios'!$C$11*'Sensitivity &amp; Scenarios'!$C$6*((1+$E190)^4-(1+$E190)^3))/(1+$C190)^('Sensitivity &amp; Scenarios'!$C$18+3)+('Sensitivity &amp; Scenarios'!$C$6*(1+$E190)^5*$G190+'Sensitivity &amp; Scenarios'!$C$11*'Sensitivity &amp; Scenarios'!$C$6*((1+$E190)^5-(1+$E190)^4))/(1+$C190)^('Sensitivity &amp; Scenarios'!$C$18+4)</f>
        <v>26143.096903510988</v>
      </c>
      <c r="I190" s="209">
        <f>('Sensitivity &amp; Scenarios'!$C$6*(1+$E190)^5*$G190+'Sensitivity &amp; Scenarios'!$C$11*'Sensitivity &amp; Scenarios'!$C$6*((1+$E190)^5-(1+$E190)^4))*(1+$D190)/($C190-$D190)/(1+$C190)^('Sensitivity &amp; Scenarios'!$C$18+4)</f>
        <v>73092.351629598706</v>
      </c>
      <c r="J190" s="209">
        <f>($H190+$I190-'Sensitivity &amp; Scenarios'!$C$15+'Sensitivity &amp; Scenarios'!$C$16)/'Sensitivity &amp; Scenarios'!$C$17</f>
        <v>2375.3459237917273</v>
      </c>
    </row>
    <row r="191" spans="2:10" x14ac:dyDescent="0.3">
      <c r="B191" s="127">
        <v>161</v>
      </c>
      <c r="C191" s="206">
        <f>$D$7+-1.494406*$E$7</f>
        <v>0.12260819943997799</v>
      </c>
      <c r="D191" s="206">
        <f>MIN($D$8+0.699197*$E$8,'Debt &amp; Cost of Capital'!$C$38)</f>
        <v>5.9195181999999999E-2</v>
      </c>
      <c r="E191" s="207">
        <f>$D$9+2.052685*$E$9</f>
        <v>0.22880164770254632</v>
      </c>
      <c r="F191" s="207">
        <f>$D$10+0.17196*$E$10</f>
        <v>0.14706351999999992</v>
      </c>
      <c r="G191" s="208">
        <f>$F191*(1-'Sensitivity &amp; Scenarios'!$C$12)+'Sensitivity &amp; Scenarios'!$C$9*'Sensitivity &amp; Scenarios'!$C$12-'Sensitivity &amp; Scenarios'!$C$10</f>
        <v>7.9243050104464641E-2</v>
      </c>
      <c r="H191" s="209">
        <f>('Sensitivity &amp; Scenarios'!$C$6*(1+$E191)^1*$G191+'Sensitivity &amp; Scenarios'!$C$11*'Sensitivity &amp; Scenarios'!$C$6*((1+$E191)^1-(1+$E191)^0))*'Sensitivity &amp; Scenarios'!$C$18/(1+$C191)^'Sensitivity &amp; Scenarios'!$C$18+('Sensitivity &amp; Scenarios'!$C$6*(1+$E191)^2*$G191+'Sensitivity &amp; Scenarios'!$C$11*'Sensitivity &amp; Scenarios'!$C$6*((1+$E191)^2-(1+$E191)^1))/(1+$C191)^('Sensitivity &amp; Scenarios'!$C$18+1)+('Sensitivity &amp; Scenarios'!$C$6*(1+$E191)^3*$G191+'Sensitivity &amp; Scenarios'!$C$11*'Sensitivity &amp; Scenarios'!$C$6*((1+$E191)^3-(1+$E191)^2))/(1+$C191)^('Sensitivity &amp; Scenarios'!$C$18+2)+('Sensitivity &amp; Scenarios'!$C$6*(1+$E191)^4*$G191+'Sensitivity &amp; Scenarios'!$C$11*'Sensitivity &amp; Scenarios'!$C$6*((1+$E191)^4-(1+$E191)^3))/(1+$C191)^('Sensitivity &amp; Scenarios'!$C$18+3)+('Sensitivity &amp; Scenarios'!$C$6*(1+$E191)^5*$G191+'Sensitivity &amp; Scenarios'!$C$11*'Sensitivity &amp; Scenarios'!$C$6*((1+$E191)^5-(1+$E191)^4))/(1+$C191)^('Sensitivity &amp; Scenarios'!$C$18+4)</f>
        <v>30539.85439135346</v>
      </c>
      <c r="I191" s="209">
        <f>('Sensitivity &amp; Scenarios'!$C$6*(1+$E191)^5*$G191+'Sensitivity &amp; Scenarios'!$C$11*'Sensitivity &amp; Scenarios'!$C$6*((1+$E191)^5-(1+$E191)^4))*(1+$D191)/($C191-$D191)/(1+$C191)^('Sensitivity &amp; Scenarios'!$C$18+4)</f>
        <v>129090.65034202275</v>
      </c>
      <c r="J191" s="209">
        <f>($H191+$I191-'Sensitivity &amp; Scenarios'!$C$15+'Sensitivity &amp; Scenarios'!$C$16)/'Sensitivity &amp; Scenarios'!$C$17</f>
        <v>3646.5879531519604</v>
      </c>
    </row>
    <row r="192" spans="2:10" x14ac:dyDescent="0.3">
      <c r="B192" s="127">
        <v>162</v>
      </c>
      <c r="C192" s="206">
        <f>$D$7+-0.337325*$E$7</f>
        <v>0.13417900943997799</v>
      </c>
      <c r="D192" s="206">
        <f>MIN($D$8+-0.142003*$E$8,'Debt &amp; Cost of Capital'!$C$38)</f>
        <v>5.4147981999999997E-2</v>
      </c>
      <c r="E192" s="207">
        <f>$D$9+0.615257*$E$9</f>
        <v>0.18567880770254636</v>
      </c>
      <c r="F192" s="207">
        <f>$D$10+-1.730672*$E$10</f>
        <v>0.1242319359999999</v>
      </c>
      <c r="G192" s="208">
        <f>$F192*(1-'Sensitivity &amp; Scenarios'!$C$12)+'Sensitivity &amp; Scenarios'!$C$9*'Sensitivity &amp; Scenarios'!$C$12-'Sensitivity &amp; Scenarios'!$C$10</f>
        <v>6.2158175797264639E-2</v>
      </c>
      <c r="H192" s="209">
        <f>('Sensitivity &amp; Scenarios'!$C$6*(1+$E192)^1*$G192+'Sensitivity &amp; Scenarios'!$C$11*'Sensitivity &amp; Scenarios'!$C$6*((1+$E192)^1-(1+$E192)^0))*'Sensitivity &amp; Scenarios'!$C$18/(1+$C192)^'Sensitivity &amp; Scenarios'!$C$18+('Sensitivity &amp; Scenarios'!$C$6*(1+$E192)^2*$G192+'Sensitivity &amp; Scenarios'!$C$11*'Sensitivity &amp; Scenarios'!$C$6*((1+$E192)^2-(1+$E192)^1))/(1+$C192)^('Sensitivity &amp; Scenarios'!$C$18+1)+('Sensitivity &amp; Scenarios'!$C$6*(1+$E192)^3*$G192+'Sensitivity &amp; Scenarios'!$C$11*'Sensitivity &amp; Scenarios'!$C$6*((1+$E192)^3-(1+$E192)^2))/(1+$C192)^('Sensitivity &amp; Scenarios'!$C$18+2)+('Sensitivity &amp; Scenarios'!$C$6*(1+$E192)^4*$G192+'Sensitivity &amp; Scenarios'!$C$11*'Sensitivity &amp; Scenarios'!$C$6*((1+$E192)^4-(1+$E192)^3))/(1+$C192)^('Sensitivity &amp; Scenarios'!$C$18+3)+('Sensitivity &amp; Scenarios'!$C$6*(1+$E192)^5*$G192+'Sensitivity &amp; Scenarios'!$C$11*'Sensitivity &amp; Scenarios'!$C$6*((1+$E192)^5-(1+$E192)^4))/(1+$C192)^('Sensitivity &amp; Scenarios'!$C$18+4)</f>
        <v>20986.247683173096</v>
      </c>
      <c r="I192" s="209">
        <f>('Sensitivity &amp; Scenarios'!$C$6*(1+$E192)^5*$G192+'Sensitivity &amp; Scenarios'!$C$11*'Sensitivity &amp; Scenarios'!$C$6*((1+$E192)^5-(1+$E192)^4))*(1+$D192)/($C192-$D192)/(1+$C192)^('Sensitivity &amp; Scenarios'!$C$18+4)</f>
        <v>64634.686650245741</v>
      </c>
      <c r="J192" s="209">
        <f>($H192+$I192-'Sensitivity &amp; Scenarios'!$C$15+'Sensitivity &amp; Scenarios'!$C$16)/'Sensitivity &amp; Scenarios'!$C$17</f>
        <v>2088.7770595691563</v>
      </c>
    </row>
    <row r="193" spans="2:10" x14ac:dyDescent="0.3">
      <c r="B193" s="127">
        <v>163</v>
      </c>
      <c r="C193" s="206">
        <f>$D$7+0.164391*$E$7</f>
        <v>0.13919616943997798</v>
      </c>
      <c r="D193" s="206">
        <f>MIN($D$8+-0.390464*$E$8,'Debt &amp; Cost of Capital'!$C$38)</f>
        <v>5.2657216E-2</v>
      </c>
      <c r="E193" s="207">
        <f>$D$9+1.847825*$E$9</f>
        <v>0.22265584770254634</v>
      </c>
      <c r="F193" s="207">
        <f>$D$10+-0.174173*$E$10</f>
        <v>0.14290992399999991</v>
      </c>
      <c r="G193" s="208">
        <f>$F193*(1-'Sensitivity &amp; Scenarios'!$C$12)+'Sensitivity &amp; Scenarios'!$C$9*'Sensitivity &amp; Scenarios'!$C$12-'Sensitivity &amp; Scenarios'!$C$10</f>
        <v>7.6134914217664634E-2</v>
      </c>
      <c r="H193" s="209">
        <f>('Sensitivity &amp; Scenarios'!$C$6*(1+$E193)^1*$G193+'Sensitivity &amp; Scenarios'!$C$11*'Sensitivity &amp; Scenarios'!$C$6*((1+$E193)^1-(1+$E193)^0))*'Sensitivity &amp; Scenarios'!$C$18/(1+$C193)^'Sensitivity &amp; Scenarios'!$C$18+('Sensitivity &amp; Scenarios'!$C$6*(1+$E193)^2*$G193+'Sensitivity &amp; Scenarios'!$C$11*'Sensitivity &amp; Scenarios'!$C$6*((1+$E193)^2-(1+$E193)^1))/(1+$C193)^('Sensitivity &amp; Scenarios'!$C$18+1)+('Sensitivity &amp; Scenarios'!$C$6*(1+$E193)^3*$G193+'Sensitivity &amp; Scenarios'!$C$11*'Sensitivity &amp; Scenarios'!$C$6*((1+$E193)^3-(1+$E193)^2))/(1+$C193)^('Sensitivity &amp; Scenarios'!$C$18+2)+('Sensitivity &amp; Scenarios'!$C$6*(1+$E193)^4*$G193+'Sensitivity &amp; Scenarios'!$C$11*'Sensitivity &amp; Scenarios'!$C$6*((1+$E193)^4-(1+$E193)^3))/(1+$C193)^('Sensitivity &amp; Scenarios'!$C$18+3)+('Sensitivity &amp; Scenarios'!$C$6*(1+$E193)^5*$G193+'Sensitivity &amp; Scenarios'!$C$11*'Sensitivity &amp; Scenarios'!$C$6*((1+$E193)^5-(1+$E193)^4))/(1+$C193)^('Sensitivity &amp; Scenarios'!$C$18+4)</f>
        <v>27745.195335606419</v>
      </c>
      <c r="I193" s="209">
        <f>('Sensitivity &amp; Scenarios'!$C$6*(1+$E193)^5*$G193+'Sensitivity &amp; Scenarios'!$C$11*'Sensitivity &amp; Scenarios'!$C$6*((1+$E193)^5-(1+$E193)^4))*(1+$D193)/($C193-$D193)/(1+$C193)^('Sensitivity &amp; Scenarios'!$C$18+4)</f>
        <v>82602.549469375022</v>
      </c>
      <c r="J193" s="209">
        <f>($H193+$I193-'Sensitivity &amp; Scenarios'!$C$15+'Sensitivity &amp; Scenarios'!$C$16)/'Sensitivity &amp; Scenarios'!$C$17</f>
        <v>2609.2461625242486</v>
      </c>
    </row>
    <row r="194" spans="2:10" x14ac:dyDescent="0.3">
      <c r="B194" s="127">
        <v>164</v>
      </c>
      <c r="C194" s="206">
        <f>$D$7+1.667888*$E$7</f>
        <v>0.15423113943997799</v>
      </c>
      <c r="D194" s="206">
        <f>MIN($D$8+-1.103741*$E$8,'Debt &amp; Cost of Capital'!$C$38)</f>
        <v>4.8377554000000003E-2</v>
      </c>
      <c r="E194" s="207">
        <f>$D$9+0.587259*$E$9</f>
        <v>0.18483886770254634</v>
      </c>
      <c r="F194" s="207">
        <f>$D$10+0.3194*$E$10</f>
        <v>0.1488327999999999</v>
      </c>
      <c r="G194" s="208">
        <f>$F194*(1-'Sensitivity &amp; Scenarios'!$C$12)+'Sensitivity &amp; Scenarios'!$C$9*'Sensitivity &amp; Scenarios'!$C$12-'Sensitivity &amp; Scenarios'!$C$10</f>
        <v>8.0567002328464629E-2</v>
      </c>
      <c r="H194" s="209">
        <f>('Sensitivity &amp; Scenarios'!$C$6*(1+$E194)^1*$G194+'Sensitivity &amp; Scenarios'!$C$11*'Sensitivity &amp; Scenarios'!$C$6*((1+$E194)^1-(1+$E194)^0))*'Sensitivity &amp; Scenarios'!$C$18/(1+$C194)^'Sensitivity &amp; Scenarios'!$C$18+('Sensitivity &amp; Scenarios'!$C$6*(1+$E194)^2*$G194+'Sensitivity &amp; Scenarios'!$C$11*'Sensitivity &amp; Scenarios'!$C$6*((1+$E194)^2-(1+$E194)^1))/(1+$C194)^('Sensitivity &amp; Scenarios'!$C$18+1)+('Sensitivity &amp; Scenarios'!$C$6*(1+$E194)^3*$G194+'Sensitivity &amp; Scenarios'!$C$11*'Sensitivity &amp; Scenarios'!$C$6*((1+$E194)^3-(1+$E194)^2))/(1+$C194)^('Sensitivity &amp; Scenarios'!$C$18+2)+('Sensitivity &amp; Scenarios'!$C$6*(1+$E194)^4*$G194+'Sensitivity &amp; Scenarios'!$C$11*'Sensitivity &amp; Scenarios'!$C$6*((1+$E194)^4-(1+$E194)^3))/(1+$C194)^('Sensitivity &amp; Scenarios'!$C$18+3)+('Sensitivity &amp; Scenarios'!$C$6*(1+$E194)^5*$G194+'Sensitivity &amp; Scenarios'!$C$11*'Sensitivity &amp; Scenarios'!$C$6*((1+$E194)^5-(1+$E194)^4))/(1+$C194)^('Sensitivity &amp; Scenarios'!$C$18+4)</f>
        <v>24518.421079825359</v>
      </c>
      <c r="I194" s="209">
        <f>('Sensitivity &amp; Scenarios'!$C$6*(1+$E194)^5*$G194+'Sensitivity &amp; Scenarios'!$C$11*'Sensitivity &amp; Scenarios'!$C$6*((1+$E194)^5-(1+$E194)^4))*(1+$D194)/($C194-$D194)/(1+$C194)^('Sensitivity &amp; Scenarios'!$C$18+4)</f>
        <v>54968.721260515507</v>
      </c>
      <c r="J194" s="209">
        <f>($H194+$I194-'Sensitivity &amp; Scenarios'!$C$15+'Sensitivity &amp; Scenarios'!$C$16)/'Sensitivity &amp; Scenarios'!$C$17</f>
        <v>1959.6682438558664</v>
      </c>
    </row>
    <row r="195" spans="2:10" x14ac:dyDescent="0.3">
      <c r="B195" s="127">
        <v>165</v>
      </c>
      <c r="C195" s="206">
        <f>$D$7+-0.869047*$E$7</f>
        <v>0.12886178943997798</v>
      </c>
      <c r="D195" s="206">
        <f>MIN($D$8+0.177396*$E$8,'Debt &amp; Cost of Capital'!$C$38)</f>
        <v>5.6064375999999999E-2</v>
      </c>
      <c r="E195" s="207">
        <f>$D$9+1.212519*$E$9</f>
        <v>0.20359666770254634</v>
      </c>
      <c r="F195" s="207">
        <f>$D$10+-0.323792*$E$10</f>
        <v>0.14111449599999989</v>
      </c>
      <c r="G195" s="208">
        <f>$F195*(1-'Sensitivity &amp; Scenarios'!$C$12)+'Sensitivity &amp; Scenarios'!$C$9*'Sensitivity &amp; Scenarios'!$C$12-'Sensitivity &amp; Scenarios'!$C$10</f>
        <v>7.4791395445264627E-2</v>
      </c>
      <c r="H195" s="209">
        <f>('Sensitivity &amp; Scenarios'!$C$6*(1+$E195)^1*$G195+'Sensitivity &amp; Scenarios'!$C$11*'Sensitivity &amp; Scenarios'!$C$6*((1+$E195)^1-(1+$E195)^0))*'Sensitivity &amp; Scenarios'!$C$18/(1+$C195)^'Sensitivity &amp; Scenarios'!$C$18+('Sensitivity &amp; Scenarios'!$C$6*(1+$E195)^2*$G195+'Sensitivity &amp; Scenarios'!$C$11*'Sensitivity &amp; Scenarios'!$C$6*((1+$E195)^2-(1+$E195)^1))/(1+$C195)^('Sensitivity &amp; Scenarios'!$C$18+1)+('Sensitivity &amp; Scenarios'!$C$6*(1+$E195)^3*$G195+'Sensitivity &amp; Scenarios'!$C$11*'Sensitivity &amp; Scenarios'!$C$6*((1+$E195)^3-(1+$E195)^2))/(1+$C195)^('Sensitivity &amp; Scenarios'!$C$18+2)+('Sensitivity &amp; Scenarios'!$C$6*(1+$E195)^4*$G195+'Sensitivity &amp; Scenarios'!$C$11*'Sensitivity &amp; Scenarios'!$C$6*((1+$E195)^4-(1+$E195)^3))/(1+$C195)^('Sensitivity &amp; Scenarios'!$C$18+3)+('Sensitivity &amp; Scenarios'!$C$6*(1+$E195)^5*$G195+'Sensitivity &amp; Scenarios'!$C$11*'Sensitivity &amp; Scenarios'!$C$6*((1+$E195)^5-(1+$E195)^4))/(1+$C195)^('Sensitivity &amp; Scenarios'!$C$18+4)</f>
        <v>26281.533320247367</v>
      </c>
      <c r="I195" s="209">
        <f>('Sensitivity &amp; Scenarios'!$C$6*(1+$E195)^5*$G195+'Sensitivity &amp; Scenarios'!$C$11*'Sensitivity &amp; Scenarios'!$C$6*((1+$E195)^5-(1+$E195)^4))*(1+$D195)/($C195-$D195)/(1+$C195)^('Sensitivity &amp; Scenarios'!$C$18+4)</f>
        <v>92262.949152319197</v>
      </c>
      <c r="J195" s="209">
        <f>($H195+$I195-'Sensitivity &amp; Scenarios'!$C$15+'Sensitivity &amp; Scenarios'!$C$16)/'Sensitivity &amp; Scenarios'!$C$17</f>
        <v>2781.7774603199186</v>
      </c>
    </row>
    <row r="196" spans="2:10" x14ac:dyDescent="0.3">
      <c r="B196" s="127">
        <v>166</v>
      </c>
      <c r="C196" s="206">
        <f>$D$7+-1.691963*$E$7</f>
        <v>0.12063262943997798</v>
      </c>
      <c r="D196" s="206">
        <f>MIN($D$8+-0.017563*$E$8,'Debt &amp; Cost of Capital'!$C$38)</f>
        <v>5.4894621999999997E-2</v>
      </c>
      <c r="E196" s="207">
        <f>$D$9+-0.902423*$E$9</f>
        <v>0.14014840770254633</v>
      </c>
      <c r="F196" s="207">
        <f>$D$10+-0.342341*$E$10</f>
        <v>0.1408919079999999</v>
      </c>
      <c r="G196" s="208">
        <f>$F196*(1-'Sensitivity &amp; Scenarios'!$C$12)+'Sensitivity &amp; Scenarios'!$C$9*'Sensitivity &amp; Scenarios'!$C$12-'Sensitivity &amp; Scenarios'!$C$10</f>
        <v>7.4624832844864625E-2</v>
      </c>
      <c r="H196" s="209">
        <f>('Sensitivity &amp; Scenarios'!$C$6*(1+$E196)^1*$G196+'Sensitivity &amp; Scenarios'!$C$11*'Sensitivity &amp; Scenarios'!$C$6*((1+$E196)^1-(1+$E196)^0))*'Sensitivity &amp; Scenarios'!$C$18/(1+$C196)^'Sensitivity &amp; Scenarios'!$C$18+('Sensitivity &amp; Scenarios'!$C$6*(1+$E196)^2*$G196+'Sensitivity &amp; Scenarios'!$C$11*'Sensitivity &amp; Scenarios'!$C$6*((1+$E196)^2-(1+$E196)^1))/(1+$C196)^('Sensitivity &amp; Scenarios'!$C$18+1)+('Sensitivity &amp; Scenarios'!$C$6*(1+$E196)^3*$G196+'Sensitivity &amp; Scenarios'!$C$11*'Sensitivity &amp; Scenarios'!$C$6*((1+$E196)^3-(1+$E196)^2))/(1+$C196)^('Sensitivity &amp; Scenarios'!$C$18+2)+('Sensitivity &amp; Scenarios'!$C$6*(1+$E196)^4*$G196+'Sensitivity &amp; Scenarios'!$C$11*'Sensitivity &amp; Scenarios'!$C$6*((1+$E196)^4-(1+$E196)^3))/(1+$C196)^('Sensitivity &amp; Scenarios'!$C$18+3)+('Sensitivity &amp; Scenarios'!$C$6*(1+$E196)^5*$G196+'Sensitivity &amp; Scenarios'!$C$11*'Sensitivity &amp; Scenarios'!$C$6*((1+$E196)^5-(1+$E196)^4))/(1+$C196)^('Sensitivity &amp; Scenarios'!$C$18+4)</f>
        <v>21261.753144733691</v>
      </c>
      <c r="I196" s="209">
        <f>('Sensitivity &amp; Scenarios'!$C$6*(1+$E196)^5*$G196+'Sensitivity &amp; Scenarios'!$C$11*'Sensitivity &amp; Scenarios'!$C$6*((1+$E196)^5-(1+$E196)^4))*(1+$D196)/($C196-$D196)/(1+$C196)^('Sensitivity &amp; Scenarios'!$C$18+4)</f>
        <v>76003.096635774011</v>
      </c>
      <c r="J196" s="209">
        <f>($H196+$I196-'Sensitivity &amp; Scenarios'!$C$15+'Sensitivity &amp; Scenarios'!$C$16)/'Sensitivity &amp; Scenarios'!$C$17</f>
        <v>2333.8672314132368</v>
      </c>
    </row>
    <row r="197" spans="2:10" x14ac:dyDescent="0.3">
      <c r="B197" s="127">
        <v>167</v>
      </c>
      <c r="C197" s="206">
        <f>$D$7+-0.081588*$E$7</f>
        <v>0.13673637943997799</v>
      </c>
      <c r="D197" s="206">
        <f>MIN($D$8+-1.705652*$E$8,'Debt &amp; Cost of Capital'!$C$38)</f>
        <v>4.4766088000000002E-2</v>
      </c>
      <c r="E197" s="207">
        <f>$D$9+-1.615658*$E$9</f>
        <v>0.11875135770254634</v>
      </c>
      <c r="F197" s="207">
        <f>$D$10+0.482067*$E$10</f>
        <v>0.15078480399999991</v>
      </c>
      <c r="G197" s="208">
        <f>$F197*(1-'Sensitivity &amp; Scenarios'!$C$12)+'Sensitivity &amp; Scenarios'!$C$9*'Sensitivity &amp; Scenarios'!$C$12-'Sensitivity &amp; Scenarios'!$C$10</f>
        <v>8.2027686921664636E-2</v>
      </c>
      <c r="H197" s="209">
        <f>('Sensitivity &amp; Scenarios'!$C$6*(1+$E197)^1*$G197+'Sensitivity &amp; Scenarios'!$C$11*'Sensitivity &amp; Scenarios'!$C$6*((1+$E197)^1-(1+$E197)^0))*'Sensitivity &amp; Scenarios'!$C$18/(1+$C197)^'Sensitivity &amp; Scenarios'!$C$18+('Sensitivity &amp; Scenarios'!$C$6*(1+$E197)^2*$G197+'Sensitivity &amp; Scenarios'!$C$11*'Sensitivity &amp; Scenarios'!$C$6*((1+$E197)^2-(1+$E197)^1))/(1+$C197)^('Sensitivity &amp; Scenarios'!$C$18+1)+('Sensitivity &amp; Scenarios'!$C$6*(1+$E197)^3*$G197+'Sensitivity &amp; Scenarios'!$C$11*'Sensitivity &amp; Scenarios'!$C$6*((1+$E197)^3-(1+$E197)^2))/(1+$C197)^('Sensitivity &amp; Scenarios'!$C$18+2)+('Sensitivity &amp; Scenarios'!$C$6*(1+$E197)^4*$G197+'Sensitivity &amp; Scenarios'!$C$11*'Sensitivity &amp; Scenarios'!$C$6*((1+$E197)^4-(1+$E197)^3))/(1+$C197)^('Sensitivity &amp; Scenarios'!$C$18+3)+('Sensitivity &amp; Scenarios'!$C$6*(1+$E197)^5*$G197+'Sensitivity &amp; Scenarios'!$C$11*'Sensitivity &amp; Scenarios'!$C$6*((1+$E197)^5-(1+$E197)^4))/(1+$C197)^('Sensitivity &amp; Scenarios'!$C$18+4)</f>
        <v>20457.45459918342</v>
      </c>
      <c r="I197" s="209">
        <f>('Sensitivity &amp; Scenarios'!$C$6*(1+$E197)^5*$G197+'Sensitivity &amp; Scenarios'!$C$11*'Sensitivity &amp; Scenarios'!$C$6*((1+$E197)^5-(1+$E197)^4))*(1+$D197)/($C197-$D197)/(1+$C197)^('Sensitivity &amp; Scenarios'!$C$18+4)</f>
        <v>48698.693585342611</v>
      </c>
      <c r="J197" s="209">
        <f>($H197+$I197-'Sensitivity &amp; Scenarios'!$C$15+'Sensitivity &amp; Scenarios'!$C$16)/'Sensitivity &amp; Scenarios'!$C$17</f>
        <v>1742.2134586099041</v>
      </c>
    </row>
    <row r="198" spans="2:10" x14ac:dyDescent="0.3">
      <c r="B198" s="127">
        <v>168</v>
      </c>
      <c r="C198" s="206">
        <f>$D$7+-0.522719*$E$7</f>
        <v>0.13232506943997799</v>
      </c>
      <c r="D198" s="206">
        <f>MIN($D$8+-2.564744*$E$8,'Debt &amp; Cost of Capital'!$C$38)</f>
        <v>3.9611536000000003E-2</v>
      </c>
      <c r="E198" s="207">
        <f>$D$9+0.784844*$E$9</f>
        <v>0.19076641770254635</v>
      </c>
      <c r="F198" s="207">
        <f>$D$10+0.27237*$E$10</f>
        <v>0.14826843999999992</v>
      </c>
      <c r="G198" s="208">
        <f>$F198*(1-'Sensitivity &amp; Scenarios'!$C$12)+'Sensitivity &amp; Scenarios'!$C$9*'Sensitivity &amp; Scenarios'!$C$12-'Sensitivity &amp; Scenarios'!$C$10</f>
        <v>8.0144691740464638E-2</v>
      </c>
      <c r="H198" s="209">
        <f>('Sensitivity &amp; Scenarios'!$C$6*(1+$E198)^1*$G198+'Sensitivity &amp; Scenarios'!$C$11*'Sensitivity &amp; Scenarios'!$C$6*((1+$E198)^1-(1+$E198)^0))*'Sensitivity &amp; Scenarios'!$C$18/(1+$C198)^'Sensitivity &amp; Scenarios'!$C$18+('Sensitivity &amp; Scenarios'!$C$6*(1+$E198)^2*$G198+'Sensitivity &amp; Scenarios'!$C$11*'Sensitivity &amp; Scenarios'!$C$6*((1+$E198)^2-(1+$E198)^1))/(1+$C198)^('Sensitivity &amp; Scenarios'!$C$18+1)+('Sensitivity &amp; Scenarios'!$C$6*(1+$E198)^3*$G198+'Sensitivity &amp; Scenarios'!$C$11*'Sensitivity &amp; Scenarios'!$C$6*((1+$E198)^3-(1+$E198)^2))/(1+$C198)^('Sensitivity &amp; Scenarios'!$C$18+2)+('Sensitivity &amp; Scenarios'!$C$6*(1+$E198)^4*$G198+'Sensitivity &amp; Scenarios'!$C$11*'Sensitivity &amp; Scenarios'!$C$6*((1+$E198)^4-(1+$E198)^3))/(1+$C198)^('Sensitivity &amp; Scenarios'!$C$18+3)+('Sensitivity &amp; Scenarios'!$C$6*(1+$E198)^5*$G198+'Sensitivity &amp; Scenarios'!$C$11*'Sensitivity &amp; Scenarios'!$C$6*((1+$E198)^5-(1+$E198)^4))/(1+$C198)^('Sensitivity &amp; Scenarios'!$C$18+4)</f>
        <v>26331.164205487585</v>
      </c>
      <c r="I198" s="209">
        <f>('Sensitivity &amp; Scenarios'!$C$6*(1+$E198)^5*$G198+'Sensitivity &amp; Scenarios'!$C$11*'Sensitivity &amp; Scenarios'!$C$6*((1+$E198)^5-(1+$E198)^4))*(1+$D198)/($C198-$D198)/(1+$C198)^('Sensitivity &amp; Scenarios'!$C$18+4)</f>
        <v>69758.659360754697</v>
      </c>
      <c r="J198" s="209">
        <f>($H198+$I198-'Sensitivity &amp; Scenarios'!$C$15+'Sensitivity &amp; Scenarios'!$C$16)/'Sensitivity &amp; Scenarios'!$C$17</f>
        <v>2309.1343674479958</v>
      </c>
    </row>
    <row r="199" spans="2:10" x14ac:dyDescent="0.3">
      <c r="B199" s="127">
        <v>169</v>
      </c>
      <c r="C199" s="206">
        <f>$D$7+-0.713875*$E$7</f>
        <v>0.13041350943997798</v>
      </c>
      <c r="D199" s="206">
        <f>MIN($D$8+-1.31683*$E$8,'Debt &amp; Cost of Capital'!$C$38)</f>
        <v>4.7099019999999998E-2</v>
      </c>
      <c r="E199" s="207">
        <f>$D$9+0.835808*$E$9</f>
        <v>0.19229533770254634</v>
      </c>
      <c r="F199" s="207">
        <f>$D$10+0.349351*$E$10</f>
        <v>0.14919221199999991</v>
      </c>
      <c r="G199" s="208">
        <f>$F199*(1-'Sensitivity &amp; Scenarios'!$C$12)+'Sensitivity &amp; Scenarios'!$C$9*'Sensitivity &amp; Scenarios'!$C$12-'Sensitivity &amp; Scenarios'!$C$10</f>
        <v>8.0835950328064635E-2</v>
      </c>
      <c r="H199" s="209">
        <f>('Sensitivity &amp; Scenarios'!$C$6*(1+$E199)^1*$G199+'Sensitivity &amp; Scenarios'!$C$11*'Sensitivity &amp; Scenarios'!$C$6*((1+$E199)^1-(1+$E199)^0))*'Sensitivity &amp; Scenarios'!$C$18/(1+$C199)^'Sensitivity &amp; Scenarios'!$C$18+('Sensitivity &amp; Scenarios'!$C$6*(1+$E199)^2*$G199+'Sensitivity &amp; Scenarios'!$C$11*'Sensitivity &amp; Scenarios'!$C$6*((1+$E199)^2-(1+$E199)^1))/(1+$C199)^('Sensitivity &amp; Scenarios'!$C$18+1)+('Sensitivity &amp; Scenarios'!$C$6*(1+$E199)^3*$G199+'Sensitivity &amp; Scenarios'!$C$11*'Sensitivity &amp; Scenarios'!$C$6*((1+$E199)^3-(1+$E199)^2))/(1+$C199)^('Sensitivity &amp; Scenarios'!$C$18+2)+('Sensitivity &amp; Scenarios'!$C$6*(1+$E199)^4*$G199+'Sensitivity &amp; Scenarios'!$C$11*'Sensitivity &amp; Scenarios'!$C$6*((1+$E199)^4-(1+$E199)^3))/(1+$C199)^('Sensitivity &amp; Scenarios'!$C$18+3)+('Sensitivity &amp; Scenarios'!$C$6*(1+$E199)^5*$G199+'Sensitivity &amp; Scenarios'!$C$11*'Sensitivity &amp; Scenarios'!$C$6*((1+$E199)^5-(1+$E199)^4))/(1+$C199)^('Sensitivity &amp; Scenarios'!$C$18+4)</f>
        <v>26790.540195866939</v>
      </c>
      <c r="I199" s="209">
        <f>('Sensitivity &amp; Scenarios'!$C$6*(1+$E199)^5*$G199+'Sensitivity &amp; Scenarios'!$C$11*'Sensitivity &amp; Scenarios'!$C$6*((1+$E199)^5-(1+$E199)^4))*(1+$D199)/($C199-$D199)/(1+$C199)^('Sensitivity &amp; Scenarios'!$C$18+4)</f>
        <v>79965.987787296093</v>
      </c>
      <c r="J199" s="209">
        <f>($H199+$I199-'Sensitivity &amp; Scenarios'!$C$15+'Sensitivity &amp; Scenarios'!$C$16)/'Sensitivity &amp; Scenarios'!$C$17</f>
        <v>2533.6554428914569</v>
      </c>
    </row>
    <row r="200" spans="2:10" x14ac:dyDescent="0.3">
      <c r="B200" s="127">
        <v>170</v>
      </c>
      <c r="C200" s="206">
        <f>$D$7+2.382602*$E$7</f>
        <v>0.16137827943997798</v>
      </c>
      <c r="D200" s="206">
        <f>MIN($D$8+0.420189*$E$8,'Debt &amp; Cost of Capital'!$C$38)</f>
        <v>5.7521134000000002E-2</v>
      </c>
      <c r="E200" s="207">
        <f>$D$9+0.387703*$E$9</f>
        <v>0.17885218770254635</v>
      </c>
      <c r="F200" s="207">
        <f>$D$10+-0.166928*$E$10</f>
        <v>0.14299686399999992</v>
      </c>
      <c r="G200" s="208">
        <f>$F200*(1-'Sensitivity &amp; Scenarios'!$C$12)+'Sensitivity &amp; Scenarios'!$C$9*'Sensitivity &amp; Scenarios'!$C$12-'Sensitivity &amp; Scenarios'!$C$10</f>
        <v>7.6199971419664642E-2</v>
      </c>
      <c r="H200" s="209">
        <f>('Sensitivity &amp; Scenarios'!$C$6*(1+$E200)^1*$G200+'Sensitivity &amp; Scenarios'!$C$11*'Sensitivity &amp; Scenarios'!$C$6*((1+$E200)^1-(1+$E200)^0))*'Sensitivity &amp; Scenarios'!$C$18/(1+$C200)^'Sensitivity &amp; Scenarios'!$C$18+('Sensitivity &amp; Scenarios'!$C$6*(1+$E200)^2*$G200+'Sensitivity &amp; Scenarios'!$C$11*'Sensitivity &amp; Scenarios'!$C$6*((1+$E200)^2-(1+$E200)^1))/(1+$C200)^('Sensitivity &amp; Scenarios'!$C$18+1)+('Sensitivity &amp; Scenarios'!$C$6*(1+$E200)^3*$G200+'Sensitivity &amp; Scenarios'!$C$11*'Sensitivity &amp; Scenarios'!$C$6*((1+$E200)^3-(1+$E200)^2))/(1+$C200)^('Sensitivity &amp; Scenarios'!$C$18+2)+('Sensitivity &amp; Scenarios'!$C$6*(1+$E200)^4*$G200+'Sensitivity &amp; Scenarios'!$C$11*'Sensitivity &amp; Scenarios'!$C$6*((1+$E200)^4-(1+$E200)^3))/(1+$C200)^('Sensitivity &amp; Scenarios'!$C$18+3)+('Sensitivity &amp; Scenarios'!$C$6*(1+$E200)^5*$G200+'Sensitivity &amp; Scenarios'!$C$11*'Sensitivity &amp; Scenarios'!$C$6*((1+$E200)^5-(1+$E200)^4))/(1+$C200)^('Sensitivity &amp; Scenarios'!$C$18+4)</f>
        <v>22533.368586098921</v>
      </c>
      <c r="I200" s="209">
        <f>('Sensitivity &amp; Scenarios'!$C$6*(1+$E200)^5*$G200+'Sensitivity &amp; Scenarios'!$C$11*'Sensitivity &amp; Scenarios'!$C$6*((1+$E200)^5-(1+$E200)^4))*(1+$D200)/($C200-$D200)/(1+$C200)^('Sensitivity &amp; Scenarios'!$C$18+4)</f>
        <v>50895.990407160192</v>
      </c>
      <c r="J200" s="209">
        <f>($H200+$I200-'Sensitivity &amp; Scenarios'!$C$15+'Sensitivity &amp; Scenarios'!$C$16)/'Sensitivity &amp; Scenarios'!$C$17</f>
        <v>1832.1593171312509</v>
      </c>
    </row>
    <row r="201" spans="2:10" x14ac:dyDescent="0.3">
      <c r="B201" s="127">
        <v>171</v>
      </c>
      <c r="C201" s="206">
        <f>$D$7+0.816776*$E$7</f>
        <v>0.14572001943997798</v>
      </c>
      <c r="D201" s="206">
        <f>MIN($D$8+0.625085*$E$8,'Debt &amp; Cost of Capital'!$C$38)</f>
        <v>5.8750509999999999E-2</v>
      </c>
      <c r="E201" s="207">
        <f>$D$9+1.251725*$E$9</f>
        <v>0.20477284770254633</v>
      </c>
      <c r="F201" s="207">
        <f>$D$10+-0.521323*$E$10</f>
        <v>0.13874412399999991</v>
      </c>
      <c r="G201" s="208">
        <f>$F201*(1-'Sensitivity &amp; Scenarios'!$C$12)+'Sensitivity &amp; Scenarios'!$C$9*'Sensitivity &amp; Scenarios'!$C$12-'Sensitivity &amp; Scenarios'!$C$10</f>
        <v>7.3017646077664644E-2</v>
      </c>
      <c r="H201" s="209">
        <f>('Sensitivity &amp; Scenarios'!$C$6*(1+$E201)^1*$G201+'Sensitivity &amp; Scenarios'!$C$11*'Sensitivity &amp; Scenarios'!$C$6*((1+$E201)^1-(1+$E201)^0))*'Sensitivity &amp; Scenarios'!$C$18/(1+$C201)^'Sensitivity &amp; Scenarios'!$C$18+('Sensitivity &amp; Scenarios'!$C$6*(1+$E201)^2*$G201+'Sensitivity &amp; Scenarios'!$C$11*'Sensitivity &amp; Scenarios'!$C$6*((1+$E201)^2-(1+$E201)^1))/(1+$C201)^('Sensitivity &amp; Scenarios'!$C$18+1)+('Sensitivity &amp; Scenarios'!$C$6*(1+$E201)^3*$G201+'Sensitivity &amp; Scenarios'!$C$11*'Sensitivity &amp; Scenarios'!$C$6*((1+$E201)^3-(1+$E201)^2))/(1+$C201)^('Sensitivity &amp; Scenarios'!$C$18+2)+('Sensitivity &amp; Scenarios'!$C$6*(1+$E201)^4*$G201+'Sensitivity &amp; Scenarios'!$C$11*'Sensitivity &amp; Scenarios'!$C$6*((1+$E201)^4-(1+$E201)^3))/(1+$C201)^('Sensitivity &amp; Scenarios'!$C$18+3)+('Sensitivity &amp; Scenarios'!$C$6*(1+$E201)^5*$G201+'Sensitivity &amp; Scenarios'!$C$11*'Sensitivity &amp; Scenarios'!$C$6*((1+$E201)^5-(1+$E201)^4))/(1+$C201)^('Sensitivity &amp; Scenarios'!$C$18+4)</f>
        <v>24802.449071935789</v>
      </c>
      <c r="I201" s="209">
        <f>('Sensitivity &amp; Scenarios'!$C$6*(1+$E201)^5*$G201+'Sensitivity &amp; Scenarios'!$C$11*'Sensitivity &amp; Scenarios'!$C$6*((1+$E201)^5-(1+$E201)^4))*(1+$D201)/($C201-$D201)/(1+$C201)^('Sensitivity &amp; Scenarios'!$C$18+4)</f>
        <v>71329.781669175485</v>
      </c>
      <c r="J201" s="209">
        <f>($H201+$I201-'Sensitivity &amp; Scenarios'!$C$15+'Sensitivity &amp; Scenarios'!$C$16)/'Sensitivity &amp; Scenarios'!$C$17</f>
        <v>2310.0269865865748</v>
      </c>
    </row>
    <row r="202" spans="2:10" x14ac:dyDescent="0.3">
      <c r="B202" s="127">
        <v>172</v>
      </c>
      <c r="C202" s="206">
        <f>$D$7+-0.435407*$E$7</f>
        <v>0.13319818943997799</v>
      </c>
      <c r="D202" s="206">
        <f>MIN($D$8+-0.479103*$E$8,'Debt &amp; Cost of Capital'!$C$38)</f>
        <v>5.2125381999999998E-2</v>
      </c>
      <c r="E202" s="207">
        <f>$D$9+0.790802*$E$9</f>
        <v>0.19094515770254633</v>
      </c>
      <c r="F202" s="207">
        <f>$D$10+1.498374*$E$10</f>
        <v>0.16298048799999992</v>
      </c>
      <c r="G202" s="208">
        <f>$F202*(1-'Sensitivity &amp; Scenarios'!$C$12)+'Sensitivity &amp; Scenarios'!$C$9*'Sensitivity &amp; Scenarios'!$C$12-'Sensitivity &amp; Scenarios'!$C$10</f>
        <v>9.1153717258864647E-2</v>
      </c>
      <c r="H202" s="209">
        <f>('Sensitivity &amp; Scenarios'!$C$6*(1+$E202)^1*$G202+'Sensitivity &amp; Scenarios'!$C$11*'Sensitivity &amp; Scenarios'!$C$6*((1+$E202)^1-(1+$E202)^0))*'Sensitivity &amp; Scenarios'!$C$18/(1+$C202)^'Sensitivity &amp; Scenarios'!$C$18+('Sensitivity &amp; Scenarios'!$C$6*(1+$E202)^2*$G202+'Sensitivity &amp; Scenarios'!$C$11*'Sensitivity &amp; Scenarios'!$C$6*((1+$E202)^2-(1+$E202)^1))/(1+$C202)^('Sensitivity &amp; Scenarios'!$C$18+1)+('Sensitivity &amp; Scenarios'!$C$6*(1+$E202)^3*$G202+'Sensitivity &amp; Scenarios'!$C$11*'Sensitivity &amp; Scenarios'!$C$6*((1+$E202)^3-(1+$E202)^2))/(1+$C202)^('Sensitivity &amp; Scenarios'!$C$18+2)+('Sensitivity &amp; Scenarios'!$C$6*(1+$E202)^4*$G202+'Sensitivity &amp; Scenarios'!$C$11*'Sensitivity &amp; Scenarios'!$C$6*((1+$E202)^4-(1+$E202)^3))/(1+$C202)^('Sensitivity &amp; Scenarios'!$C$18+3)+('Sensitivity &amp; Scenarios'!$C$6*(1+$E202)^5*$G202+'Sensitivity &amp; Scenarios'!$C$11*'Sensitivity &amp; Scenarios'!$C$6*((1+$E202)^5-(1+$E202)^4))/(1+$C202)^('Sensitivity &amp; Scenarios'!$C$18+4)</f>
        <v>29249.153686319034</v>
      </c>
      <c r="I202" s="209">
        <f>('Sensitivity &amp; Scenarios'!$C$6*(1+$E202)^5*$G202+'Sensitivity &amp; Scenarios'!$C$11*'Sensitivity &amp; Scenarios'!$C$6*((1+$E202)^5-(1+$E202)^4))*(1+$D202)/($C202-$D202)/(1+$C202)^('Sensitivity &amp; Scenarios'!$C$18+4)</f>
        <v>89584.665858407447</v>
      </c>
      <c r="J202" s="209">
        <f>($H202+$I202-'Sensitivity &amp; Scenarios'!$C$15+'Sensitivity &amp; Scenarios'!$C$16)/'Sensitivity &amp; Scenarios'!$C$17</f>
        <v>2787.8676516356127</v>
      </c>
    </row>
    <row r="203" spans="2:10" x14ac:dyDescent="0.3">
      <c r="B203" s="127">
        <v>173</v>
      </c>
      <c r="C203" s="206">
        <f>$D$7+-0.45884*$E$7</f>
        <v>0.13296385943997799</v>
      </c>
      <c r="D203" s="206">
        <f>MIN($D$8+-0.424774*$E$8,'Debt &amp; Cost of Capital'!$C$38)</f>
        <v>5.2451355999999998E-2</v>
      </c>
      <c r="E203" s="207">
        <f>$D$9+0.314077*$E$9</f>
        <v>0.17664340770254633</v>
      </c>
      <c r="F203" s="207">
        <f>$D$10+-0.245762*$E$10</f>
        <v>0.14205085599999992</v>
      </c>
      <c r="G203" s="208">
        <f>$F203*(1-'Sensitivity &amp; Scenarios'!$C$12)+'Sensitivity &amp; Scenarios'!$C$9*'Sensitivity &amp; Scenarios'!$C$12-'Sensitivity &amp; Scenarios'!$C$10</f>
        <v>7.5492073633264642E-2</v>
      </c>
      <c r="H203" s="209">
        <f>('Sensitivity &amp; Scenarios'!$C$6*(1+$E203)^1*$G203+'Sensitivity &amp; Scenarios'!$C$11*'Sensitivity &amp; Scenarios'!$C$6*((1+$E203)^1-(1+$E203)^0))*'Sensitivity &amp; Scenarios'!$C$18/(1+$C203)^'Sensitivity &amp; Scenarios'!$C$18+('Sensitivity &amp; Scenarios'!$C$6*(1+$E203)^2*$G203+'Sensitivity &amp; Scenarios'!$C$11*'Sensitivity &amp; Scenarios'!$C$6*((1+$E203)^2-(1+$E203)^1))/(1+$C203)^('Sensitivity &amp; Scenarios'!$C$18+1)+('Sensitivity &amp; Scenarios'!$C$6*(1+$E203)^3*$G203+'Sensitivity &amp; Scenarios'!$C$11*'Sensitivity &amp; Scenarios'!$C$6*((1+$E203)^3-(1+$E203)^2))/(1+$C203)^('Sensitivity &amp; Scenarios'!$C$18+2)+('Sensitivity &amp; Scenarios'!$C$6*(1+$E203)^4*$G203+'Sensitivity &amp; Scenarios'!$C$11*'Sensitivity &amp; Scenarios'!$C$6*((1+$E203)^4-(1+$E203)^3))/(1+$C203)^('Sensitivity &amp; Scenarios'!$C$18+3)+('Sensitivity &amp; Scenarios'!$C$6*(1+$E203)^5*$G203+'Sensitivity &amp; Scenarios'!$C$11*'Sensitivity &amp; Scenarios'!$C$6*((1+$E203)^5-(1+$E203)^4))/(1+$C203)^('Sensitivity &amp; Scenarios'!$C$18+4)</f>
        <v>23801.761087010233</v>
      </c>
      <c r="I203" s="209">
        <f>('Sensitivity &amp; Scenarios'!$C$6*(1+$E203)^5*$G203+'Sensitivity &amp; Scenarios'!$C$11*'Sensitivity &amp; Scenarios'!$C$6*((1+$E203)^5-(1+$E203)^4))*(1+$D203)/($C203-$D203)/(1+$C203)^('Sensitivity &amp; Scenarios'!$C$18+4)</f>
        <v>71909.71446286916</v>
      </c>
      <c r="J203" s="209">
        <f>($H203+$I203-'Sensitivity &amp; Scenarios'!$C$15+'Sensitivity &amp; Scenarios'!$C$16)/'Sensitivity &amp; Scenarios'!$C$17</f>
        <v>2301.1706046769064</v>
      </c>
    </row>
    <row r="204" spans="2:10" x14ac:dyDescent="0.3">
      <c r="B204" s="127">
        <v>174</v>
      </c>
      <c r="C204" s="206">
        <f>$D$7+0.952054*$E$7</f>
        <v>0.14707279943997797</v>
      </c>
      <c r="D204" s="206">
        <f>MIN($D$8+-2.251777*$E$8,'Debt &amp; Cost of Capital'!$C$38)</f>
        <v>4.1489338000000001E-2</v>
      </c>
      <c r="E204" s="207">
        <f>$D$9+-0.826705*$E$9</f>
        <v>0.14241994770254635</v>
      </c>
      <c r="F204" s="207">
        <f>$D$10+-0.782416*$E$10</f>
        <v>0.13561100799999989</v>
      </c>
      <c r="G204" s="208">
        <f>$F204*(1-'Sensitivity &amp; Scenarios'!$C$12)+'Sensitivity &amp; Scenarios'!$C$9*'Sensitivity &amp; Scenarios'!$C$12-'Sensitivity &amp; Scenarios'!$C$10</f>
        <v>7.0673135374864623E-2</v>
      </c>
      <c r="H204" s="209">
        <f>('Sensitivity &amp; Scenarios'!$C$6*(1+$E204)^1*$G204+'Sensitivity &amp; Scenarios'!$C$11*'Sensitivity &amp; Scenarios'!$C$6*((1+$E204)^1-(1+$E204)^0))*'Sensitivity &amp; Scenarios'!$C$18/(1+$C204)^'Sensitivity &amp; Scenarios'!$C$18+('Sensitivity &amp; Scenarios'!$C$6*(1+$E204)^2*$G204+'Sensitivity &amp; Scenarios'!$C$11*'Sensitivity &amp; Scenarios'!$C$6*((1+$E204)^2-(1+$E204)^1))/(1+$C204)^('Sensitivity &amp; Scenarios'!$C$18+1)+('Sensitivity &amp; Scenarios'!$C$6*(1+$E204)^3*$G204+'Sensitivity &amp; Scenarios'!$C$11*'Sensitivity &amp; Scenarios'!$C$6*((1+$E204)^3-(1+$E204)^2))/(1+$C204)^('Sensitivity &amp; Scenarios'!$C$18+2)+('Sensitivity &amp; Scenarios'!$C$6*(1+$E204)^4*$G204+'Sensitivity &amp; Scenarios'!$C$11*'Sensitivity &amp; Scenarios'!$C$6*((1+$E204)^4-(1+$E204)^3))/(1+$C204)^('Sensitivity &amp; Scenarios'!$C$18+3)+('Sensitivity &amp; Scenarios'!$C$6*(1+$E204)^5*$G204+'Sensitivity &amp; Scenarios'!$C$11*'Sensitivity &amp; Scenarios'!$C$6*((1+$E204)^5-(1+$E204)^4))/(1+$C204)^('Sensitivity &amp; Scenarios'!$C$18+4)</f>
        <v>19187.42431604772</v>
      </c>
      <c r="I204" s="209">
        <f>('Sensitivity &amp; Scenarios'!$C$6*(1+$E204)^5*$G204+'Sensitivity &amp; Scenarios'!$C$11*'Sensitivity &amp; Scenarios'!$C$6*((1+$E204)^5-(1+$E204)^4))*(1+$D204)/($C204-$D204)/(1+$C204)^('Sensitivity &amp; Scenarios'!$C$18+4)</f>
        <v>40547.838187563706</v>
      </c>
      <c r="J204" s="209">
        <f>($H204+$I204-'Sensitivity &amp; Scenarios'!$C$15+'Sensitivity &amp; Scenarios'!$C$16)/'Sensitivity &amp; Scenarios'!$C$17</f>
        <v>1543.9153430875979</v>
      </c>
    </row>
    <row r="205" spans="2:10" x14ac:dyDescent="0.3">
      <c r="B205" s="127">
        <v>175</v>
      </c>
      <c r="C205" s="206">
        <f>$D$7+-2.320356*$E$7</f>
        <v>0.11434869943997798</v>
      </c>
      <c r="D205" s="206">
        <f>MIN($D$8+-0.963638*$E$8,'Debt &amp; Cost of Capital'!$C$38)</f>
        <v>4.9218171999999998E-2</v>
      </c>
      <c r="E205" s="207">
        <f>$D$9+-0.915156*$E$9</f>
        <v>0.13976641770254633</v>
      </c>
      <c r="F205" s="207">
        <f>$D$10+-0.201105*$E$10</f>
        <v>0.14258673999999991</v>
      </c>
      <c r="G205" s="208">
        <f>$F205*(1-'Sensitivity &amp; Scenarios'!$C$12)+'Sensitivity &amp; Scenarios'!$C$9*'Sensitivity &amp; Scenarios'!$C$12-'Sensitivity &amp; Scenarios'!$C$10</f>
        <v>7.5893075630464629E-2</v>
      </c>
      <c r="H205" s="209">
        <f>('Sensitivity &amp; Scenarios'!$C$6*(1+$E205)^1*$G205+'Sensitivity &amp; Scenarios'!$C$11*'Sensitivity &amp; Scenarios'!$C$6*((1+$E205)^1-(1+$E205)^0))*'Sensitivity &amp; Scenarios'!$C$18/(1+$C205)^'Sensitivity &amp; Scenarios'!$C$18+('Sensitivity &amp; Scenarios'!$C$6*(1+$E205)^2*$G205+'Sensitivity &amp; Scenarios'!$C$11*'Sensitivity &amp; Scenarios'!$C$6*((1+$E205)^2-(1+$E205)^1))/(1+$C205)^('Sensitivity &amp; Scenarios'!$C$18+1)+('Sensitivity &amp; Scenarios'!$C$6*(1+$E205)^3*$G205+'Sensitivity &amp; Scenarios'!$C$11*'Sensitivity &amp; Scenarios'!$C$6*((1+$E205)^3-(1+$E205)^2))/(1+$C205)^('Sensitivity &amp; Scenarios'!$C$18+2)+('Sensitivity &amp; Scenarios'!$C$6*(1+$E205)^4*$G205+'Sensitivity &amp; Scenarios'!$C$11*'Sensitivity &amp; Scenarios'!$C$6*((1+$E205)^4-(1+$E205)^3))/(1+$C205)^('Sensitivity &amp; Scenarios'!$C$18+3)+('Sensitivity &amp; Scenarios'!$C$6*(1+$E205)^5*$G205+'Sensitivity &amp; Scenarios'!$C$11*'Sensitivity &amp; Scenarios'!$C$6*((1+$E205)^5-(1+$E205)^4))/(1+$C205)^('Sensitivity &amp; Scenarios'!$C$18+4)</f>
        <v>21881.963680440327</v>
      </c>
      <c r="I205" s="209">
        <f>('Sensitivity &amp; Scenarios'!$C$6*(1+$E205)^5*$G205+'Sensitivity &amp; Scenarios'!$C$11*'Sensitivity &amp; Scenarios'!$C$6*((1+$E205)^5-(1+$E205)^4))*(1+$D205)/($C205-$D205)/(1+$C205)^('Sensitivity &amp; Scenarios'!$C$18+4)</f>
        <v>79278.150177038115</v>
      </c>
      <c r="J205" s="209">
        <f>($H205+$I205-'Sensitivity &amp; Scenarios'!$C$15+'Sensitivity &amp; Scenarios'!$C$16)/'Sensitivity &amp; Scenarios'!$C$17</f>
        <v>2415.8577737132941</v>
      </c>
    </row>
    <row r="206" spans="2:10" x14ac:dyDescent="0.3">
      <c r="B206" s="127">
        <v>176</v>
      </c>
      <c r="C206" s="206">
        <f>$D$7+1.112966*$E$7</f>
        <v>0.14868191943997799</v>
      </c>
      <c r="D206" s="206">
        <f>MIN($D$8+-0.245061*$E$8,'Debt &amp; Cost of Capital'!$C$38)</f>
        <v>5.3529634E-2</v>
      </c>
      <c r="E206" s="207">
        <f>$D$9+-1.030814*$E$9</f>
        <v>0.13629667770254633</v>
      </c>
      <c r="F206" s="207">
        <f>$D$10+-0.056955*$E$10</f>
        <v>0.14431653999999991</v>
      </c>
      <c r="G206" s="208">
        <f>$F206*(1-'Sensitivity &amp; Scenarios'!$C$12)+'Sensitivity &amp; Scenarios'!$C$9*'Sensitivity &amp; Scenarios'!$C$12-'Sensitivity &amp; Scenarios'!$C$10</f>
        <v>7.718748497046464E-2</v>
      </c>
      <c r="H206" s="209">
        <f>('Sensitivity &amp; Scenarios'!$C$6*(1+$E206)^1*$G206+'Sensitivity &amp; Scenarios'!$C$11*'Sensitivity &amp; Scenarios'!$C$6*((1+$E206)^1-(1+$E206)^0))*'Sensitivity &amp; Scenarios'!$C$18/(1+$C206)^'Sensitivity &amp; Scenarios'!$C$18+('Sensitivity &amp; Scenarios'!$C$6*(1+$E206)^2*$G206+'Sensitivity &amp; Scenarios'!$C$11*'Sensitivity &amp; Scenarios'!$C$6*((1+$E206)^2-(1+$E206)^1))/(1+$C206)^('Sensitivity &amp; Scenarios'!$C$18+1)+('Sensitivity &amp; Scenarios'!$C$6*(1+$E206)^3*$G206+'Sensitivity &amp; Scenarios'!$C$11*'Sensitivity &amp; Scenarios'!$C$6*((1+$E206)^3-(1+$E206)^2))/(1+$C206)^('Sensitivity &amp; Scenarios'!$C$18+2)+('Sensitivity &amp; Scenarios'!$C$6*(1+$E206)^4*$G206+'Sensitivity &amp; Scenarios'!$C$11*'Sensitivity &amp; Scenarios'!$C$6*((1+$E206)^4-(1+$E206)^3))/(1+$C206)^('Sensitivity &amp; Scenarios'!$C$18+3)+('Sensitivity &amp; Scenarios'!$C$6*(1+$E206)^5*$G206+'Sensitivity &amp; Scenarios'!$C$11*'Sensitivity &amp; Scenarios'!$C$6*((1+$E206)^5-(1+$E206)^4))/(1+$C206)^('Sensitivity &amp; Scenarios'!$C$18+4)</f>
        <v>20127.695380812369</v>
      </c>
      <c r="I206" s="209">
        <f>('Sensitivity &amp; Scenarios'!$C$6*(1+$E206)^5*$G206+'Sensitivity &amp; Scenarios'!$C$11*'Sensitivity &amp; Scenarios'!$C$6*((1+$E206)^5-(1+$E206)^4))*(1+$D206)/($C206-$D206)/(1+$C206)^('Sensitivity &amp; Scenarios'!$C$18+4)</f>
        <v>47147.050653050712</v>
      </c>
      <c r="J206" s="209">
        <f>($H206+$I206-'Sensitivity &amp; Scenarios'!$C$15+'Sensitivity &amp; Scenarios'!$C$16)/'Sensitivity &amp; Scenarios'!$C$17</f>
        <v>1702.6122455549703</v>
      </c>
    </row>
    <row r="207" spans="2:10" x14ac:dyDescent="0.3">
      <c r="B207" s="127">
        <v>177</v>
      </c>
      <c r="C207" s="206">
        <f>$D$7+1.049174*$E$7</f>
        <v>0.14804399943997798</v>
      </c>
      <c r="D207" s="206">
        <f>MIN($D$8+-0.975959*$E$8,'Debt &amp; Cost of Capital'!$C$38)</f>
        <v>4.9144246000000003E-2</v>
      </c>
      <c r="E207" s="207">
        <f>$D$9+-0.910575*$E$9</f>
        <v>0.13990384770254632</v>
      </c>
      <c r="F207" s="207">
        <f>$D$10+0.558549*$E$10</f>
        <v>0.15170258799999992</v>
      </c>
      <c r="G207" s="208">
        <f>$F207*(1-'Sensitivity &amp; Scenarios'!$C$12)+'Sensitivity &amp; Scenarios'!$C$9*'Sensitivity &amp; Scenarios'!$C$12-'Sensitivity &amp; Scenarios'!$C$10</f>
        <v>8.2714464688864647E-2</v>
      </c>
      <c r="H207" s="209">
        <f>('Sensitivity &amp; Scenarios'!$C$6*(1+$E207)^1*$G207+'Sensitivity &amp; Scenarios'!$C$11*'Sensitivity &amp; Scenarios'!$C$6*((1+$E207)^1-(1+$E207)^0))*'Sensitivity &amp; Scenarios'!$C$18/(1+$C207)^'Sensitivity &amp; Scenarios'!$C$18+('Sensitivity &amp; Scenarios'!$C$6*(1+$E207)^2*$G207+'Sensitivity &amp; Scenarios'!$C$11*'Sensitivity &amp; Scenarios'!$C$6*((1+$E207)^2-(1+$E207)^1))/(1+$C207)^('Sensitivity &amp; Scenarios'!$C$18+1)+('Sensitivity &amp; Scenarios'!$C$6*(1+$E207)^3*$G207+'Sensitivity &amp; Scenarios'!$C$11*'Sensitivity &amp; Scenarios'!$C$6*((1+$E207)^3-(1+$E207)^2))/(1+$C207)^('Sensitivity &amp; Scenarios'!$C$18+2)+('Sensitivity &amp; Scenarios'!$C$6*(1+$E207)^4*$G207+'Sensitivity &amp; Scenarios'!$C$11*'Sensitivity &amp; Scenarios'!$C$6*((1+$E207)^4-(1+$E207)^3))/(1+$C207)^('Sensitivity &amp; Scenarios'!$C$18+3)+('Sensitivity &amp; Scenarios'!$C$6*(1+$E207)^5*$G207+'Sensitivity &amp; Scenarios'!$C$11*'Sensitivity &amp; Scenarios'!$C$6*((1+$E207)^5-(1+$E207)^4))/(1+$C207)^('Sensitivity &amp; Scenarios'!$C$18+4)</f>
        <v>21674.595861926675</v>
      </c>
      <c r="I207" s="209">
        <f>('Sensitivity &amp; Scenarios'!$C$6*(1+$E207)^5*$G207+'Sensitivity &amp; Scenarios'!$C$11*'Sensitivity &amp; Scenarios'!$C$6*((1+$E207)^5-(1+$E207)^4))*(1+$D207)/($C207-$D207)/(1+$C207)^('Sensitivity &amp; Scenarios'!$C$18+4)</f>
        <v>48981.200767705021</v>
      </c>
      <c r="J207" s="209">
        <f>($H207+$I207-'Sensitivity &amp; Scenarios'!$C$15+'Sensitivity &amp; Scenarios'!$C$16)/'Sensitivity &amp; Scenarios'!$C$17</f>
        <v>1773.7792233036482</v>
      </c>
    </row>
    <row r="208" spans="2:10" x14ac:dyDescent="0.3">
      <c r="B208" s="127">
        <v>178</v>
      </c>
      <c r="C208" s="206">
        <f>$D$7+-0.221536*$E$7</f>
        <v>0.13533689943997798</v>
      </c>
      <c r="D208" s="206">
        <f>MIN($D$8+0.647485*$E$8,'Debt &amp; Cost of Capital'!$C$38)</f>
        <v>5.8884909999999999E-2</v>
      </c>
      <c r="E208" s="207">
        <f>$D$9+-0.013647*$E$9</f>
        <v>0.16681168770254634</v>
      </c>
      <c r="F208" s="207">
        <f>$D$10+0.701664*$E$10</f>
        <v>0.15341996799999991</v>
      </c>
      <c r="G208" s="208">
        <f>$F208*(1-'Sensitivity &amp; Scenarios'!$C$12)+'Sensitivity &amp; Scenarios'!$C$9*'Sensitivity &amp; Scenarios'!$C$12-'Sensitivity &amp; Scenarios'!$C$10</f>
        <v>8.3999580142864641E-2</v>
      </c>
      <c r="H208" s="209">
        <f>('Sensitivity &amp; Scenarios'!$C$6*(1+$E208)^1*$G208+'Sensitivity &amp; Scenarios'!$C$11*'Sensitivity &amp; Scenarios'!$C$6*((1+$E208)^1-(1+$E208)^0))*'Sensitivity &amp; Scenarios'!$C$18/(1+$C208)^'Sensitivity &amp; Scenarios'!$C$18+('Sensitivity &amp; Scenarios'!$C$6*(1+$E208)^2*$G208+'Sensitivity &amp; Scenarios'!$C$11*'Sensitivity &amp; Scenarios'!$C$6*((1+$E208)^2-(1+$E208)^1))/(1+$C208)^('Sensitivity &amp; Scenarios'!$C$18+1)+('Sensitivity &amp; Scenarios'!$C$6*(1+$E208)^3*$G208+'Sensitivity &amp; Scenarios'!$C$11*'Sensitivity &amp; Scenarios'!$C$6*((1+$E208)^3-(1+$E208)^2))/(1+$C208)^('Sensitivity &amp; Scenarios'!$C$18+2)+('Sensitivity &amp; Scenarios'!$C$6*(1+$E208)^4*$G208+'Sensitivity &amp; Scenarios'!$C$11*'Sensitivity &amp; Scenarios'!$C$6*((1+$E208)^4-(1+$E208)^3))/(1+$C208)^('Sensitivity &amp; Scenarios'!$C$18+3)+('Sensitivity &amp; Scenarios'!$C$6*(1+$E208)^5*$G208+'Sensitivity &amp; Scenarios'!$C$11*'Sensitivity &amp; Scenarios'!$C$6*((1+$E208)^5-(1+$E208)^4))/(1+$C208)^('Sensitivity &amp; Scenarios'!$C$18+4)</f>
        <v>24962.340921238785</v>
      </c>
      <c r="I208" s="209">
        <f>('Sensitivity &amp; Scenarios'!$C$6*(1+$E208)^5*$G208+'Sensitivity &amp; Scenarios'!$C$11*'Sensitivity &amp; Scenarios'!$C$6*((1+$E208)^5-(1+$E208)^4))*(1+$D208)/($C208-$D208)/(1+$C208)^('Sensitivity &amp; Scenarios'!$C$18+4)</f>
        <v>78427.763340749036</v>
      </c>
      <c r="J208" s="209">
        <f>($H208+$I208-'Sensitivity &amp; Scenarios'!$C$15+'Sensitivity &amp; Scenarios'!$C$16)/'Sensitivity &amp; Scenarios'!$C$17</f>
        <v>2462.7963429544939</v>
      </c>
    </row>
    <row r="209" spans="2:10" x14ac:dyDescent="0.3">
      <c r="B209" s="127">
        <v>179</v>
      </c>
      <c r="C209" s="206">
        <f>$D$7+-1.035078*$E$7</f>
        <v>0.12720147943997798</v>
      </c>
      <c r="D209" s="206">
        <f>MIN($D$8+-0.012085*$E$8,'Debt &amp; Cost of Capital'!$C$38)</f>
        <v>5.4927490000000002E-2</v>
      </c>
      <c r="E209" s="207">
        <f>$D$9+-0.21069*$E$9</f>
        <v>0.16090039770254633</v>
      </c>
      <c r="F209" s="207">
        <f>$D$10+-1.215891*$E$10</f>
        <v>0.13040930799999992</v>
      </c>
      <c r="G209" s="208">
        <f>$F209*(1-'Sensitivity &amp; Scenarios'!$C$12)+'Sensitivity &amp; Scenarios'!$C$9*'Sensitivity &amp; Scenarios'!$C$12-'Sensitivity &amp; Scenarios'!$C$10</f>
        <v>6.6780703264864641E-2</v>
      </c>
      <c r="H209" s="209">
        <f>('Sensitivity &amp; Scenarios'!$C$6*(1+$E209)^1*$G209+'Sensitivity &amp; Scenarios'!$C$11*'Sensitivity &amp; Scenarios'!$C$6*((1+$E209)^1-(1+$E209)^0))*'Sensitivity &amp; Scenarios'!$C$18/(1+$C209)^'Sensitivity &amp; Scenarios'!$C$18+('Sensitivity &amp; Scenarios'!$C$6*(1+$E209)^2*$G209+'Sensitivity &amp; Scenarios'!$C$11*'Sensitivity &amp; Scenarios'!$C$6*((1+$E209)^2-(1+$E209)^1))/(1+$C209)^('Sensitivity &amp; Scenarios'!$C$18+1)+('Sensitivity &amp; Scenarios'!$C$6*(1+$E209)^3*$G209+'Sensitivity &amp; Scenarios'!$C$11*'Sensitivity &amp; Scenarios'!$C$6*((1+$E209)^3-(1+$E209)^2))/(1+$C209)^('Sensitivity &amp; Scenarios'!$C$18+2)+('Sensitivity &amp; Scenarios'!$C$6*(1+$E209)^4*$G209+'Sensitivity &amp; Scenarios'!$C$11*'Sensitivity &amp; Scenarios'!$C$6*((1+$E209)^4-(1+$E209)^3))/(1+$C209)^('Sensitivity &amp; Scenarios'!$C$18+3)+('Sensitivity &amp; Scenarios'!$C$6*(1+$E209)^5*$G209+'Sensitivity &amp; Scenarios'!$C$11*'Sensitivity &amp; Scenarios'!$C$6*((1+$E209)^5-(1+$E209)^4))/(1+$C209)^('Sensitivity &amp; Scenarios'!$C$18+4)</f>
        <v>20617.308745595037</v>
      </c>
      <c r="I209" s="209">
        <f>('Sensitivity &amp; Scenarios'!$C$6*(1+$E209)^5*$G209+'Sensitivity &amp; Scenarios'!$C$11*'Sensitivity &amp; Scenarios'!$C$6*((1+$E209)^5-(1+$E209)^4))*(1+$D209)/($C209-$D209)/(1+$C209)^('Sensitivity &amp; Scenarios'!$C$18+4)</f>
        <v>68523.45797972694</v>
      </c>
      <c r="J209" s="209">
        <f>($H209+$I209-'Sensitivity &amp; Scenarios'!$C$15+'Sensitivity &amp; Scenarios'!$C$16)/'Sensitivity &amp; Scenarios'!$C$17</f>
        <v>2162.8652243032607</v>
      </c>
    </row>
    <row r="210" spans="2:10" x14ac:dyDescent="0.3">
      <c r="B210" s="127">
        <v>180</v>
      </c>
      <c r="C210" s="206">
        <f>$D$7+-1.563478*$E$7</f>
        <v>0.12191747943997798</v>
      </c>
      <c r="D210" s="206">
        <f>MIN($D$8+0.685749*$E$8,'Debt &amp; Cost of Capital'!$C$38)</f>
        <v>5.9114494000000004E-2</v>
      </c>
      <c r="E210" s="207">
        <f>$D$9+-0.350952*$E$9</f>
        <v>0.15669253770254635</v>
      </c>
      <c r="F210" s="207">
        <f>$D$10+-1.02228*$E$10</f>
        <v>0.1327326399999999</v>
      </c>
      <c r="G210" s="208">
        <f>$F210*(1-'Sensitivity &amp; Scenarios'!$C$12)+'Sensitivity &amp; Scenarios'!$C$9*'Sensitivity &amp; Scenarios'!$C$12-'Sensitivity &amp; Scenarios'!$C$10</f>
        <v>6.8519252600464639E-2</v>
      </c>
      <c r="H210" s="209">
        <f>('Sensitivity &amp; Scenarios'!$C$6*(1+$E210)^1*$G210+'Sensitivity &amp; Scenarios'!$C$11*'Sensitivity &amp; Scenarios'!$C$6*((1+$E210)^1-(1+$E210)^0))*'Sensitivity &amp; Scenarios'!$C$18/(1+$C210)^'Sensitivity &amp; Scenarios'!$C$18+('Sensitivity &amp; Scenarios'!$C$6*(1+$E210)^2*$G210+'Sensitivity &amp; Scenarios'!$C$11*'Sensitivity &amp; Scenarios'!$C$6*((1+$E210)^2-(1+$E210)^1))/(1+$C210)^('Sensitivity &amp; Scenarios'!$C$18+1)+('Sensitivity &amp; Scenarios'!$C$6*(1+$E210)^3*$G210+'Sensitivity &amp; Scenarios'!$C$11*'Sensitivity &amp; Scenarios'!$C$6*((1+$E210)^3-(1+$E210)^2))/(1+$C210)^('Sensitivity &amp; Scenarios'!$C$18+2)+('Sensitivity &amp; Scenarios'!$C$6*(1+$E210)^4*$G210+'Sensitivity &amp; Scenarios'!$C$11*'Sensitivity &amp; Scenarios'!$C$6*((1+$E210)^4-(1+$E210)^3))/(1+$C210)^('Sensitivity &amp; Scenarios'!$C$18+3)+('Sensitivity &amp; Scenarios'!$C$6*(1+$E210)^5*$G210+'Sensitivity &amp; Scenarios'!$C$11*'Sensitivity &amp; Scenarios'!$C$6*((1+$E210)^5-(1+$E210)^4))/(1+$C210)^('Sensitivity &amp; Scenarios'!$C$18+4)</f>
        <v>21003.425100343014</v>
      </c>
      <c r="I210" s="209">
        <f>('Sensitivity &amp; Scenarios'!$C$6*(1+$E210)^5*$G210+'Sensitivity &amp; Scenarios'!$C$11*'Sensitivity &amp; Scenarios'!$C$6*((1+$E210)^5-(1+$E210)^4))*(1+$D210)/($C210-$D210)/(1+$C210)^('Sensitivity &amp; Scenarios'!$C$18+4)</f>
        <v>80806.817721240761</v>
      </c>
      <c r="J210" s="209">
        <f>($H210+$I210-'Sensitivity &amp; Scenarios'!$C$15+'Sensitivity &amp; Scenarios'!$C$16)/'Sensitivity &amp; Scenarios'!$C$17</f>
        <v>2429.5421928640039</v>
      </c>
    </row>
    <row r="211" spans="2:10" x14ac:dyDescent="0.3">
      <c r="B211" s="127">
        <v>181</v>
      </c>
      <c r="C211" s="206">
        <f>$D$7+-0.096179*$E$7</f>
        <v>0.13659046943997799</v>
      </c>
      <c r="D211" s="206">
        <f>MIN($D$8+1.128019*$E$8,'Debt &amp; Cost of Capital'!$C$38)</f>
        <v>6.1768113999999999E-2</v>
      </c>
      <c r="E211" s="207">
        <f>$D$9+-2.280738*$E$9</f>
        <v>9.8798957702546347E-2</v>
      </c>
      <c r="F211" s="207">
        <f>$D$10+-1.496639*$E$10</f>
        <v>0.12704033199999989</v>
      </c>
      <c r="G211" s="208">
        <f>$F211*(1-'Sensitivity &amp; Scenarios'!$C$12)+'Sensitivity &amp; Scenarios'!$C$9*'Sensitivity &amp; Scenarios'!$C$12-'Sensitivity &amp; Scenarios'!$C$10</f>
        <v>6.4259698524064629E-2</v>
      </c>
      <c r="H211" s="209">
        <f>('Sensitivity &amp; Scenarios'!$C$6*(1+$E211)^1*$G211+'Sensitivity &amp; Scenarios'!$C$11*'Sensitivity &amp; Scenarios'!$C$6*((1+$E211)^1-(1+$E211)^0))*'Sensitivity &amp; Scenarios'!$C$18/(1+$C211)^'Sensitivity &amp; Scenarios'!$C$18+('Sensitivity &amp; Scenarios'!$C$6*(1+$E211)^2*$G211+'Sensitivity &amp; Scenarios'!$C$11*'Sensitivity &amp; Scenarios'!$C$6*((1+$E211)^2-(1+$E211)^1))/(1+$C211)^('Sensitivity &amp; Scenarios'!$C$18+1)+('Sensitivity &amp; Scenarios'!$C$6*(1+$E211)^3*$G211+'Sensitivity &amp; Scenarios'!$C$11*'Sensitivity &amp; Scenarios'!$C$6*((1+$E211)^3-(1+$E211)^2))/(1+$C211)^('Sensitivity &amp; Scenarios'!$C$18+2)+('Sensitivity &amp; Scenarios'!$C$6*(1+$E211)^4*$G211+'Sensitivity &amp; Scenarios'!$C$11*'Sensitivity &amp; Scenarios'!$C$6*((1+$E211)^4-(1+$E211)^3))/(1+$C211)^('Sensitivity &amp; Scenarios'!$C$18+3)+('Sensitivity &amp; Scenarios'!$C$6*(1+$E211)^5*$G211+'Sensitivity &amp; Scenarios'!$C$11*'Sensitivity &amp; Scenarios'!$C$6*((1+$E211)^5-(1+$E211)^4))/(1+$C211)^('Sensitivity &amp; Scenarios'!$C$18+4)</f>
        <v>15311.935885417723</v>
      </c>
      <c r="I211" s="209">
        <f>('Sensitivity &amp; Scenarios'!$C$6*(1+$E211)^5*$G211+'Sensitivity &amp; Scenarios'!$C$11*'Sensitivity &amp; Scenarios'!$C$6*((1+$E211)^5-(1+$E211)^4))*(1+$D211)/($C211-$D211)/(1+$C211)^('Sensitivity &amp; Scenarios'!$C$18+4)</f>
        <v>44023.243415069264</v>
      </c>
      <c r="J211" s="209">
        <f>($H211+$I211-'Sensitivity &amp; Scenarios'!$C$15+'Sensitivity &amp; Scenarios'!$C$16)/'Sensitivity &amp; Scenarios'!$C$17</f>
        <v>1535.4940812318864</v>
      </c>
    </row>
    <row r="212" spans="2:10" x14ac:dyDescent="0.3">
      <c r="B212" s="127">
        <v>182</v>
      </c>
      <c r="C212" s="206">
        <f>$D$7+-0.922886*$E$7</f>
        <v>0.12832339943997798</v>
      </c>
      <c r="D212" s="206">
        <f>MIN($D$8+1.461179*$E$8,'Debt &amp; Cost of Capital'!$C$38)</f>
        <v>6.3767074000000007E-2</v>
      </c>
      <c r="E212" s="207">
        <f>$D$9+0.282587*$E$9</f>
        <v>0.17569870770254634</v>
      </c>
      <c r="F212" s="207">
        <f>$D$10+0.767317*$E$10</f>
        <v>0.15420780399999989</v>
      </c>
      <c r="G212" s="208">
        <f>$F212*(1-'Sensitivity &amp; Scenarios'!$C$12)+'Sensitivity &amp; Scenarios'!$C$9*'Sensitivity &amp; Scenarios'!$C$12-'Sensitivity &amp; Scenarios'!$C$10</f>
        <v>8.4589117821664631E-2</v>
      </c>
      <c r="H212" s="209">
        <f>('Sensitivity &amp; Scenarios'!$C$6*(1+$E212)^1*$G212+'Sensitivity &amp; Scenarios'!$C$11*'Sensitivity &amp; Scenarios'!$C$6*((1+$E212)^1-(1+$E212)^0))*'Sensitivity &amp; Scenarios'!$C$18/(1+$C212)^'Sensitivity &amp; Scenarios'!$C$18+('Sensitivity &amp; Scenarios'!$C$6*(1+$E212)^2*$G212+'Sensitivity &amp; Scenarios'!$C$11*'Sensitivity &amp; Scenarios'!$C$6*((1+$E212)^2-(1+$E212)^1))/(1+$C212)^('Sensitivity &amp; Scenarios'!$C$18+1)+('Sensitivity &amp; Scenarios'!$C$6*(1+$E212)^3*$G212+'Sensitivity &amp; Scenarios'!$C$11*'Sensitivity &amp; Scenarios'!$C$6*((1+$E212)^3-(1+$E212)^2))/(1+$C212)^('Sensitivity &amp; Scenarios'!$C$18+2)+('Sensitivity &amp; Scenarios'!$C$6*(1+$E212)^4*$G212+'Sensitivity &amp; Scenarios'!$C$11*'Sensitivity &amp; Scenarios'!$C$6*((1+$E212)^4-(1+$E212)^3))/(1+$C212)^('Sensitivity &amp; Scenarios'!$C$18+3)+('Sensitivity &amp; Scenarios'!$C$6*(1+$E212)^5*$G212+'Sensitivity &amp; Scenarios'!$C$11*'Sensitivity &amp; Scenarios'!$C$6*((1+$E212)^5-(1+$E212)^4))/(1+$C212)^('Sensitivity &amp; Scenarios'!$C$18+4)</f>
        <v>26376.106352957526</v>
      </c>
      <c r="I212" s="209">
        <f>('Sensitivity &amp; Scenarios'!$C$6*(1+$E212)^5*$G212+'Sensitivity &amp; Scenarios'!$C$11*'Sensitivity &amp; Scenarios'!$C$6*((1+$E212)^5-(1+$E212)^4))*(1+$D212)/($C212-$D212)/(1+$C212)^('Sensitivity &amp; Scenarios'!$C$18+4)</f>
        <v>101040.56660390194</v>
      </c>
      <c r="J212" s="209">
        <f>($H212+$I212-'Sensitivity &amp; Scenarios'!$C$15+'Sensitivity &amp; Scenarios'!$C$16)/'Sensitivity &amp; Scenarios'!$C$17</f>
        <v>2968.526213375525</v>
      </c>
    </row>
    <row r="213" spans="2:10" x14ac:dyDescent="0.3">
      <c r="B213" s="127">
        <v>183</v>
      </c>
      <c r="C213" s="206">
        <f>$D$7+-1.140161*$E$7</f>
        <v>0.12615064943997797</v>
      </c>
      <c r="D213" s="206">
        <f>MIN($D$8+-1.119536*$E$8,'Debt &amp; Cost of Capital'!$C$38)</f>
        <v>4.8282784000000002E-2</v>
      </c>
      <c r="E213" s="207">
        <f>$D$9+0.447814*$E$9</f>
        <v>0.18065551770254634</v>
      </c>
      <c r="F213" s="207">
        <f>$D$10+0.058274*$E$10</f>
        <v>0.1456992879999999</v>
      </c>
      <c r="G213" s="208">
        <f>$F213*(1-'Sensitivity &amp; Scenarios'!$C$12)+'Sensitivity &amp; Scenarios'!$C$9*'Sensitivity &amp; Scenarios'!$C$12-'Sensitivity &amp; Scenarios'!$C$10</f>
        <v>7.8222195298864636E-2</v>
      </c>
      <c r="H213" s="209">
        <f>('Sensitivity &amp; Scenarios'!$C$6*(1+$E213)^1*$G213+'Sensitivity &amp; Scenarios'!$C$11*'Sensitivity &amp; Scenarios'!$C$6*((1+$E213)^1-(1+$E213)^0))*'Sensitivity &amp; Scenarios'!$C$18/(1+$C213)^'Sensitivity &amp; Scenarios'!$C$18+('Sensitivity &amp; Scenarios'!$C$6*(1+$E213)^2*$G213+'Sensitivity &amp; Scenarios'!$C$11*'Sensitivity &amp; Scenarios'!$C$6*((1+$E213)^2-(1+$E213)^1))/(1+$C213)^('Sensitivity &amp; Scenarios'!$C$18+1)+('Sensitivity &amp; Scenarios'!$C$6*(1+$E213)^3*$G213+'Sensitivity &amp; Scenarios'!$C$11*'Sensitivity &amp; Scenarios'!$C$6*((1+$E213)^3-(1+$E213)^2))/(1+$C213)^('Sensitivity &amp; Scenarios'!$C$18+2)+('Sensitivity &amp; Scenarios'!$C$6*(1+$E213)^4*$G213+'Sensitivity &amp; Scenarios'!$C$11*'Sensitivity &amp; Scenarios'!$C$6*((1+$E213)^4-(1+$E213)^3))/(1+$C213)^('Sensitivity &amp; Scenarios'!$C$18+3)+('Sensitivity &amp; Scenarios'!$C$6*(1+$E213)^5*$G213+'Sensitivity &amp; Scenarios'!$C$11*'Sensitivity &amp; Scenarios'!$C$6*((1+$E213)^5-(1+$E213)^4))/(1+$C213)^('Sensitivity &amp; Scenarios'!$C$18+4)</f>
        <v>25296.448743825753</v>
      </c>
      <c r="I213" s="209">
        <f>('Sensitivity &amp; Scenarios'!$C$6*(1+$E213)^5*$G213+'Sensitivity &amp; Scenarios'!$C$11*'Sensitivity &amp; Scenarios'!$C$6*((1+$E213)^5-(1+$E213)^4))*(1+$D213)/($C213-$D213)/(1+$C213)^('Sensitivity &amp; Scenarios'!$C$18+4)</f>
        <v>80029.524975799184</v>
      </c>
      <c r="J213" s="209">
        <f>($H213+$I213-'Sensitivity &amp; Scenarios'!$C$15+'Sensitivity &amp; Scenarios'!$C$16)/'Sensitivity &amp; Scenarios'!$C$17</f>
        <v>2503.544026171191</v>
      </c>
    </row>
    <row r="214" spans="2:10" x14ac:dyDescent="0.3">
      <c r="B214" s="127">
        <v>184</v>
      </c>
      <c r="C214" s="206">
        <f>$D$7+0.548739*$E$7</f>
        <v>0.14303964943997799</v>
      </c>
      <c r="D214" s="206">
        <f>MIN($D$8+-0.187671*$E$8,'Debt &amp; Cost of Capital'!$C$38)</f>
        <v>5.3873973999999998E-2</v>
      </c>
      <c r="E214" s="207">
        <f>$D$9+0.278144*$E$9</f>
        <v>0.17556541770254633</v>
      </c>
      <c r="F214" s="207">
        <f>$D$10+0.158119*$E$10</f>
        <v>0.14689742799999991</v>
      </c>
      <c r="G214" s="208">
        <f>$F214*(1-'Sensitivity &amp; Scenarios'!$C$12)+'Sensitivity &amp; Scenarios'!$C$9*'Sensitivity &amp; Scenarios'!$C$12-'Sensitivity &amp; Scenarios'!$C$10</f>
        <v>7.9118763460864647E-2</v>
      </c>
      <c r="H214" s="209">
        <f>('Sensitivity &amp; Scenarios'!$C$6*(1+$E214)^1*$G214+'Sensitivity &amp; Scenarios'!$C$11*'Sensitivity &amp; Scenarios'!$C$6*((1+$E214)^1-(1+$E214)^0))*'Sensitivity &amp; Scenarios'!$C$18/(1+$C214)^'Sensitivity &amp; Scenarios'!$C$18+('Sensitivity &amp; Scenarios'!$C$6*(1+$E214)^2*$G214+'Sensitivity &amp; Scenarios'!$C$11*'Sensitivity &amp; Scenarios'!$C$6*((1+$E214)^2-(1+$E214)^1))/(1+$C214)^('Sensitivity &amp; Scenarios'!$C$18+1)+('Sensitivity &amp; Scenarios'!$C$6*(1+$E214)^3*$G214+'Sensitivity &amp; Scenarios'!$C$11*'Sensitivity &amp; Scenarios'!$C$6*((1+$E214)^3-(1+$E214)^2))/(1+$C214)^('Sensitivity &amp; Scenarios'!$C$18+2)+('Sensitivity &amp; Scenarios'!$C$6*(1+$E214)^4*$G214+'Sensitivity &amp; Scenarios'!$C$11*'Sensitivity &amp; Scenarios'!$C$6*((1+$E214)^4-(1+$E214)^3))/(1+$C214)^('Sensitivity &amp; Scenarios'!$C$18+3)+('Sensitivity &amp; Scenarios'!$C$6*(1+$E214)^5*$G214+'Sensitivity &amp; Scenarios'!$C$11*'Sensitivity &amp; Scenarios'!$C$6*((1+$E214)^5-(1+$E214)^4))/(1+$C214)^('Sensitivity &amp; Scenarios'!$C$18+4)</f>
        <v>24030.66879866791</v>
      </c>
      <c r="I214" s="209">
        <f>('Sensitivity &amp; Scenarios'!$C$6*(1+$E214)^5*$G214+'Sensitivity &amp; Scenarios'!$C$11*'Sensitivity &amp; Scenarios'!$C$6*((1+$E214)^5-(1+$E214)^4))*(1+$D214)/($C214-$D214)/(1+$C214)^('Sensitivity &amp; Scenarios'!$C$18+4)</f>
        <v>64511.296771408175</v>
      </c>
      <c r="J214" s="209">
        <f>($H214+$I214-'Sensitivity &amp; Scenarios'!$C$15+'Sensitivity &amp; Scenarios'!$C$16)/'Sensitivity &amp; Scenarios'!$C$17</f>
        <v>2150.2611927207104</v>
      </c>
    </row>
    <row r="215" spans="2:10" x14ac:dyDescent="0.3">
      <c r="B215" s="127">
        <v>185</v>
      </c>
      <c r="C215" s="206">
        <f>$D$7+0.777767*$E$7</f>
        <v>0.14532992943997797</v>
      </c>
      <c r="D215" s="206">
        <f>MIN($D$8+0.807008*$E$8,'Debt &amp; Cost of Capital'!$C$38)</f>
        <v>5.9842048000000002E-2</v>
      </c>
      <c r="E215" s="207">
        <f>$D$9+-1.619872*$E$9</f>
        <v>0.11862493770254634</v>
      </c>
      <c r="F215" s="207">
        <f>$D$10+-2.247269*$E$10</f>
        <v>0.1180327719999999</v>
      </c>
      <c r="G215" s="208">
        <f>$F215*(1-'Sensitivity &amp; Scenarios'!$C$12)+'Sensitivity &amp; Scenarios'!$C$9*'Sensitivity &amp; Scenarios'!$C$12-'Sensitivity &amp; Scenarios'!$C$10</f>
        <v>5.7519341376064625E-2</v>
      </c>
      <c r="H215" s="209">
        <f>('Sensitivity &amp; Scenarios'!$C$6*(1+$E215)^1*$G215+'Sensitivity &amp; Scenarios'!$C$11*'Sensitivity &amp; Scenarios'!$C$6*((1+$E215)^1-(1+$E215)^0))*'Sensitivity &amp; Scenarios'!$C$18/(1+$C215)^'Sensitivity &amp; Scenarios'!$C$18+('Sensitivity &amp; Scenarios'!$C$6*(1+$E215)^2*$G215+'Sensitivity &amp; Scenarios'!$C$11*'Sensitivity &amp; Scenarios'!$C$6*((1+$E215)^2-(1+$E215)^1))/(1+$C215)^('Sensitivity &amp; Scenarios'!$C$18+1)+('Sensitivity &amp; Scenarios'!$C$6*(1+$E215)^3*$G215+'Sensitivity &amp; Scenarios'!$C$11*'Sensitivity &amp; Scenarios'!$C$6*((1+$E215)^3-(1+$E215)^2))/(1+$C215)^('Sensitivity &amp; Scenarios'!$C$18+2)+('Sensitivity &amp; Scenarios'!$C$6*(1+$E215)^4*$G215+'Sensitivity &amp; Scenarios'!$C$11*'Sensitivity &amp; Scenarios'!$C$6*((1+$E215)^4-(1+$E215)^3))/(1+$C215)^('Sensitivity &amp; Scenarios'!$C$18+3)+('Sensitivity &amp; Scenarios'!$C$6*(1+$E215)^5*$G215+'Sensitivity &amp; Scenarios'!$C$11*'Sensitivity &amp; Scenarios'!$C$6*((1+$E215)^5-(1+$E215)^4))/(1+$C215)^('Sensitivity &amp; Scenarios'!$C$18+4)</f>
        <v>14788.917861612452</v>
      </c>
      <c r="I215" s="209">
        <f>('Sensitivity &amp; Scenarios'!$C$6*(1+$E215)^5*$G215+'Sensitivity &amp; Scenarios'!$C$11*'Sensitivity &amp; Scenarios'!$C$6*((1+$E215)^5-(1+$E215)^4))*(1+$D215)/($C215-$D215)/(1+$C215)^('Sensitivity &amp; Scenarios'!$C$18+4)</f>
        <v>37873.386977542366</v>
      </c>
      <c r="J215" s="209">
        <f>($H215+$I215-'Sensitivity &amp; Scenarios'!$C$15+'Sensitivity &amp; Scenarios'!$C$16)/'Sensitivity &amp; Scenarios'!$C$17</f>
        <v>1395.0382392212198</v>
      </c>
    </row>
    <row r="216" spans="2:10" x14ac:dyDescent="0.3">
      <c r="B216" s="127">
        <v>186</v>
      </c>
      <c r="C216" s="206">
        <f>$D$7+1.001745*$E$7</f>
        <v>0.14756970943997799</v>
      </c>
      <c r="D216" s="206">
        <f>MIN($D$8+1.187725*$E$8,'Debt &amp; Cost of Capital'!$C$38)</f>
        <v>6.2126349999999997E-2</v>
      </c>
      <c r="E216" s="207">
        <f>$D$9+-1.020623*$E$9</f>
        <v>0.13660240770254634</v>
      </c>
      <c r="F216" s="207">
        <f>$D$10+-1.859835*$E$10</f>
        <v>0.12268197999999991</v>
      </c>
      <c r="G216" s="208">
        <f>$F216*(1-'Sensitivity &amp; Scenarios'!$C$12)+'Sensitivity &amp; Scenarios'!$C$9*'Sensitivity &amp; Scenarios'!$C$12-'Sensitivity &amp; Scenarios'!$C$10</f>
        <v>6.099834372246464E-2</v>
      </c>
      <c r="H216" s="209">
        <f>('Sensitivity &amp; Scenarios'!$C$6*(1+$E216)^1*$G216+'Sensitivity &amp; Scenarios'!$C$11*'Sensitivity &amp; Scenarios'!$C$6*((1+$E216)^1-(1+$E216)^0))*'Sensitivity &amp; Scenarios'!$C$18/(1+$C216)^'Sensitivity &amp; Scenarios'!$C$18+('Sensitivity &amp; Scenarios'!$C$6*(1+$E216)^2*$G216+'Sensitivity &amp; Scenarios'!$C$11*'Sensitivity &amp; Scenarios'!$C$6*((1+$E216)^2-(1+$E216)^1))/(1+$C216)^('Sensitivity &amp; Scenarios'!$C$18+1)+('Sensitivity &amp; Scenarios'!$C$6*(1+$E216)^3*$G216+'Sensitivity &amp; Scenarios'!$C$11*'Sensitivity &amp; Scenarios'!$C$6*((1+$E216)^3-(1+$E216)^2))/(1+$C216)^('Sensitivity &amp; Scenarios'!$C$18+2)+('Sensitivity &amp; Scenarios'!$C$6*(1+$E216)^4*$G216+'Sensitivity &amp; Scenarios'!$C$11*'Sensitivity &amp; Scenarios'!$C$6*((1+$E216)^4-(1+$E216)^3))/(1+$C216)^('Sensitivity &amp; Scenarios'!$C$18+3)+('Sensitivity &amp; Scenarios'!$C$6*(1+$E216)^5*$G216+'Sensitivity &amp; Scenarios'!$C$11*'Sensitivity &amp; Scenarios'!$C$6*((1+$E216)^5-(1+$E216)^4))/(1+$C216)^('Sensitivity &amp; Scenarios'!$C$18+4)</f>
        <v>16586.691311491391</v>
      </c>
      <c r="I216" s="209">
        <f>('Sensitivity &amp; Scenarios'!$C$6*(1+$E216)^5*$G216+'Sensitivity &amp; Scenarios'!$C$11*'Sensitivity &amp; Scenarios'!$C$6*((1+$E216)^5-(1+$E216)^4))*(1+$D216)/($C216-$D216)/(1+$C216)^('Sensitivity &amp; Scenarios'!$C$18+4)</f>
        <v>43721.03734738801</v>
      </c>
      <c r="J216" s="209">
        <f>($H216+$I216-'Sensitivity &amp; Scenarios'!$C$15+'Sensitivity &amp; Scenarios'!$C$16)/'Sensitivity &amp; Scenarios'!$C$17</f>
        <v>1555.9650551459786</v>
      </c>
    </row>
    <row r="217" spans="2:10" x14ac:dyDescent="0.3">
      <c r="B217" s="127">
        <v>187</v>
      </c>
      <c r="C217" s="206">
        <f>$D$7+0.099035*$E$7</f>
        <v>0.13854260943997798</v>
      </c>
      <c r="D217" s="206">
        <f>MIN($D$8+0.930838*$E$8,'Debt &amp; Cost of Capital'!$C$38)</f>
        <v>6.0585027999999999E-2</v>
      </c>
      <c r="E217" s="207">
        <f>$D$9+1.797595*$E$9</f>
        <v>0.22114894770254634</v>
      </c>
      <c r="F217" s="207">
        <f>$D$10+0.516298*$E$10</f>
        <v>0.15119557599999991</v>
      </c>
      <c r="G217" s="208">
        <f>$F217*(1-'Sensitivity &amp; Scenarios'!$C$12)+'Sensitivity &amp; Scenarios'!$C$9*'Sensitivity &amp; Scenarios'!$C$12-'Sensitivity &amp; Scenarios'!$C$10</f>
        <v>8.2335067609264637E-2</v>
      </c>
      <c r="H217" s="209">
        <f>('Sensitivity &amp; Scenarios'!$C$6*(1+$E217)^1*$G217+'Sensitivity &amp; Scenarios'!$C$11*'Sensitivity &amp; Scenarios'!$C$6*((1+$E217)^1-(1+$E217)^0))*'Sensitivity &amp; Scenarios'!$C$18/(1+$C217)^'Sensitivity &amp; Scenarios'!$C$18+('Sensitivity &amp; Scenarios'!$C$6*(1+$E217)^2*$G217+'Sensitivity &amp; Scenarios'!$C$11*'Sensitivity &amp; Scenarios'!$C$6*((1+$E217)^2-(1+$E217)^1))/(1+$C217)^('Sensitivity &amp; Scenarios'!$C$18+1)+('Sensitivity &amp; Scenarios'!$C$6*(1+$E217)^3*$G217+'Sensitivity &amp; Scenarios'!$C$11*'Sensitivity &amp; Scenarios'!$C$6*((1+$E217)^3-(1+$E217)^2))/(1+$C217)^('Sensitivity &amp; Scenarios'!$C$18+2)+('Sensitivity &amp; Scenarios'!$C$6*(1+$E217)^4*$G217+'Sensitivity &amp; Scenarios'!$C$11*'Sensitivity &amp; Scenarios'!$C$6*((1+$E217)^4-(1+$E217)^3))/(1+$C217)^('Sensitivity &amp; Scenarios'!$C$18+3)+('Sensitivity &amp; Scenarios'!$C$6*(1+$E217)^5*$G217+'Sensitivity &amp; Scenarios'!$C$11*'Sensitivity &amp; Scenarios'!$C$6*((1+$E217)^5-(1+$E217)^4))/(1+$C217)^('Sensitivity &amp; Scenarios'!$C$18+4)</f>
        <v>29431.932894243386</v>
      </c>
      <c r="I217" s="209">
        <f>('Sensitivity &amp; Scenarios'!$C$6*(1+$E217)^5*$G217+'Sensitivity &amp; Scenarios'!$C$11*'Sensitivity &amp; Scenarios'!$C$6*((1+$E217)^5-(1+$E217)^4))*(1+$D217)/($C217-$D217)/(1+$C217)^('Sensitivity &amp; Scenarios'!$C$18+4)</f>
        <v>97891.567941013083</v>
      </c>
      <c r="J217" s="209">
        <f>($H217+$I217-'Sensitivity &amp; Scenarios'!$C$15+'Sensitivity &amp; Scenarios'!$C$16)/'Sensitivity &amp; Scenarios'!$C$17</f>
        <v>2966.5650542277695</v>
      </c>
    </row>
    <row r="218" spans="2:10" x14ac:dyDescent="0.3">
      <c r="B218" s="127">
        <v>188</v>
      </c>
      <c r="C218" s="206">
        <f>$D$7+-0.371717*$E$7</f>
        <v>0.13383508943997799</v>
      </c>
      <c r="D218" s="206">
        <f>MIN($D$8+-0.893131*$E$8,'Debt &amp; Cost of Capital'!$C$38)</f>
        <v>4.9641214000000003E-2</v>
      </c>
      <c r="E218" s="207">
        <f>$D$9+0.011451*$E$9</f>
        <v>0.16756462770254635</v>
      </c>
      <c r="F218" s="207">
        <f>$D$10+-0.299265*$E$10</f>
        <v>0.14140881999999991</v>
      </c>
      <c r="G218" s="208">
        <f>$F218*(1-'Sensitivity &amp; Scenarios'!$C$12)+'Sensitivity &amp; Scenarios'!$C$9*'Sensitivity &amp; Scenarios'!$C$12-'Sensitivity &amp; Scenarios'!$C$10</f>
        <v>7.5011638094464636E-2</v>
      </c>
      <c r="H218" s="209">
        <f>('Sensitivity &amp; Scenarios'!$C$6*(1+$E218)^1*$G218+'Sensitivity &amp; Scenarios'!$C$11*'Sensitivity &amp; Scenarios'!$C$6*((1+$E218)^1-(1+$E218)^0))*'Sensitivity &amp; Scenarios'!$C$18/(1+$C218)^'Sensitivity &amp; Scenarios'!$C$18+('Sensitivity &amp; Scenarios'!$C$6*(1+$E218)^2*$G218+'Sensitivity &amp; Scenarios'!$C$11*'Sensitivity &amp; Scenarios'!$C$6*((1+$E218)^2-(1+$E218)^1))/(1+$C218)^('Sensitivity &amp; Scenarios'!$C$18+1)+('Sensitivity &amp; Scenarios'!$C$6*(1+$E218)^3*$G218+'Sensitivity &amp; Scenarios'!$C$11*'Sensitivity &amp; Scenarios'!$C$6*((1+$E218)^3-(1+$E218)^2))/(1+$C218)^('Sensitivity &amp; Scenarios'!$C$18+2)+('Sensitivity &amp; Scenarios'!$C$6*(1+$E218)^4*$G218+'Sensitivity &amp; Scenarios'!$C$11*'Sensitivity &amp; Scenarios'!$C$6*((1+$E218)^4-(1+$E218)^3))/(1+$C218)^('Sensitivity &amp; Scenarios'!$C$18+3)+('Sensitivity &amp; Scenarios'!$C$6*(1+$E218)^5*$G218+'Sensitivity &amp; Scenarios'!$C$11*'Sensitivity &amp; Scenarios'!$C$6*((1+$E218)^5-(1+$E218)^4))/(1+$C218)^('Sensitivity &amp; Scenarios'!$C$18+4)</f>
        <v>22860.752450580712</v>
      </c>
      <c r="I218" s="209">
        <f>('Sensitivity &amp; Scenarios'!$C$6*(1+$E218)^5*$G218+'Sensitivity &amp; Scenarios'!$C$11*'Sensitivity &amp; Scenarios'!$C$6*((1+$E218)^5-(1+$E218)^4))*(1+$D218)/($C218-$D218)/(1+$C218)^('Sensitivity &amp; Scenarios'!$C$18+4)</f>
        <v>64879.287192307936</v>
      </c>
      <c r="J218" s="209">
        <f>($H218+$I218-'Sensitivity &amp; Scenarios'!$C$15+'Sensitivity &amp; Scenarios'!$C$16)/'Sensitivity &amp; Scenarios'!$C$17</f>
        <v>2133.3816332466049</v>
      </c>
    </row>
    <row r="219" spans="2:10" x14ac:dyDescent="0.3">
      <c r="B219" s="127">
        <v>189</v>
      </c>
      <c r="C219" s="206">
        <f>$D$7+-1.015068*$E$7</f>
        <v>0.12740157943997799</v>
      </c>
      <c r="D219" s="206">
        <f>MIN($D$8+2.048756*$E$8,'Debt &amp; Cost of Capital'!$C$38)</f>
        <v>6.7292536E-2</v>
      </c>
      <c r="E219" s="207">
        <f>$D$9+1.785168*$E$9</f>
        <v>0.22077613770254634</v>
      </c>
      <c r="F219" s="207">
        <f>$D$10+1.136049*$E$10</f>
        <v>0.15863258799999991</v>
      </c>
      <c r="G219" s="208">
        <f>$F219*(1-'Sensitivity &amp; Scenarios'!$C$12)+'Sensitivity &amp; Scenarios'!$C$9*'Sensitivity &amp; Scenarios'!$C$12-'Sensitivity &amp; Scenarios'!$C$10</f>
        <v>8.7900183688864639E-2</v>
      </c>
      <c r="H219" s="209">
        <f>('Sensitivity &amp; Scenarios'!$C$6*(1+$E219)^1*$G219+'Sensitivity &amp; Scenarios'!$C$11*'Sensitivity &amp; Scenarios'!$C$6*((1+$E219)^1-(1+$E219)^0))*'Sensitivity &amp; Scenarios'!$C$18/(1+$C219)^'Sensitivity &amp; Scenarios'!$C$18+('Sensitivity &amp; Scenarios'!$C$6*(1+$E219)^2*$G219+'Sensitivity &amp; Scenarios'!$C$11*'Sensitivity &amp; Scenarios'!$C$6*((1+$E219)^2-(1+$E219)^1))/(1+$C219)^('Sensitivity &amp; Scenarios'!$C$18+1)+('Sensitivity &amp; Scenarios'!$C$6*(1+$E219)^3*$G219+'Sensitivity &amp; Scenarios'!$C$11*'Sensitivity &amp; Scenarios'!$C$6*((1+$E219)^3-(1+$E219)^2))/(1+$C219)^('Sensitivity &amp; Scenarios'!$C$18+2)+('Sensitivity &amp; Scenarios'!$C$6*(1+$E219)^4*$G219+'Sensitivity &amp; Scenarios'!$C$11*'Sensitivity &amp; Scenarios'!$C$6*((1+$E219)^4-(1+$E219)^3))/(1+$C219)^('Sensitivity &amp; Scenarios'!$C$18+3)+('Sensitivity &amp; Scenarios'!$C$6*(1+$E219)^5*$G219+'Sensitivity &amp; Scenarios'!$C$11*'Sensitivity &amp; Scenarios'!$C$6*((1+$E219)^5-(1+$E219)^4))/(1+$C219)^('Sensitivity &amp; Scenarios'!$C$18+4)</f>
        <v>31899.474112797128</v>
      </c>
      <c r="I219" s="209">
        <f>('Sensitivity &amp; Scenarios'!$C$6*(1+$E219)^5*$G219+'Sensitivity &amp; Scenarios'!$C$11*'Sensitivity &amp; Scenarios'!$C$6*((1+$E219)^5-(1+$E219)^4))*(1+$D219)/($C219-$D219)/(1+$C219)^('Sensitivity &amp; Scenarios'!$C$18+4)</f>
        <v>140743.5077032414</v>
      </c>
      <c r="J219" s="209">
        <f>($H219+$I219-'Sensitivity &amp; Scenarios'!$C$15+'Sensitivity &amp; Scenarios'!$C$16)/'Sensitivity &amp; Scenarios'!$C$17</f>
        <v>3920.4846727562081</v>
      </c>
    </row>
    <row r="220" spans="2:10" x14ac:dyDescent="0.3">
      <c r="B220" s="127">
        <v>190</v>
      </c>
      <c r="C220" s="206">
        <f>$D$7+-0.92085*$E$7</f>
        <v>0.12834375943997797</v>
      </c>
      <c r="D220" s="206">
        <f>MIN($D$8+0.855019*$E$8,'Debt &amp; Cost of Capital'!$C$38)</f>
        <v>6.0130113999999998E-2</v>
      </c>
      <c r="E220" s="207">
        <f>$D$9+0.639626*$E$9</f>
        <v>0.18640987770254633</v>
      </c>
      <c r="F220" s="207">
        <f>$D$10+0.442546*$E$10</f>
        <v>0.1503105519999999</v>
      </c>
      <c r="G220" s="208">
        <f>$F220*(1-'Sensitivity &amp; Scenarios'!$C$12)+'Sensitivity &amp; Scenarios'!$C$9*'Sensitivity &amp; Scenarios'!$C$12-'Sensitivity &amp; Scenarios'!$C$10</f>
        <v>8.1672804150064629E-2</v>
      </c>
      <c r="H220" s="209">
        <f>('Sensitivity &amp; Scenarios'!$C$6*(1+$E220)^1*$G220+'Sensitivity &amp; Scenarios'!$C$11*'Sensitivity &amp; Scenarios'!$C$6*((1+$E220)^1-(1+$E220)^0))*'Sensitivity &amp; Scenarios'!$C$18/(1+$C220)^'Sensitivity &amp; Scenarios'!$C$18+('Sensitivity &amp; Scenarios'!$C$6*(1+$E220)^2*$G220+'Sensitivity &amp; Scenarios'!$C$11*'Sensitivity &amp; Scenarios'!$C$6*((1+$E220)^2-(1+$E220)^1))/(1+$C220)^('Sensitivity &amp; Scenarios'!$C$18+1)+('Sensitivity &amp; Scenarios'!$C$6*(1+$E220)^3*$G220+'Sensitivity &amp; Scenarios'!$C$11*'Sensitivity &amp; Scenarios'!$C$6*((1+$E220)^3-(1+$E220)^2))/(1+$C220)^('Sensitivity &amp; Scenarios'!$C$18+2)+('Sensitivity &amp; Scenarios'!$C$6*(1+$E220)^4*$G220+'Sensitivity &amp; Scenarios'!$C$11*'Sensitivity &amp; Scenarios'!$C$6*((1+$E220)^4-(1+$E220)^3))/(1+$C220)^('Sensitivity &amp; Scenarios'!$C$18+3)+('Sensitivity &amp; Scenarios'!$C$6*(1+$E220)^5*$G220+'Sensitivity &amp; Scenarios'!$C$11*'Sensitivity &amp; Scenarios'!$C$6*((1+$E220)^5-(1+$E220)^4))/(1+$C220)^('Sensitivity &amp; Scenarios'!$C$18+4)</f>
        <v>26604.553247247237</v>
      </c>
      <c r="I220" s="209">
        <f>('Sensitivity &amp; Scenarios'!$C$6*(1+$E220)^5*$G220+'Sensitivity &amp; Scenarios'!$C$11*'Sensitivity &amp; Scenarios'!$C$6*((1+$E220)^5-(1+$E220)^4))*(1+$D220)/($C220-$D220)/(1+$C220)^('Sensitivity &amp; Scenarios'!$C$18+4)</f>
        <v>97664.159918321791</v>
      </c>
      <c r="J220" s="209">
        <f>($H220+$I220-'Sensitivity &amp; Scenarios'!$C$15+'Sensitivity &amp; Scenarios'!$C$16)/'Sensitivity &amp; Scenarios'!$C$17</f>
        <v>2902.2655118347457</v>
      </c>
    </row>
    <row r="221" spans="2:10" x14ac:dyDescent="0.3">
      <c r="B221" s="127">
        <v>191</v>
      </c>
      <c r="C221" s="206">
        <f>$D$7+1.249665*$E$7</f>
        <v>0.15004890943997798</v>
      </c>
      <c r="D221" s="206">
        <f>MIN($D$8+0.635371*$E$8,'Debt &amp; Cost of Capital'!$C$38)</f>
        <v>5.8812226000000002E-2</v>
      </c>
      <c r="E221" s="207">
        <f>$D$9+0.740014*$E$9</f>
        <v>0.18942151770254634</v>
      </c>
      <c r="F221" s="207">
        <f>$D$10+0.636906*$E$10</f>
        <v>0.1526428719999999</v>
      </c>
      <c r="G221" s="208">
        <f>$F221*(1-'Sensitivity &amp; Scenarios'!$C$12)+'Sensitivity &amp; Scenarios'!$C$9*'Sensitivity &amp; Scenarios'!$C$12-'Sensitivity &amp; Scenarios'!$C$10</f>
        <v>8.341807920606463E-2</v>
      </c>
      <c r="H221" s="209">
        <f>('Sensitivity &amp; Scenarios'!$C$6*(1+$E221)^1*$G221+'Sensitivity &amp; Scenarios'!$C$11*'Sensitivity &amp; Scenarios'!$C$6*((1+$E221)^1-(1+$E221)^0))*'Sensitivity &amp; Scenarios'!$C$18/(1+$C221)^'Sensitivity &amp; Scenarios'!$C$18+('Sensitivity &amp; Scenarios'!$C$6*(1+$E221)^2*$G221+'Sensitivity &amp; Scenarios'!$C$11*'Sensitivity &amp; Scenarios'!$C$6*((1+$E221)^2-(1+$E221)^1))/(1+$C221)^('Sensitivity &amp; Scenarios'!$C$18+1)+('Sensitivity &amp; Scenarios'!$C$6*(1+$E221)^3*$G221+'Sensitivity &amp; Scenarios'!$C$11*'Sensitivity &amp; Scenarios'!$C$6*((1+$E221)^3-(1+$E221)^2))/(1+$C221)^('Sensitivity &amp; Scenarios'!$C$18+2)+('Sensitivity &amp; Scenarios'!$C$6*(1+$E221)^4*$G221+'Sensitivity &amp; Scenarios'!$C$11*'Sensitivity &amp; Scenarios'!$C$6*((1+$E221)^4-(1+$E221)^3))/(1+$C221)^('Sensitivity &amp; Scenarios'!$C$18+3)+('Sensitivity &amp; Scenarios'!$C$6*(1+$E221)^5*$G221+'Sensitivity &amp; Scenarios'!$C$11*'Sensitivity &amp; Scenarios'!$C$6*((1+$E221)^5-(1+$E221)^4))/(1+$C221)^('Sensitivity &amp; Scenarios'!$C$18+4)</f>
        <v>25905.685020281406</v>
      </c>
      <c r="I221" s="209">
        <f>('Sensitivity &amp; Scenarios'!$C$6*(1+$E221)^5*$G221+'Sensitivity &amp; Scenarios'!$C$11*'Sensitivity &amp; Scenarios'!$C$6*((1+$E221)^5-(1+$E221)^4))*(1+$D221)/($C221-$D221)/(1+$C221)^('Sensitivity &amp; Scenarios'!$C$18+4)</f>
        <v>68971.481905169203</v>
      </c>
      <c r="J221" s="209">
        <f>($H221+$I221-'Sensitivity &amp; Scenarios'!$C$15+'Sensitivity &amp; Scenarios'!$C$16)/'Sensitivity &amp; Scenarios'!$C$17</f>
        <v>2283.6094290516253</v>
      </c>
    </row>
    <row r="222" spans="2:10" x14ac:dyDescent="0.3">
      <c r="B222" s="127">
        <v>192</v>
      </c>
      <c r="C222" s="206">
        <f>$D$7+0.340791*$E$7</f>
        <v>0.14096016943997797</v>
      </c>
      <c r="D222" s="206">
        <f>MIN($D$8+-1.783611*$E$8,'Debt &amp; Cost of Capital'!$C$38)</f>
        <v>4.4298334000000002E-2</v>
      </c>
      <c r="E222" s="207">
        <f>$D$9+0.083621*$E$9</f>
        <v>0.16972972770254635</v>
      </c>
      <c r="F222" s="207">
        <f>$D$10+-0.556192*$E$10</f>
        <v>0.13832569599999991</v>
      </c>
      <c r="G222" s="208">
        <f>$F222*(1-'Sensitivity &amp; Scenarios'!$C$12)+'Sensitivity &amp; Scenarios'!$C$9*'Sensitivity &amp; Scenarios'!$C$12-'Sensitivity &amp; Scenarios'!$C$10</f>
        <v>7.2704536405264641E-2</v>
      </c>
      <c r="H222" s="209">
        <f>('Sensitivity &amp; Scenarios'!$C$6*(1+$E222)^1*$G222+'Sensitivity &amp; Scenarios'!$C$11*'Sensitivity &amp; Scenarios'!$C$6*((1+$E222)^1-(1+$E222)^0))*'Sensitivity &amp; Scenarios'!$C$18/(1+$C222)^'Sensitivity &amp; Scenarios'!$C$18+('Sensitivity &amp; Scenarios'!$C$6*(1+$E222)^2*$G222+'Sensitivity &amp; Scenarios'!$C$11*'Sensitivity &amp; Scenarios'!$C$6*((1+$E222)^2-(1+$E222)^1))/(1+$C222)^('Sensitivity &amp; Scenarios'!$C$18+1)+('Sensitivity &amp; Scenarios'!$C$6*(1+$E222)^3*$G222+'Sensitivity &amp; Scenarios'!$C$11*'Sensitivity &amp; Scenarios'!$C$6*((1+$E222)^3-(1+$E222)^2))/(1+$C222)^('Sensitivity &amp; Scenarios'!$C$18+2)+('Sensitivity &amp; Scenarios'!$C$6*(1+$E222)^4*$G222+'Sensitivity &amp; Scenarios'!$C$11*'Sensitivity &amp; Scenarios'!$C$6*((1+$E222)^4-(1+$E222)^3))/(1+$C222)^('Sensitivity &amp; Scenarios'!$C$18+3)+('Sensitivity &amp; Scenarios'!$C$6*(1+$E222)^5*$G222+'Sensitivity &amp; Scenarios'!$C$11*'Sensitivity &amp; Scenarios'!$C$6*((1+$E222)^5-(1+$E222)^4))/(1+$C222)^('Sensitivity &amp; Scenarios'!$C$18+4)</f>
        <v>22060.781311222407</v>
      </c>
      <c r="I222" s="209">
        <f>('Sensitivity &amp; Scenarios'!$C$6*(1+$E222)^5*$G222+'Sensitivity &amp; Scenarios'!$C$11*'Sensitivity &amp; Scenarios'!$C$6*((1+$E222)^5-(1+$E222)^4))*(1+$D222)/($C222-$D222)/(1+$C222)^('Sensitivity &amp; Scenarios'!$C$18+4)</f>
        <v>53828.395913484812</v>
      </c>
      <c r="J222" s="209">
        <f>($H222+$I222-'Sensitivity &amp; Scenarios'!$C$15+'Sensitivity &amp; Scenarios'!$C$16)/'Sensitivity &amp; Scenarios'!$C$17</f>
        <v>1883.9354808959527</v>
      </c>
    </row>
    <row r="223" spans="2:10" x14ac:dyDescent="0.3">
      <c r="B223" s="127">
        <v>193</v>
      </c>
      <c r="C223" s="206">
        <f>$D$7+-1.279841*$E$7</f>
        <v>0.12475384943997798</v>
      </c>
      <c r="D223" s="206">
        <f>MIN($D$8+1.681817*$E$8,'Debt &amp; Cost of Capital'!$C$38)</f>
        <v>6.5090902000000006E-2</v>
      </c>
      <c r="E223" s="207">
        <f>$D$9+1.728995*$E$9</f>
        <v>0.21909094770254633</v>
      </c>
      <c r="F223" s="207">
        <f>$D$10+1.359221*$E$10</f>
        <v>0.16131065199999992</v>
      </c>
      <c r="G223" s="208">
        <f>$F223*(1-'Sensitivity &amp; Scenarios'!$C$12)+'Sensitivity &amp; Scenarios'!$C$9*'Sensitivity &amp; Scenarios'!$C$12-'Sensitivity &amp; Scenarios'!$C$10</f>
        <v>8.9904178980064642E-2</v>
      </c>
      <c r="H223" s="209">
        <f>('Sensitivity &amp; Scenarios'!$C$6*(1+$E223)^1*$G223+'Sensitivity &amp; Scenarios'!$C$11*'Sensitivity &amp; Scenarios'!$C$6*((1+$E223)^1-(1+$E223)^0))*'Sensitivity &amp; Scenarios'!$C$18/(1+$C223)^'Sensitivity &amp; Scenarios'!$C$18+('Sensitivity &amp; Scenarios'!$C$6*(1+$E223)^2*$G223+'Sensitivity &amp; Scenarios'!$C$11*'Sensitivity &amp; Scenarios'!$C$6*((1+$E223)^2-(1+$E223)^1))/(1+$C223)^('Sensitivity &amp; Scenarios'!$C$18+1)+('Sensitivity &amp; Scenarios'!$C$6*(1+$E223)^3*$G223+'Sensitivity &amp; Scenarios'!$C$11*'Sensitivity &amp; Scenarios'!$C$6*((1+$E223)^3-(1+$E223)^2))/(1+$C223)^('Sensitivity &amp; Scenarios'!$C$18+2)+('Sensitivity &amp; Scenarios'!$C$6*(1+$E223)^4*$G223+'Sensitivity &amp; Scenarios'!$C$11*'Sensitivity &amp; Scenarios'!$C$6*((1+$E223)^4-(1+$E223)^3))/(1+$C223)^('Sensitivity &amp; Scenarios'!$C$18+3)+('Sensitivity &amp; Scenarios'!$C$6*(1+$E223)^5*$G223+'Sensitivity &amp; Scenarios'!$C$11*'Sensitivity &amp; Scenarios'!$C$6*((1+$E223)^5-(1+$E223)^4))/(1+$C223)^('Sensitivity &amp; Scenarios'!$C$18+4)</f>
        <v>32531.700507958765</v>
      </c>
      <c r="I223" s="209">
        <f>('Sensitivity &amp; Scenarios'!$C$6*(1+$E223)^5*$G223+'Sensitivity &amp; Scenarios'!$C$11*'Sensitivity &amp; Scenarios'!$C$6*((1+$E223)^5-(1+$E223)^4))*(1+$D223)/($C223-$D223)/(1+$C223)^('Sensitivity &amp; Scenarios'!$C$18+4)</f>
        <v>144545.58271161065</v>
      </c>
      <c r="J223" s="209">
        <f>($H223+$I223-'Sensitivity &amp; Scenarios'!$C$15+'Sensitivity &amp; Scenarios'!$C$16)/'Sensitivity &amp; Scenarios'!$C$17</f>
        <v>4013.8212911762216</v>
      </c>
    </row>
    <row r="224" spans="2:10" x14ac:dyDescent="0.3">
      <c r="B224" s="127">
        <v>194</v>
      </c>
      <c r="C224" s="206">
        <f>$D$7+0.255213*$E$7</f>
        <v>0.14010438943997799</v>
      </c>
      <c r="D224" s="206">
        <f>MIN($D$8+1.350625*$E$8,'Debt &amp; Cost of Capital'!$C$38)</f>
        <v>6.310375E-2</v>
      </c>
      <c r="E224" s="207">
        <f>$D$9+0.012053*$E$9</f>
        <v>0.16758268770254633</v>
      </c>
      <c r="F224" s="207">
        <f>$D$10+0.202797*$E$10</f>
        <v>0.14743356399999991</v>
      </c>
      <c r="G224" s="208">
        <f>$F224*(1-'Sensitivity &amp; Scenarios'!$C$12)+'Sensitivity &amp; Scenarios'!$C$9*'Sensitivity &amp; Scenarios'!$C$12-'Sensitivity &amp; Scenarios'!$C$10</f>
        <v>7.9519954029664636E-2</v>
      </c>
      <c r="H224" s="209">
        <f>('Sensitivity &amp; Scenarios'!$C$6*(1+$E224)^1*$G224+'Sensitivity &amp; Scenarios'!$C$11*'Sensitivity &amp; Scenarios'!$C$6*((1+$E224)^1-(1+$E224)^0))*'Sensitivity &amp; Scenarios'!$C$18/(1+$C224)^'Sensitivity &amp; Scenarios'!$C$18+('Sensitivity &amp; Scenarios'!$C$6*(1+$E224)^2*$G224+'Sensitivity &amp; Scenarios'!$C$11*'Sensitivity &amp; Scenarios'!$C$6*((1+$E224)^2-(1+$E224)^1))/(1+$C224)^('Sensitivity &amp; Scenarios'!$C$18+1)+('Sensitivity &amp; Scenarios'!$C$6*(1+$E224)^3*$G224+'Sensitivity &amp; Scenarios'!$C$11*'Sensitivity &amp; Scenarios'!$C$6*((1+$E224)^3-(1+$E224)^2))/(1+$C224)^('Sensitivity &amp; Scenarios'!$C$18+2)+('Sensitivity &amp; Scenarios'!$C$6*(1+$E224)^4*$G224+'Sensitivity &amp; Scenarios'!$C$11*'Sensitivity &amp; Scenarios'!$C$6*((1+$E224)^4-(1+$E224)^3))/(1+$C224)^('Sensitivity &amp; Scenarios'!$C$18+3)+('Sensitivity &amp; Scenarios'!$C$6*(1+$E224)^5*$G224+'Sensitivity &amp; Scenarios'!$C$11*'Sensitivity &amp; Scenarios'!$C$6*((1+$E224)^5-(1+$E224)^4))/(1+$C224)^('Sensitivity &amp; Scenarios'!$C$18+4)</f>
        <v>23624.582081058194</v>
      </c>
      <c r="I224" s="209">
        <f>('Sensitivity &amp; Scenarios'!$C$6*(1+$E224)^5*$G224+'Sensitivity &amp; Scenarios'!$C$11*'Sensitivity &amp; Scenarios'!$C$6*((1+$E224)^5-(1+$E224)^4))*(1+$D224)/($C224-$D224)/(1+$C224)^('Sensitivity &amp; Scenarios'!$C$18+4)</f>
        <v>73522.129901053529</v>
      </c>
      <c r="J224" s="209">
        <f>($H224+$I224-'Sensitivity &amp; Scenarios'!$C$15+'Sensitivity &amp; Scenarios'!$C$16)/'Sensitivity &amp; Scenarios'!$C$17</f>
        <v>2331.380575318753</v>
      </c>
    </row>
    <row r="225" spans="2:10" x14ac:dyDescent="0.3">
      <c r="B225" s="127">
        <v>195</v>
      </c>
      <c r="C225" s="206">
        <f>$D$7+-1.093471*$E$7</f>
        <v>0.12661754943997799</v>
      </c>
      <c r="D225" s="206">
        <f>MIN($D$8+0.396991*$E$8,'Debt &amp; Cost of Capital'!$C$38)</f>
        <v>5.7381946000000003E-2</v>
      </c>
      <c r="E225" s="207">
        <f>$D$9+0.060386*$E$9</f>
        <v>0.16903267770254635</v>
      </c>
      <c r="F225" s="207">
        <f>$D$10+-1.302652*$E$10</f>
        <v>0.12936817599999992</v>
      </c>
      <c r="G225" s="208">
        <f>$F225*(1-'Sensitivity &amp; Scenarios'!$C$12)+'Sensitivity &amp; Scenarios'!$C$9*'Sensitivity &amp; Scenarios'!$C$12-'Sensitivity &amp; Scenarios'!$C$10</f>
        <v>6.600162418926464E-2</v>
      </c>
      <c r="H225" s="209">
        <f>('Sensitivity &amp; Scenarios'!$C$6*(1+$E225)^1*$G225+'Sensitivity &amp; Scenarios'!$C$11*'Sensitivity &amp; Scenarios'!$C$6*((1+$E225)^1-(1+$E225)^0))*'Sensitivity &amp; Scenarios'!$C$18/(1+$C225)^'Sensitivity &amp; Scenarios'!$C$18+('Sensitivity &amp; Scenarios'!$C$6*(1+$E225)^2*$G225+'Sensitivity &amp; Scenarios'!$C$11*'Sensitivity &amp; Scenarios'!$C$6*((1+$E225)^2-(1+$E225)^1))/(1+$C225)^('Sensitivity &amp; Scenarios'!$C$18+1)+('Sensitivity &amp; Scenarios'!$C$6*(1+$E225)^3*$G225+'Sensitivity &amp; Scenarios'!$C$11*'Sensitivity &amp; Scenarios'!$C$6*((1+$E225)^3-(1+$E225)^2))/(1+$C225)^('Sensitivity &amp; Scenarios'!$C$18+2)+('Sensitivity &amp; Scenarios'!$C$6*(1+$E225)^4*$G225+'Sensitivity &amp; Scenarios'!$C$11*'Sensitivity &amp; Scenarios'!$C$6*((1+$E225)^4-(1+$E225)^3))/(1+$C225)^('Sensitivity &amp; Scenarios'!$C$18+3)+('Sensitivity &amp; Scenarios'!$C$6*(1+$E225)^5*$G225+'Sensitivity &amp; Scenarios'!$C$11*'Sensitivity &amp; Scenarios'!$C$6*((1+$E225)^5-(1+$E225)^4))/(1+$C225)^('Sensitivity &amp; Scenarios'!$C$18+4)</f>
        <v>21086.096385435172</v>
      </c>
      <c r="I225" s="209">
        <f>('Sensitivity &amp; Scenarios'!$C$6*(1+$E225)^5*$G225+'Sensitivity &amp; Scenarios'!$C$11*'Sensitivity &amp; Scenarios'!$C$6*((1+$E225)^5-(1+$E225)^4))*(1+$D225)/($C225-$D225)/(1+$C225)^('Sensitivity &amp; Scenarios'!$C$18+4)</f>
        <v>74313.323655669039</v>
      </c>
      <c r="J225" s="209">
        <f>($H225+$I225-'Sensitivity &amp; Scenarios'!$C$15+'Sensitivity &amp; Scenarios'!$C$16)/'Sensitivity &amp; Scenarios'!$C$17</f>
        <v>2294.602218070344</v>
      </c>
    </row>
    <row r="226" spans="2:10" x14ac:dyDescent="0.3">
      <c r="B226" s="127">
        <v>196</v>
      </c>
      <c r="C226" s="206">
        <f>$D$7+-0.051197*$E$7</f>
        <v>0.13704028943997798</v>
      </c>
      <c r="D226" s="206">
        <f>MIN($D$8+-0.07973*$E$8,'Debt &amp; Cost of Capital'!$C$38)</f>
        <v>5.452162E-2</v>
      </c>
      <c r="E226" s="207">
        <f>$D$9+1.797561*$E$9</f>
        <v>0.22114792770254632</v>
      </c>
      <c r="F226" s="207">
        <f>$D$10+0.894213*$E$10</f>
        <v>0.15573055599999991</v>
      </c>
      <c r="G226" s="208">
        <f>$F226*(1-'Sensitivity &amp; Scenarios'!$C$12)+'Sensitivity &amp; Scenarios'!$C$9*'Sensitivity &amp; Scenarios'!$C$12-'Sensitivity &amp; Scenarios'!$C$10</f>
        <v>8.5728593143264642E-2</v>
      </c>
      <c r="H226" s="209">
        <f>('Sensitivity &amp; Scenarios'!$C$6*(1+$E226)^1*$G226+'Sensitivity &amp; Scenarios'!$C$11*'Sensitivity &amp; Scenarios'!$C$6*((1+$E226)^1-(1+$E226)^0))*'Sensitivity &amp; Scenarios'!$C$18/(1+$C226)^'Sensitivity &amp; Scenarios'!$C$18+('Sensitivity &amp; Scenarios'!$C$6*(1+$E226)^2*$G226+'Sensitivity &amp; Scenarios'!$C$11*'Sensitivity &amp; Scenarios'!$C$6*((1+$E226)^2-(1+$E226)^1))/(1+$C226)^('Sensitivity &amp; Scenarios'!$C$18+1)+('Sensitivity &amp; Scenarios'!$C$6*(1+$E226)^3*$G226+'Sensitivity &amp; Scenarios'!$C$11*'Sensitivity &amp; Scenarios'!$C$6*((1+$E226)^3-(1+$E226)^2))/(1+$C226)^('Sensitivity &amp; Scenarios'!$C$18+2)+('Sensitivity &amp; Scenarios'!$C$6*(1+$E226)^4*$G226+'Sensitivity &amp; Scenarios'!$C$11*'Sensitivity &amp; Scenarios'!$C$6*((1+$E226)^4-(1+$E226)^3))/(1+$C226)^('Sensitivity &amp; Scenarios'!$C$18+3)+('Sensitivity &amp; Scenarios'!$C$6*(1+$E226)^5*$G226+'Sensitivity &amp; Scenarios'!$C$11*'Sensitivity &amp; Scenarios'!$C$6*((1+$E226)^5-(1+$E226)^4))/(1+$C226)^('Sensitivity &amp; Scenarios'!$C$18+4)</f>
        <v>30525.998594397737</v>
      </c>
      <c r="I226" s="209">
        <f>('Sensitivity &amp; Scenarios'!$C$6*(1+$E226)^5*$G226+'Sensitivity &amp; Scenarios'!$C$11*'Sensitivity &amp; Scenarios'!$C$6*((1+$E226)^5-(1+$E226)^4))*(1+$D226)/($C226-$D226)/(1+$C226)^('Sensitivity &amp; Scenarios'!$C$18+4)</f>
        <v>95586.092229846719</v>
      </c>
      <c r="J226" s="209">
        <f>($H226+$I226-'Sensitivity &amp; Scenarios'!$C$15+'Sensitivity &amp; Scenarios'!$C$16)/'Sensitivity &amp; Scenarios'!$C$17</f>
        <v>2941.0663558627957</v>
      </c>
    </row>
    <row r="227" spans="2:10" x14ac:dyDescent="0.3">
      <c r="B227" s="127">
        <v>197</v>
      </c>
      <c r="C227" s="206">
        <f>$D$7+0.011445*$E$7</f>
        <v>0.13766670943997797</v>
      </c>
      <c r="D227" s="206">
        <f>MIN($D$8+0.248787*$E$8,'Debt &amp; Cost of Capital'!$C$38)</f>
        <v>5.6492722000000002E-2</v>
      </c>
      <c r="E227" s="207">
        <f>$D$9+0.044212*$E$9</f>
        <v>0.16854745770254634</v>
      </c>
      <c r="F227" s="207">
        <f>$D$10+-0.202914*$E$10</f>
        <v>0.1425650319999999</v>
      </c>
      <c r="G227" s="208">
        <f>$F227*(1-'Sensitivity &amp; Scenarios'!$C$12)+'Sensitivity &amp; Scenarios'!$C$9*'Sensitivity &amp; Scenarios'!$C$12-'Sensitivity &amp; Scenarios'!$C$10</f>
        <v>7.5876831534064632E-2</v>
      </c>
      <c r="H227" s="209">
        <f>('Sensitivity &amp; Scenarios'!$C$6*(1+$E227)^1*$G227+'Sensitivity &amp; Scenarios'!$C$11*'Sensitivity &amp; Scenarios'!$C$6*((1+$E227)^1-(1+$E227)^0))*'Sensitivity &amp; Scenarios'!$C$18/(1+$C227)^'Sensitivity &amp; Scenarios'!$C$18+('Sensitivity &amp; Scenarios'!$C$6*(1+$E227)^2*$G227+'Sensitivity &amp; Scenarios'!$C$11*'Sensitivity &amp; Scenarios'!$C$6*((1+$E227)^2-(1+$E227)^1))/(1+$C227)^('Sensitivity &amp; Scenarios'!$C$18+1)+('Sensitivity &amp; Scenarios'!$C$6*(1+$E227)^3*$G227+'Sensitivity &amp; Scenarios'!$C$11*'Sensitivity &amp; Scenarios'!$C$6*((1+$E227)^3-(1+$E227)^2))/(1+$C227)^('Sensitivity &amp; Scenarios'!$C$18+2)+('Sensitivity &amp; Scenarios'!$C$6*(1+$E227)^4*$G227+'Sensitivity &amp; Scenarios'!$C$11*'Sensitivity &amp; Scenarios'!$C$6*((1+$E227)^4-(1+$E227)^3))/(1+$C227)^('Sensitivity &amp; Scenarios'!$C$18+3)+('Sensitivity &amp; Scenarios'!$C$6*(1+$E227)^5*$G227+'Sensitivity &amp; Scenarios'!$C$11*'Sensitivity &amp; Scenarios'!$C$6*((1+$E227)^5-(1+$E227)^4))/(1+$C227)^('Sensitivity &amp; Scenarios'!$C$18+4)</f>
        <v>22939.976538480521</v>
      </c>
      <c r="I227" s="209">
        <f>('Sensitivity &amp; Scenarios'!$C$6*(1+$E227)^5*$G227+'Sensitivity &amp; Scenarios'!$C$11*'Sensitivity &amp; Scenarios'!$C$6*((1+$E227)^5-(1+$E227)^4))*(1+$D227)/($C227-$D227)/(1+$C227)^('Sensitivity &amp; Scenarios'!$C$18+4)</f>
        <v>67659.457953855395</v>
      </c>
      <c r="J227" s="209">
        <f>($H227+$I227-'Sensitivity &amp; Scenarios'!$C$15+'Sensitivity &amp; Scenarios'!$C$16)/'Sensitivity &amp; Scenarios'!$C$17</f>
        <v>2193.5683958700251</v>
      </c>
    </row>
    <row r="228" spans="2:10" x14ac:dyDescent="0.3">
      <c r="B228" s="127">
        <v>198</v>
      </c>
      <c r="C228" s="206">
        <f>$D$7+-1.082427*$E$7</f>
        <v>0.12672798943997798</v>
      </c>
      <c r="D228" s="206">
        <f>MIN($D$8+-0.151052*$E$8,'Debt &amp; Cost of Capital'!$C$38)</f>
        <v>5.4093688000000001E-2</v>
      </c>
      <c r="E228" s="207">
        <f>$D$9+-0.746098*$E$9</f>
        <v>0.14483815770254635</v>
      </c>
      <c r="F228" s="207">
        <f>$D$10+-1.250316*$E$10</f>
        <v>0.12999620799999992</v>
      </c>
      <c r="G228" s="208">
        <f>$F228*(1-'Sensitivity &amp; Scenarios'!$C$12)+'Sensitivity &amp; Scenarios'!$C$9*'Sensitivity &amp; Scenarios'!$C$12-'Sensitivity &amp; Scenarios'!$C$10</f>
        <v>6.6471580534864641E-2</v>
      </c>
      <c r="H228" s="209">
        <f>('Sensitivity &amp; Scenarios'!$C$6*(1+$E228)^1*$G228+'Sensitivity &amp; Scenarios'!$C$11*'Sensitivity &amp; Scenarios'!$C$6*((1+$E228)^1-(1+$E228)^0))*'Sensitivity &amp; Scenarios'!$C$18/(1+$C228)^'Sensitivity &amp; Scenarios'!$C$18+('Sensitivity &amp; Scenarios'!$C$6*(1+$E228)^2*$G228+'Sensitivity &amp; Scenarios'!$C$11*'Sensitivity &amp; Scenarios'!$C$6*((1+$E228)^2-(1+$E228)^1))/(1+$C228)^('Sensitivity &amp; Scenarios'!$C$18+1)+('Sensitivity &amp; Scenarios'!$C$6*(1+$E228)^3*$G228+'Sensitivity &amp; Scenarios'!$C$11*'Sensitivity &amp; Scenarios'!$C$6*((1+$E228)^3-(1+$E228)^2))/(1+$C228)^('Sensitivity &amp; Scenarios'!$C$18+2)+('Sensitivity &amp; Scenarios'!$C$6*(1+$E228)^4*$G228+'Sensitivity &amp; Scenarios'!$C$11*'Sensitivity &amp; Scenarios'!$C$6*((1+$E228)^4-(1+$E228)^3))/(1+$C228)^('Sensitivity &amp; Scenarios'!$C$18+3)+('Sensitivity &amp; Scenarios'!$C$6*(1+$E228)^5*$G228+'Sensitivity &amp; Scenarios'!$C$11*'Sensitivity &amp; Scenarios'!$C$6*((1+$E228)^5-(1+$E228)^4))/(1+$C228)^('Sensitivity &amp; Scenarios'!$C$18+4)</f>
        <v>19347.508056370527</v>
      </c>
      <c r="I228" s="209">
        <f>('Sensitivity &amp; Scenarios'!$C$6*(1+$E228)^5*$G228+'Sensitivity &amp; Scenarios'!$C$11*'Sensitivity &amp; Scenarios'!$C$6*((1+$E228)^5-(1+$E228)^4))*(1+$D228)/($C228-$D228)/(1+$C228)^('Sensitivity &amp; Scenarios'!$C$18+4)</f>
        <v>62397.047123872966</v>
      </c>
      <c r="J228" s="209">
        <f>($H228+$I228-'Sensitivity &amp; Scenarios'!$C$15+'Sensitivity &amp; Scenarios'!$C$16)/'Sensitivity &amp; Scenarios'!$C$17</f>
        <v>2007.1840218060654</v>
      </c>
    </row>
    <row r="229" spans="2:10" x14ac:dyDescent="0.3">
      <c r="B229" s="127">
        <v>199</v>
      </c>
      <c r="C229" s="206">
        <f>$D$7+0.511222*$E$7</f>
        <v>0.14266447943997798</v>
      </c>
      <c r="D229" s="206">
        <f>MIN($D$8+0.391265*$E$8,'Debt &amp; Cost of Capital'!$C$38)</f>
        <v>5.7347590000000004E-2</v>
      </c>
      <c r="E229" s="207">
        <f>$D$9+-1.786708*$E$9</f>
        <v>0.11361985770254635</v>
      </c>
      <c r="F229" s="207">
        <f>$D$10+-0.122685*$E$10</f>
        <v>0.14352777999999991</v>
      </c>
      <c r="G229" s="208">
        <f>$F229*(1-'Sensitivity &amp; Scenarios'!$C$12)+'Sensitivity &amp; Scenarios'!$C$9*'Sensitivity &amp; Scenarios'!$C$12-'Sensitivity &amp; Scenarios'!$C$10</f>
        <v>7.6597255862464644E-2</v>
      </c>
      <c r="H229" s="209">
        <f>('Sensitivity &amp; Scenarios'!$C$6*(1+$E229)^1*$G229+'Sensitivity &amp; Scenarios'!$C$11*'Sensitivity &amp; Scenarios'!$C$6*((1+$E229)^1-(1+$E229)^0))*'Sensitivity &amp; Scenarios'!$C$18/(1+$C229)^'Sensitivity &amp; Scenarios'!$C$18+('Sensitivity &amp; Scenarios'!$C$6*(1+$E229)^2*$G229+'Sensitivity &amp; Scenarios'!$C$11*'Sensitivity &amp; Scenarios'!$C$6*((1+$E229)^2-(1+$E229)^1))/(1+$C229)^('Sensitivity &amp; Scenarios'!$C$18+1)+('Sensitivity &amp; Scenarios'!$C$6*(1+$E229)^3*$G229+'Sensitivity &amp; Scenarios'!$C$11*'Sensitivity &amp; Scenarios'!$C$6*((1+$E229)^3-(1+$E229)^2))/(1+$C229)^('Sensitivity &amp; Scenarios'!$C$18+2)+('Sensitivity &amp; Scenarios'!$C$6*(1+$E229)^4*$G229+'Sensitivity &amp; Scenarios'!$C$11*'Sensitivity &amp; Scenarios'!$C$6*((1+$E229)^4-(1+$E229)^3))/(1+$C229)^('Sensitivity &amp; Scenarios'!$C$18+3)+('Sensitivity &amp; Scenarios'!$C$6*(1+$E229)^5*$G229+'Sensitivity &amp; Scenarios'!$C$11*'Sensitivity &amp; Scenarios'!$C$6*((1+$E229)^5-(1+$E229)^4))/(1+$C229)^('Sensitivity &amp; Scenarios'!$C$18+4)</f>
        <v>18631.111832758841</v>
      </c>
      <c r="I229" s="209">
        <f>('Sensitivity &amp; Scenarios'!$C$6*(1+$E229)^5*$G229+'Sensitivity &amp; Scenarios'!$C$11*'Sensitivity &amp; Scenarios'!$C$6*((1+$E229)^5-(1+$E229)^4))*(1+$D229)/($C229-$D229)/(1+$C229)^('Sensitivity &amp; Scenarios'!$C$18+4)</f>
        <v>47502.635386578775</v>
      </c>
      <c r="J229" s="209">
        <f>($H229+$I229-'Sensitivity &amp; Scenarios'!$C$15+'Sensitivity &amp; Scenarios'!$C$16)/'Sensitivity &amp; Scenarios'!$C$17</f>
        <v>1678.595616715927</v>
      </c>
    </row>
    <row r="230" spans="2:10" x14ac:dyDescent="0.3">
      <c r="B230" s="127">
        <v>200</v>
      </c>
      <c r="C230" s="206">
        <f>$D$7+0.995701*$E$7</f>
        <v>0.14750926943997797</v>
      </c>
      <c r="D230" s="206">
        <f>MIN($D$8+1.059224*$E$8,'Debt &amp; Cost of Capital'!$C$38)</f>
        <v>6.1355343999999999E-2</v>
      </c>
      <c r="E230" s="207">
        <f>$D$9+1.025837*$E$9</f>
        <v>0.19799620770254633</v>
      </c>
      <c r="F230" s="207">
        <f>$D$10+0.038913*$E$10</f>
        <v>0.1454669559999999</v>
      </c>
      <c r="G230" s="208">
        <f>$F230*(1-'Sensitivity &amp; Scenarios'!$C$12)+'Sensitivity &amp; Scenarios'!$C$9*'Sensitivity &amp; Scenarios'!$C$12-'Sensitivity &amp; Scenarios'!$C$10</f>
        <v>7.8048341263264626E-2</v>
      </c>
      <c r="H230" s="209">
        <f>('Sensitivity &amp; Scenarios'!$C$6*(1+$E230)^1*$G230+'Sensitivity &amp; Scenarios'!$C$11*'Sensitivity &amp; Scenarios'!$C$6*((1+$E230)^1-(1+$E230)^0))*'Sensitivity &amp; Scenarios'!$C$18/(1+$C230)^'Sensitivity &amp; Scenarios'!$C$18+('Sensitivity &amp; Scenarios'!$C$6*(1+$E230)^2*$G230+'Sensitivity &amp; Scenarios'!$C$11*'Sensitivity &amp; Scenarios'!$C$6*((1+$E230)^2-(1+$E230)^1))/(1+$C230)^('Sensitivity &amp; Scenarios'!$C$18+1)+('Sensitivity &amp; Scenarios'!$C$6*(1+$E230)^3*$G230+'Sensitivity &amp; Scenarios'!$C$11*'Sensitivity &amp; Scenarios'!$C$6*((1+$E230)^3-(1+$E230)^2))/(1+$C230)^('Sensitivity &amp; Scenarios'!$C$18+2)+('Sensitivity &amp; Scenarios'!$C$6*(1+$E230)^4*$G230+'Sensitivity &amp; Scenarios'!$C$11*'Sensitivity &amp; Scenarios'!$C$6*((1+$E230)^4-(1+$E230)^3))/(1+$C230)^('Sensitivity &amp; Scenarios'!$C$18+3)+('Sensitivity &amp; Scenarios'!$C$6*(1+$E230)^5*$G230+'Sensitivity &amp; Scenarios'!$C$11*'Sensitivity &amp; Scenarios'!$C$6*((1+$E230)^5-(1+$E230)^4))/(1+$C230)^('Sensitivity &amp; Scenarios'!$C$18+4)</f>
        <v>25437.134972353066</v>
      </c>
      <c r="I230" s="209">
        <f>('Sensitivity &amp; Scenarios'!$C$6*(1+$E230)^5*$G230+'Sensitivity &amp; Scenarios'!$C$11*'Sensitivity &amp; Scenarios'!$C$6*((1+$E230)^5-(1+$E230)^4))*(1+$D230)/($C230-$D230)/(1+$C230)^('Sensitivity &amp; Scenarios'!$C$18+4)</f>
        <v>73098.503368560851</v>
      </c>
      <c r="J230" s="209">
        <f>($H230+$I230-'Sensitivity &amp; Scenarios'!$C$15+'Sensitivity &amp; Scenarios'!$C$16)/'Sensitivity &amp; Scenarios'!$C$17</f>
        <v>2360.6157755831723</v>
      </c>
    </row>
    <row r="231" spans="2:10" x14ac:dyDescent="0.3">
      <c r="B231" s="127">
        <v>201</v>
      </c>
      <c r="C231" s="206">
        <f>$D$7+-0.845045*$E$7</f>
        <v>0.12910180943997798</v>
      </c>
      <c r="D231" s="206">
        <f>MIN($D$8+-1.083699*$E$8,'Debt &amp; Cost of Capital'!$C$38)</f>
        <v>4.8497805999999997E-2</v>
      </c>
      <c r="E231" s="207">
        <f>$D$9+0.344605*$E$9</f>
        <v>0.17755924770254633</v>
      </c>
      <c r="F231" s="207">
        <f>$D$10+0.37928*$E$10</f>
        <v>0.14955135999999991</v>
      </c>
      <c r="G231" s="208">
        <f>$F231*(1-'Sensitivity &amp; Scenarios'!$C$12)+'Sensitivity &amp; Scenarios'!$C$9*'Sensitivity &amp; Scenarios'!$C$12-'Sensitivity &amp; Scenarios'!$C$10</f>
        <v>8.1104700776464644E-2</v>
      </c>
      <c r="H231" s="209">
        <f>('Sensitivity &amp; Scenarios'!$C$6*(1+$E231)^1*$G231+'Sensitivity &amp; Scenarios'!$C$11*'Sensitivity &amp; Scenarios'!$C$6*((1+$E231)^1-(1+$E231)^0))*'Sensitivity &amp; Scenarios'!$C$18/(1+$C231)^'Sensitivity &amp; Scenarios'!$C$18+('Sensitivity &amp; Scenarios'!$C$6*(1+$E231)^2*$G231+'Sensitivity &amp; Scenarios'!$C$11*'Sensitivity &amp; Scenarios'!$C$6*((1+$E231)^2-(1+$E231)^1))/(1+$C231)^('Sensitivity &amp; Scenarios'!$C$18+1)+('Sensitivity &amp; Scenarios'!$C$6*(1+$E231)^3*$G231+'Sensitivity &amp; Scenarios'!$C$11*'Sensitivity &amp; Scenarios'!$C$6*((1+$E231)^3-(1+$E231)^2))/(1+$C231)^('Sensitivity &amp; Scenarios'!$C$18+2)+('Sensitivity &amp; Scenarios'!$C$6*(1+$E231)^4*$G231+'Sensitivity &amp; Scenarios'!$C$11*'Sensitivity &amp; Scenarios'!$C$6*((1+$E231)^4-(1+$E231)^3))/(1+$C231)^('Sensitivity &amp; Scenarios'!$C$18+3)+('Sensitivity &amp; Scenarios'!$C$6*(1+$E231)^5*$G231+'Sensitivity &amp; Scenarios'!$C$11*'Sensitivity &amp; Scenarios'!$C$6*((1+$E231)^5-(1+$E231)^4))/(1+$C231)^('Sensitivity &amp; Scenarios'!$C$18+4)</f>
        <v>25585.116059844757</v>
      </c>
      <c r="I231" s="209">
        <f>('Sensitivity &amp; Scenarios'!$C$6*(1+$E231)^5*$G231+'Sensitivity &amp; Scenarios'!$C$11*'Sensitivity &amp; Scenarios'!$C$6*((1+$E231)^5-(1+$E231)^4))*(1+$D231)/($C231-$D231)/(1+$C231)^('Sensitivity &amp; Scenarios'!$C$18+4)</f>
        <v>77492.482251815483</v>
      </c>
      <c r="J231" s="209">
        <f>($H231+$I231-'Sensitivity &amp; Scenarios'!$C$15+'Sensitivity &amp; Scenarios'!$C$16)/'Sensitivity &amp; Scenarios'!$C$17</f>
        <v>2456.2184751044456</v>
      </c>
    </row>
    <row r="232" spans="2:10" x14ac:dyDescent="0.3">
      <c r="B232" s="127">
        <v>202</v>
      </c>
      <c r="C232" s="206">
        <f>$D$7+1.287331*$E$7</f>
        <v>0.15042556943997798</v>
      </c>
      <c r="D232" s="206">
        <f>MIN($D$8+1.09998*$E$8,'Debt &amp; Cost of Capital'!$C$38)</f>
        <v>6.1599880000000003E-2</v>
      </c>
      <c r="E232" s="207">
        <f>$D$9+-0.132229*$E$9</f>
        <v>0.16325422770254633</v>
      </c>
      <c r="F232" s="207">
        <f>$D$10+-1.244206*$E$10</f>
        <v>0.13006952799999991</v>
      </c>
      <c r="G232" s="208">
        <f>$F232*(1-'Sensitivity &amp; Scenarios'!$C$12)+'Sensitivity &amp; Scenarios'!$C$9*'Sensitivity &amp; Scenarios'!$C$12-'Sensitivity &amp; Scenarios'!$C$10</f>
        <v>6.6526445890864636E-2</v>
      </c>
      <c r="H232" s="209">
        <f>('Sensitivity &amp; Scenarios'!$C$6*(1+$E232)^1*$G232+'Sensitivity &amp; Scenarios'!$C$11*'Sensitivity &amp; Scenarios'!$C$6*((1+$E232)^1-(1+$E232)^0))*'Sensitivity &amp; Scenarios'!$C$18/(1+$C232)^'Sensitivity &amp; Scenarios'!$C$18+('Sensitivity &amp; Scenarios'!$C$6*(1+$E232)^2*$G232+'Sensitivity &amp; Scenarios'!$C$11*'Sensitivity &amp; Scenarios'!$C$6*((1+$E232)^2-(1+$E232)^1))/(1+$C232)^('Sensitivity &amp; Scenarios'!$C$18+1)+('Sensitivity &amp; Scenarios'!$C$6*(1+$E232)^3*$G232+'Sensitivity &amp; Scenarios'!$C$11*'Sensitivity &amp; Scenarios'!$C$6*((1+$E232)^3-(1+$E232)^2))/(1+$C232)^('Sensitivity &amp; Scenarios'!$C$18+2)+('Sensitivity &amp; Scenarios'!$C$6*(1+$E232)^4*$G232+'Sensitivity &amp; Scenarios'!$C$11*'Sensitivity &amp; Scenarios'!$C$6*((1+$E232)^4-(1+$E232)^3))/(1+$C232)^('Sensitivity &amp; Scenarios'!$C$18+3)+('Sensitivity &amp; Scenarios'!$C$6*(1+$E232)^5*$G232+'Sensitivity &amp; Scenarios'!$C$11*'Sensitivity &amp; Scenarios'!$C$6*((1+$E232)^5-(1+$E232)^4))/(1+$C232)^('Sensitivity &amp; Scenarios'!$C$18+4)</f>
        <v>19573.249553500995</v>
      </c>
      <c r="I232" s="209">
        <f>('Sensitivity &amp; Scenarios'!$C$6*(1+$E232)^5*$G232+'Sensitivity &amp; Scenarios'!$C$11*'Sensitivity &amp; Scenarios'!$C$6*((1+$E232)^5-(1+$E232)^4))*(1+$D232)/($C232-$D232)/(1+$C232)^('Sensitivity &amp; Scenarios'!$C$18+4)</f>
        <v>51529.380716543332</v>
      </c>
      <c r="J232" s="209">
        <f>($H232+$I232-'Sensitivity &amp; Scenarios'!$C$15+'Sensitivity &amp; Scenarios'!$C$16)/'Sensitivity &amp; Scenarios'!$C$17</f>
        <v>1783.1845246571399</v>
      </c>
    </row>
    <row r="233" spans="2:10" x14ac:dyDescent="0.3">
      <c r="B233" s="127">
        <v>203</v>
      </c>
      <c r="C233" s="206">
        <f>$D$7+-0.319107*$E$7</f>
        <v>0.13436118943997799</v>
      </c>
      <c r="D233" s="206">
        <f>MIN($D$8+0.217231*$E$8,'Debt &amp; Cost of Capital'!$C$38)</f>
        <v>5.6303385999999997E-2</v>
      </c>
      <c r="E233" s="207">
        <f>$D$9+-0.202083*$E$9</f>
        <v>0.16115860770254634</v>
      </c>
      <c r="F233" s="207">
        <f>$D$10+-0.577894*$E$10</f>
        <v>0.13806527199999991</v>
      </c>
      <c r="G233" s="208">
        <f>$F233*(1-'Sensitivity &amp; Scenarios'!$C$12)+'Sensitivity &amp; Scenarios'!$C$9*'Sensitivity &amp; Scenarios'!$C$12-'Sensitivity &amp; Scenarios'!$C$10</f>
        <v>7.2509661126064634E-2</v>
      </c>
      <c r="H233" s="209">
        <f>('Sensitivity &amp; Scenarios'!$C$6*(1+$E233)^1*$G233+'Sensitivity &amp; Scenarios'!$C$11*'Sensitivity &amp; Scenarios'!$C$6*((1+$E233)^1-(1+$E233)^0))*'Sensitivity &amp; Scenarios'!$C$18/(1+$C233)^'Sensitivity &amp; Scenarios'!$C$18+('Sensitivity &amp; Scenarios'!$C$6*(1+$E233)^2*$G233+'Sensitivity &amp; Scenarios'!$C$11*'Sensitivity &amp; Scenarios'!$C$6*((1+$E233)^2-(1+$E233)^1))/(1+$C233)^('Sensitivity &amp; Scenarios'!$C$18+1)+('Sensitivity &amp; Scenarios'!$C$6*(1+$E233)^3*$G233+'Sensitivity &amp; Scenarios'!$C$11*'Sensitivity &amp; Scenarios'!$C$6*((1+$E233)^3-(1+$E233)^2))/(1+$C233)^('Sensitivity &amp; Scenarios'!$C$18+2)+('Sensitivity &amp; Scenarios'!$C$6*(1+$E233)^4*$G233+'Sensitivity &amp; Scenarios'!$C$11*'Sensitivity &amp; Scenarios'!$C$6*((1+$E233)^4-(1+$E233)^3))/(1+$C233)^('Sensitivity &amp; Scenarios'!$C$18+3)+('Sensitivity &amp; Scenarios'!$C$6*(1+$E233)^5*$G233+'Sensitivity &amp; Scenarios'!$C$11*'Sensitivity &amp; Scenarios'!$C$6*((1+$E233)^5-(1+$E233)^4))/(1+$C233)^('Sensitivity &amp; Scenarios'!$C$18+4)</f>
        <v>21684.953326515741</v>
      </c>
      <c r="I233" s="209">
        <f>('Sensitivity &amp; Scenarios'!$C$6*(1+$E233)^5*$G233+'Sensitivity &amp; Scenarios'!$C$11*'Sensitivity &amp; Scenarios'!$C$6*((1+$E233)^5-(1+$E233)^4))*(1+$D233)/($C233-$D233)/(1+$C233)^('Sensitivity &amp; Scenarios'!$C$18+4)</f>
        <v>66090.433580196695</v>
      </c>
      <c r="J233" s="209">
        <f>($H233+$I233-'Sensitivity &amp; Scenarios'!$C$15+'Sensitivity &amp; Scenarios'!$C$16)/'Sensitivity &amp; Scenarios'!$C$17</f>
        <v>2134.1256498966877</v>
      </c>
    </row>
    <row r="234" spans="2:10" x14ac:dyDescent="0.3">
      <c r="B234" s="127">
        <v>204</v>
      </c>
      <c r="C234" s="206">
        <f>$D$7+0.252885*$E$7</f>
        <v>0.14008110943997798</v>
      </c>
      <c r="D234" s="206">
        <f>MIN($D$8+-0.503958*$E$8,'Debt &amp; Cost of Capital'!$C$38)</f>
        <v>5.1976252000000001E-2</v>
      </c>
      <c r="E234" s="207">
        <f>$D$9+-0.628066*$E$9</f>
        <v>0.14837911770254633</v>
      </c>
      <c r="F234" s="207">
        <f>$D$10+0.311453*$E$10</f>
        <v>0.14873743599999992</v>
      </c>
      <c r="G234" s="208">
        <f>$F234*(1-'Sensitivity &amp; Scenarios'!$C$12)+'Sensitivity &amp; Scenarios'!$C$9*'Sensitivity &amp; Scenarios'!$C$12-'Sensitivity &amp; Scenarios'!$C$10</f>
        <v>8.0495641447264649E-2</v>
      </c>
      <c r="H234" s="209">
        <f>('Sensitivity &amp; Scenarios'!$C$6*(1+$E234)^1*$G234+'Sensitivity &amp; Scenarios'!$C$11*'Sensitivity &amp; Scenarios'!$C$6*((1+$E234)^1-(1+$E234)^0))*'Sensitivity &amp; Scenarios'!$C$18/(1+$C234)^'Sensitivity &amp; Scenarios'!$C$18+('Sensitivity &amp; Scenarios'!$C$6*(1+$E234)^2*$G234+'Sensitivity &amp; Scenarios'!$C$11*'Sensitivity &amp; Scenarios'!$C$6*((1+$E234)^2-(1+$E234)^1))/(1+$C234)^('Sensitivity &amp; Scenarios'!$C$18+1)+('Sensitivity &amp; Scenarios'!$C$6*(1+$E234)^3*$G234+'Sensitivity &amp; Scenarios'!$C$11*'Sensitivity &amp; Scenarios'!$C$6*((1+$E234)^3-(1+$E234)^2))/(1+$C234)^('Sensitivity &amp; Scenarios'!$C$18+2)+('Sensitivity &amp; Scenarios'!$C$6*(1+$E234)^4*$G234+'Sensitivity &amp; Scenarios'!$C$11*'Sensitivity &amp; Scenarios'!$C$6*((1+$E234)^4-(1+$E234)^3))/(1+$C234)^('Sensitivity &amp; Scenarios'!$C$18+3)+('Sensitivity &amp; Scenarios'!$C$6*(1+$E234)^5*$G234+'Sensitivity &amp; Scenarios'!$C$11*'Sensitivity &amp; Scenarios'!$C$6*((1+$E234)^5-(1+$E234)^4))/(1+$C234)^('Sensitivity &amp; Scenarios'!$C$18+4)</f>
        <v>22268.761368895608</v>
      </c>
      <c r="I234" s="209">
        <f>('Sensitivity &amp; Scenarios'!$C$6*(1+$E234)^5*$G234+'Sensitivity &amp; Scenarios'!$C$11*'Sensitivity &amp; Scenarios'!$C$6*((1+$E234)^5-(1+$E234)^4))*(1+$D234)/($C234-$D234)/(1+$C234)^('Sensitivity &amp; Scenarios'!$C$18+4)</f>
        <v>58160.827929131818</v>
      </c>
      <c r="J234" s="209">
        <f>($H234+$I234-'Sensitivity &amp; Scenarios'!$C$15+'Sensitivity &amp; Scenarios'!$C$16)/'Sensitivity &amp; Scenarios'!$C$17</f>
        <v>1979.5055990705232</v>
      </c>
    </row>
    <row r="235" spans="2:10" x14ac:dyDescent="0.3">
      <c r="B235" s="127">
        <v>205</v>
      </c>
      <c r="C235" s="206">
        <f>$D$7+-0.401993*$E$7</f>
        <v>0.13353232943997798</v>
      </c>
      <c r="D235" s="206">
        <f>MIN($D$8+0.244104*$E$8,'Debt &amp; Cost of Capital'!$C$38)</f>
        <v>5.6464623999999998E-2</v>
      </c>
      <c r="E235" s="207">
        <f>$D$9+0.273204*$E$9</f>
        <v>0.17541721770254634</v>
      </c>
      <c r="F235" s="207">
        <f>$D$10+-1.139429*$E$10</f>
        <v>0.13132685199999991</v>
      </c>
      <c r="G235" s="208">
        <f>$F235*(1-'Sensitivity &amp; Scenarios'!$C$12)+'Sensitivity &amp; Scenarios'!$C$9*'Sensitivity &amp; Scenarios'!$C$12-'Sensitivity &amp; Scenarios'!$C$10</f>
        <v>6.7467301440064645E-2</v>
      </c>
      <c r="H235" s="209">
        <f>('Sensitivity &amp; Scenarios'!$C$6*(1+$E235)^1*$G235+'Sensitivity &amp; Scenarios'!$C$11*'Sensitivity &amp; Scenarios'!$C$6*((1+$E235)^1-(1+$E235)^0))*'Sensitivity &amp; Scenarios'!$C$18/(1+$C235)^'Sensitivity &amp; Scenarios'!$C$18+('Sensitivity &amp; Scenarios'!$C$6*(1+$E235)^2*$G235+'Sensitivity &amp; Scenarios'!$C$11*'Sensitivity &amp; Scenarios'!$C$6*((1+$E235)^2-(1+$E235)^1))/(1+$C235)^('Sensitivity &amp; Scenarios'!$C$18+1)+('Sensitivity &amp; Scenarios'!$C$6*(1+$E235)^3*$G235+'Sensitivity &amp; Scenarios'!$C$11*'Sensitivity &amp; Scenarios'!$C$6*((1+$E235)^3-(1+$E235)^2))/(1+$C235)^('Sensitivity &amp; Scenarios'!$C$18+2)+('Sensitivity &amp; Scenarios'!$C$6*(1+$E235)^4*$G235+'Sensitivity &amp; Scenarios'!$C$11*'Sensitivity &amp; Scenarios'!$C$6*((1+$E235)^4-(1+$E235)^3))/(1+$C235)^('Sensitivity &amp; Scenarios'!$C$18+3)+('Sensitivity &amp; Scenarios'!$C$6*(1+$E235)^5*$G235+'Sensitivity &amp; Scenarios'!$C$11*'Sensitivity &amp; Scenarios'!$C$6*((1+$E235)^5-(1+$E235)^4))/(1+$C235)^('Sensitivity &amp; Scenarios'!$C$18+4)</f>
        <v>21596.685588271474</v>
      </c>
      <c r="I235" s="209">
        <f>('Sensitivity &amp; Scenarios'!$C$6*(1+$E235)^5*$G235+'Sensitivity &amp; Scenarios'!$C$11*'Sensitivity &amp; Scenarios'!$C$6*((1+$E235)^5-(1+$E235)^4))*(1+$D235)/($C235-$D235)/(1+$C235)^('Sensitivity &amp; Scenarios'!$C$18+4)</f>
        <v>68236.912347347621</v>
      </c>
      <c r="J235" s="209">
        <f>($H235+$I235-'Sensitivity &amp; Scenarios'!$C$15+'Sensitivity &amp; Scenarios'!$C$16)/'Sensitivity &amp; Scenarios'!$C$17</f>
        <v>2177.4484734828238</v>
      </c>
    </row>
    <row r="236" spans="2:10" x14ac:dyDescent="0.3">
      <c r="B236" s="127">
        <v>206</v>
      </c>
      <c r="C236" s="206">
        <f>$D$7+-0.481241*$E$7</f>
        <v>0.13273984943997799</v>
      </c>
      <c r="D236" s="206">
        <f>MIN($D$8+1.437777*$E$8,'Debt &amp; Cost of Capital'!$C$38)</f>
        <v>6.3626662E-2</v>
      </c>
      <c r="E236" s="207">
        <f>$D$9+-1.16208*$E$9</f>
        <v>0.13235869770254632</v>
      </c>
      <c r="F236" s="207">
        <f>$D$10+-2.116654*$E$10</f>
        <v>0.1196001519999999</v>
      </c>
      <c r="G236" s="208">
        <f>$F236*(1-'Sensitivity &amp; Scenarios'!$C$12)+'Sensitivity &amp; Scenarios'!$C$9*'Sensitivity &amp; Scenarios'!$C$12-'Sensitivity &amp; Scenarios'!$C$10</f>
        <v>5.8692211830064636E-2</v>
      </c>
      <c r="H236" s="209">
        <f>('Sensitivity &amp; Scenarios'!$C$6*(1+$E236)^1*$G236+'Sensitivity &amp; Scenarios'!$C$11*'Sensitivity &amp; Scenarios'!$C$6*((1+$E236)^1-(1+$E236)^0))*'Sensitivity &amp; Scenarios'!$C$18/(1+$C236)^'Sensitivity &amp; Scenarios'!$C$18+('Sensitivity &amp; Scenarios'!$C$6*(1+$E236)^2*$G236+'Sensitivity &amp; Scenarios'!$C$11*'Sensitivity &amp; Scenarios'!$C$6*((1+$E236)^2-(1+$E236)^1))/(1+$C236)^('Sensitivity &amp; Scenarios'!$C$18+1)+('Sensitivity &amp; Scenarios'!$C$6*(1+$E236)^3*$G236+'Sensitivity &amp; Scenarios'!$C$11*'Sensitivity &amp; Scenarios'!$C$6*((1+$E236)^3-(1+$E236)^2))/(1+$C236)^('Sensitivity &amp; Scenarios'!$C$18+2)+('Sensitivity &amp; Scenarios'!$C$6*(1+$E236)^4*$G236+'Sensitivity &amp; Scenarios'!$C$11*'Sensitivity &amp; Scenarios'!$C$6*((1+$E236)^4-(1+$E236)^3))/(1+$C236)^('Sensitivity &amp; Scenarios'!$C$18+3)+('Sensitivity &amp; Scenarios'!$C$6*(1+$E236)^5*$G236+'Sensitivity &amp; Scenarios'!$C$11*'Sensitivity &amp; Scenarios'!$C$6*((1+$E236)^5-(1+$E236)^4))/(1+$C236)^('Sensitivity &amp; Scenarios'!$C$18+4)</f>
        <v>16385.357351671395</v>
      </c>
      <c r="I236" s="209">
        <f>('Sensitivity &amp; Scenarios'!$C$6*(1+$E236)^5*$G236+'Sensitivity &amp; Scenarios'!$C$11*'Sensitivity &amp; Scenarios'!$C$6*((1+$E236)^5-(1+$E236)^4))*(1+$D236)/($C236-$D236)/(1+$C236)^('Sensitivity &amp; Scenarios'!$C$18+4)</f>
        <v>54395.662265449275</v>
      </c>
      <c r="J236" s="209">
        <f>($H236+$I236-'Sensitivity &amp; Scenarios'!$C$15+'Sensitivity &amp; Scenarios'!$C$16)/'Sensitivity &amp; Scenarios'!$C$17</f>
        <v>1776.4150139586015</v>
      </c>
    </row>
    <row r="237" spans="2:10" x14ac:dyDescent="0.3">
      <c r="B237" s="127">
        <v>207</v>
      </c>
      <c r="C237" s="206">
        <f>$D$7+-1.861845*$E$7</f>
        <v>0.11893380943997797</v>
      </c>
      <c r="D237" s="206">
        <f>MIN($D$8+0.02911*$E$8,'Debt &amp; Cost of Capital'!$C$38)</f>
        <v>5.517466E-2</v>
      </c>
      <c r="E237" s="207">
        <f>$D$9+0.030917*$E$9</f>
        <v>0.16814860770254633</v>
      </c>
      <c r="F237" s="207">
        <f>$D$10+-0.117611*$E$10</f>
        <v>0.14358866799999992</v>
      </c>
      <c r="G237" s="208">
        <f>$F237*(1-'Sensitivity &amp; Scenarios'!$C$12)+'Sensitivity &amp; Scenarios'!$C$9*'Sensitivity &amp; Scenarios'!$C$12-'Sensitivity &amp; Scenarios'!$C$10</f>
        <v>7.6642818352864642E-2</v>
      </c>
      <c r="H237" s="209">
        <f>('Sensitivity &amp; Scenarios'!$C$6*(1+$E237)^1*$G237+'Sensitivity &amp; Scenarios'!$C$11*'Sensitivity &amp; Scenarios'!$C$6*((1+$E237)^1-(1+$E237)^0))*'Sensitivity &amp; Scenarios'!$C$18/(1+$C237)^'Sensitivity &amp; Scenarios'!$C$18+('Sensitivity &amp; Scenarios'!$C$6*(1+$E237)^2*$G237+'Sensitivity &amp; Scenarios'!$C$11*'Sensitivity &amp; Scenarios'!$C$6*((1+$E237)^2-(1+$E237)^1))/(1+$C237)^('Sensitivity &amp; Scenarios'!$C$18+1)+('Sensitivity &amp; Scenarios'!$C$6*(1+$E237)^3*$G237+'Sensitivity &amp; Scenarios'!$C$11*'Sensitivity &amp; Scenarios'!$C$6*((1+$E237)^3-(1+$E237)^2))/(1+$C237)^('Sensitivity &amp; Scenarios'!$C$18+2)+('Sensitivity &amp; Scenarios'!$C$6*(1+$E237)^4*$G237+'Sensitivity &amp; Scenarios'!$C$11*'Sensitivity &amp; Scenarios'!$C$6*((1+$E237)^4-(1+$E237)^3))/(1+$C237)^('Sensitivity &amp; Scenarios'!$C$18+3)+('Sensitivity &amp; Scenarios'!$C$6*(1+$E237)^5*$G237+'Sensitivity &amp; Scenarios'!$C$11*'Sensitivity &amp; Scenarios'!$C$6*((1+$E237)^5-(1+$E237)^4))/(1+$C237)^('Sensitivity &amp; Scenarios'!$C$18+4)</f>
        <v>24219.153297867095</v>
      </c>
      <c r="I237" s="209">
        <f>('Sensitivity &amp; Scenarios'!$C$6*(1+$E237)^5*$G237+'Sensitivity &amp; Scenarios'!$C$11*'Sensitivity &amp; Scenarios'!$C$6*((1+$E237)^5-(1+$E237)^4))*(1+$D237)/($C237-$D237)/(1+$C237)^('Sensitivity &amp; Scenarios'!$C$18+4)</f>
        <v>93494.393970914985</v>
      </c>
      <c r="J237" s="209">
        <f>($H237+$I237-'Sensitivity &amp; Scenarios'!$C$15+'Sensitivity &amp; Scenarios'!$C$16)/'Sensitivity &amp; Scenarios'!$C$17</f>
        <v>2764.287291071244</v>
      </c>
    </row>
    <row r="238" spans="2:10" x14ac:dyDescent="0.3">
      <c r="B238" s="127">
        <v>208</v>
      </c>
      <c r="C238" s="206">
        <f>$D$7+1.21419*$E$7</f>
        <v>0.14969415943997799</v>
      </c>
      <c r="D238" s="206">
        <f>MIN($D$8+-2.672834*$E$8,'Debt &amp; Cost of Capital'!$C$38)</f>
        <v>3.8962996E-2</v>
      </c>
      <c r="E238" s="207">
        <f>$D$9+0.395934*$E$9</f>
        <v>0.17909911770254633</v>
      </c>
      <c r="F238" s="207">
        <f>$D$10+1.561438*$E$10</f>
        <v>0.16373725599999991</v>
      </c>
      <c r="G238" s="208">
        <f>$F238*(1-'Sensitivity &amp; Scenarios'!$C$12)+'Sensitivity &amp; Scenarios'!$C$9*'Sensitivity &amp; Scenarios'!$C$12-'Sensitivity &amp; Scenarios'!$C$10</f>
        <v>9.1720006753264638E-2</v>
      </c>
      <c r="H238" s="209">
        <f>('Sensitivity &amp; Scenarios'!$C$6*(1+$E238)^1*$G238+'Sensitivity &amp; Scenarios'!$C$11*'Sensitivity &amp; Scenarios'!$C$6*((1+$E238)^1-(1+$E238)^0))*'Sensitivity &amp; Scenarios'!$C$18/(1+$C238)^'Sensitivity &amp; Scenarios'!$C$18+('Sensitivity &amp; Scenarios'!$C$6*(1+$E238)^2*$G238+'Sensitivity &amp; Scenarios'!$C$11*'Sensitivity &amp; Scenarios'!$C$6*((1+$E238)^2-(1+$E238)^1))/(1+$C238)^('Sensitivity &amp; Scenarios'!$C$18+1)+('Sensitivity &amp; Scenarios'!$C$6*(1+$E238)^3*$G238+'Sensitivity &amp; Scenarios'!$C$11*'Sensitivity &amp; Scenarios'!$C$6*((1+$E238)^3-(1+$E238)^2))/(1+$C238)^('Sensitivity &amp; Scenarios'!$C$18+2)+('Sensitivity &amp; Scenarios'!$C$6*(1+$E238)^4*$G238+'Sensitivity &amp; Scenarios'!$C$11*'Sensitivity &amp; Scenarios'!$C$6*((1+$E238)^4-(1+$E238)^3))/(1+$C238)^('Sensitivity &amp; Scenarios'!$C$18+3)+('Sensitivity &amp; Scenarios'!$C$6*(1+$E238)^5*$G238+'Sensitivity &amp; Scenarios'!$C$11*'Sensitivity &amp; Scenarios'!$C$6*((1+$E238)^5-(1+$E238)^4))/(1+$C238)^('Sensitivity &amp; Scenarios'!$C$18+4)</f>
        <v>27084.090503616171</v>
      </c>
      <c r="I238" s="209">
        <f>('Sensitivity &amp; Scenarios'!$C$6*(1+$E238)^5*$G238+'Sensitivity &amp; Scenarios'!$C$11*'Sensitivity &amp; Scenarios'!$C$6*((1+$E238)^5-(1+$E238)^4))*(1+$D238)/($C238-$D238)/(1+$C238)^('Sensitivity &amp; Scenarios'!$C$18+4)</f>
        <v>57430.179166741458</v>
      </c>
      <c r="J238" s="209">
        <f>($H238+$I238-'Sensitivity &amp; Scenarios'!$C$15+'Sensitivity &amp; Scenarios'!$C$16)/'Sensitivity &amp; Scenarios'!$C$17</f>
        <v>2065.4831226047436</v>
      </c>
    </row>
    <row r="239" spans="2:10" x14ac:dyDescent="0.3">
      <c r="B239" s="127">
        <v>209</v>
      </c>
      <c r="C239" s="206">
        <f>$D$7+-1.127781*$E$7</f>
        <v>0.12627444943997798</v>
      </c>
      <c r="D239" s="206">
        <f>MIN($D$8+-0.379807*$E$8,'Debt &amp; Cost of Capital'!$C$38)</f>
        <v>5.2721157999999997E-2</v>
      </c>
      <c r="E239" s="207">
        <f>$D$9+-0.752892*$E$9</f>
        <v>0.14463433770254633</v>
      </c>
      <c r="F239" s="207">
        <f>$D$10+-0.894346*$E$10</f>
        <v>0.13426784799999991</v>
      </c>
      <c r="G239" s="208">
        <f>$F239*(1-'Sensitivity &amp; Scenarios'!$C$12)+'Sensitivity &amp; Scenarios'!$C$9*'Sensitivity &amp; Scenarios'!$C$12-'Sensitivity &amp; Scenarios'!$C$10</f>
        <v>6.9668048746864636E-2</v>
      </c>
      <c r="H239" s="209">
        <f>('Sensitivity &amp; Scenarios'!$C$6*(1+$E239)^1*$G239+'Sensitivity &amp; Scenarios'!$C$11*'Sensitivity &amp; Scenarios'!$C$6*((1+$E239)^1-(1+$E239)^0))*'Sensitivity &amp; Scenarios'!$C$18/(1+$C239)^'Sensitivity &amp; Scenarios'!$C$18+('Sensitivity &amp; Scenarios'!$C$6*(1+$E239)^2*$G239+'Sensitivity &amp; Scenarios'!$C$11*'Sensitivity &amp; Scenarios'!$C$6*((1+$E239)^2-(1+$E239)^1))/(1+$C239)^('Sensitivity &amp; Scenarios'!$C$18+1)+('Sensitivity &amp; Scenarios'!$C$6*(1+$E239)^3*$G239+'Sensitivity &amp; Scenarios'!$C$11*'Sensitivity &amp; Scenarios'!$C$6*((1+$E239)^3-(1+$E239)^2))/(1+$C239)^('Sensitivity &amp; Scenarios'!$C$18+2)+('Sensitivity &amp; Scenarios'!$C$6*(1+$E239)^4*$G239+'Sensitivity &amp; Scenarios'!$C$11*'Sensitivity &amp; Scenarios'!$C$6*((1+$E239)^4-(1+$E239)^3))/(1+$C239)^('Sensitivity &amp; Scenarios'!$C$18+3)+('Sensitivity &amp; Scenarios'!$C$6*(1+$E239)^5*$G239+'Sensitivity &amp; Scenarios'!$C$11*'Sensitivity &amp; Scenarios'!$C$6*((1+$E239)^5-(1+$E239)^4))/(1+$C239)^('Sensitivity &amp; Scenarios'!$C$18+4)</f>
        <v>20124.1313804374</v>
      </c>
      <c r="I239" s="209">
        <f>('Sensitivity &amp; Scenarios'!$C$6*(1+$E239)^5*$G239+'Sensitivity &amp; Scenarios'!$C$11*'Sensitivity &amp; Scenarios'!$C$6*((1+$E239)^5-(1+$E239)^4))*(1+$D239)/($C239-$D239)/(1+$C239)^('Sensitivity &amp; Scenarios'!$C$18+4)</f>
        <v>64033.418677106507</v>
      </c>
      <c r="J239" s="209">
        <f>($H239+$I239-'Sensitivity &amp; Scenarios'!$C$15+'Sensitivity &amp; Scenarios'!$C$16)/'Sensitivity &amp; Scenarios'!$C$17</f>
        <v>2057.9746112623216</v>
      </c>
    </row>
    <row r="240" spans="2:10" x14ac:dyDescent="0.3">
      <c r="B240" s="127">
        <v>210</v>
      </c>
      <c r="C240" s="206">
        <f>$D$7+-0.326262*$E$7</f>
        <v>0.13428963943997799</v>
      </c>
      <c r="D240" s="206">
        <f>MIN($D$8+1.427485*$E$8,'Debt &amp; Cost of Capital'!$C$38)</f>
        <v>6.3564910000000002E-2</v>
      </c>
      <c r="E240" s="207">
        <f>$D$9+1.837387*$E$9</f>
        <v>0.22234270770254633</v>
      </c>
      <c r="F240" s="207">
        <f>$D$10+-0.335939*$E$10</f>
        <v>0.1409687319999999</v>
      </c>
      <c r="G240" s="208">
        <f>$F240*(1-'Sensitivity &amp; Scenarios'!$C$12)+'Sensitivity &amp; Scenarios'!$C$9*'Sensitivity &amp; Scenarios'!$C$12-'Sensitivity &amp; Scenarios'!$C$10</f>
        <v>7.4682320244064626E-2</v>
      </c>
      <c r="H240" s="209">
        <f>('Sensitivity &amp; Scenarios'!$C$6*(1+$E240)^1*$G240+'Sensitivity &amp; Scenarios'!$C$11*'Sensitivity &amp; Scenarios'!$C$6*((1+$E240)^1-(1+$E240)^0))*'Sensitivity &amp; Scenarios'!$C$18/(1+$C240)^'Sensitivity &amp; Scenarios'!$C$18+('Sensitivity &amp; Scenarios'!$C$6*(1+$E240)^2*$G240+'Sensitivity &amp; Scenarios'!$C$11*'Sensitivity &amp; Scenarios'!$C$6*((1+$E240)^2-(1+$E240)^1))/(1+$C240)^('Sensitivity &amp; Scenarios'!$C$18+1)+('Sensitivity &amp; Scenarios'!$C$6*(1+$E240)^3*$G240+'Sensitivity &amp; Scenarios'!$C$11*'Sensitivity &amp; Scenarios'!$C$6*((1+$E240)^3-(1+$E240)^2))/(1+$C240)^('Sensitivity &amp; Scenarios'!$C$18+2)+('Sensitivity &amp; Scenarios'!$C$6*(1+$E240)^4*$G240+'Sensitivity &amp; Scenarios'!$C$11*'Sensitivity &amp; Scenarios'!$C$6*((1+$E240)^4-(1+$E240)^3))/(1+$C240)^('Sensitivity &amp; Scenarios'!$C$18+3)+('Sensitivity &amp; Scenarios'!$C$6*(1+$E240)^5*$G240+'Sensitivity &amp; Scenarios'!$C$11*'Sensitivity &amp; Scenarios'!$C$6*((1+$E240)^5-(1+$E240)^4))/(1+$C240)^('Sensitivity &amp; Scenarios'!$C$18+4)</f>
        <v>27642.967481916789</v>
      </c>
      <c r="I240" s="209">
        <f>('Sensitivity &amp; Scenarios'!$C$6*(1+$E240)^5*$G240+'Sensitivity &amp; Scenarios'!$C$11*'Sensitivity &amp; Scenarios'!$C$6*((1+$E240)^5-(1+$E240)^4))*(1+$D240)/($C240-$D240)/(1+$C240)^('Sensitivity &amp; Scenarios'!$C$18+4)</f>
        <v>102452.7062211439</v>
      </c>
      <c r="J240" s="209">
        <f>($H240+$I240-'Sensitivity &amp; Scenarios'!$C$15+'Sensitivity &amp; Scenarios'!$C$16)/'Sensitivity &amp; Scenarios'!$C$17</f>
        <v>3024.9159008685783</v>
      </c>
    </row>
    <row r="241" spans="2:10" x14ac:dyDescent="0.3">
      <c r="B241" s="127">
        <v>211</v>
      </c>
      <c r="C241" s="206">
        <f>$D$7+1.90506*$E$7</f>
        <v>0.15660285943997798</v>
      </c>
      <c r="D241" s="206">
        <f>MIN($D$8+0.035576*$E$8,'Debt &amp; Cost of Capital'!$C$38)</f>
        <v>5.5213456000000001E-2</v>
      </c>
      <c r="E241" s="207">
        <f>$D$9+1.753691*$E$9</f>
        <v>0.21983182770254633</v>
      </c>
      <c r="F241" s="207">
        <f>$D$10+-0.093299*$E$10</f>
        <v>0.1438804119999999</v>
      </c>
      <c r="G241" s="208">
        <f>$F241*(1-'Sensitivity &amp; Scenarios'!$C$12)+'Sensitivity &amp; Scenarios'!$C$9*'Sensitivity &amp; Scenarios'!$C$12-'Sensitivity &amp; Scenarios'!$C$10</f>
        <v>7.6861130388064636E-2</v>
      </c>
      <c r="H241" s="209">
        <f>('Sensitivity &amp; Scenarios'!$C$6*(1+$E241)^1*$G241+'Sensitivity &amp; Scenarios'!$C$11*'Sensitivity &amp; Scenarios'!$C$6*((1+$E241)^1-(1+$E241)^0))*'Sensitivity &amp; Scenarios'!$C$18/(1+$C241)^'Sensitivity &amp; Scenarios'!$C$18+('Sensitivity &amp; Scenarios'!$C$6*(1+$E241)^2*$G241+'Sensitivity &amp; Scenarios'!$C$11*'Sensitivity &amp; Scenarios'!$C$6*((1+$E241)^2-(1+$E241)^1))/(1+$C241)^('Sensitivity &amp; Scenarios'!$C$18+1)+('Sensitivity &amp; Scenarios'!$C$6*(1+$E241)^3*$G241+'Sensitivity &amp; Scenarios'!$C$11*'Sensitivity &amp; Scenarios'!$C$6*((1+$E241)^3-(1+$E241)^2))/(1+$C241)^('Sensitivity &amp; Scenarios'!$C$18+2)+('Sensitivity &amp; Scenarios'!$C$6*(1+$E241)^4*$G241+'Sensitivity &amp; Scenarios'!$C$11*'Sensitivity &amp; Scenarios'!$C$6*((1+$E241)^4-(1+$E241)^3))/(1+$C241)^('Sensitivity &amp; Scenarios'!$C$18+3)+('Sensitivity &amp; Scenarios'!$C$6*(1+$E241)^5*$G241+'Sensitivity &amp; Scenarios'!$C$11*'Sensitivity &amp; Scenarios'!$C$6*((1+$E241)^5-(1+$E241)^4))/(1+$C241)^('Sensitivity &amp; Scenarios'!$C$18+4)</f>
        <v>26492.058498076567</v>
      </c>
      <c r="I241" s="209">
        <f>('Sensitivity &amp; Scenarios'!$C$6*(1+$E241)^5*$G241+'Sensitivity &amp; Scenarios'!$C$11*'Sensitivity &amp; Scenarios'!$C$6*((1+$E241)^5-(1+$E241)^4))*(1+$D241)/($C241-$D241)/(1+$C241)^('Sensitivity &amp; Scenarios'!$C$18+4)</f>
        <v>65473.61384071994</v>
      </c>
      <c r="J241" s="209">
        <f>($H241+$I241-'Sensitivity &amp; Scenarios'!$C$15+'Sensitivity &amp; Scenarios'!$C$16)/'Sensitivity &amp; Scenarios'!$C$17</f>
        <v>2222.3260307129185</v>
      </c>
    </row>
    <row r="242" spans="2:10" x14ac:dyDescent="0.3">
      <c r="B242" s="127">
        <v>212</v>
      </c>
      <c r="C242" s="206">
        <f>$D$7+0.131058*$E$7</f>
        <v>0.13886283943997799</v>
      </c>
      <c r="D242" s="206">
        <f>MIN($D$8+0.365474*$E$8,'Debt &amp; Cost of Capital'!$C$38)</f>
        <v>5.7192844E-2</v>
      </c>
      <c r="E242" s="207">
        <f>$D$9+3.178854*$E$9</f>
        <v>0.26258671770254632</v>
      </c>
      <c r="F242" s="207">
        <f>$D$10+0.851286*$E$10</f>
        <v>0.1552154319999999</v>
      </c>
      <c r="G242" s="208">
        <f>$F242*(1-'Sensitivity &amp; Scenarios'!$C$12)+'Sensitivity &amp; Scenarios'!$C$9*'Sensitivity &amp; Scenarios'!$C$12-'Sensitivity &amp; Scenarios'!$C$10</f>
        <v>8.534312585406463E-2</v>
      </c>
      <c r="H242" s="209">
        <f>('Sensitivity &amp; Scenarios'!$C$6*(1+$E242)^1*$G242+'Sensitivity &amp; Scenarios'!$C$11*'Sensitivity &amp; Scenarios'!$C$6*((1+$E242)^1-(1+$E242)^0))*'Sensitivity &amp; Scenarios'!$C$18/(1+$C242)^'Sensitivity &amp; Scenarios'!$C$18+('Sensitivity &amp; Scenarios'!$C$6*(1+$E242)^2*$G242+'Sensitivity &amp; Scenarios'!$C$11*'Sensitivity &amp; Scenarios'!$C$6*((1+$E242)^2-(1+$E242)^1))/(1+$C242)^('Sensitivity &amp; Scenarios'!$C$18+1)+('Sensitivity &amp; Scenarios'!$C$6*(1+$E242)^3*$G242+'Sensitivity &amp; Scenarios'!$C$11*'Sensitivity &amp; Scenarios'!$C$6*((1+$E242)^3-(1+$E242)^2))/(1+$C242)^('Sensitivity &amp; Scenarios'!$C$18+2)+('Sensitivity &amp; Scenarios'!$C$6*(1+$E242)^4*$G242+'Sensitivity &amp; Scenarios'!$C$11*'Sensitivity &amp; Scenarios'!$C$6*((1+$E242)^4-(1+$E242)^3))/(1+$C242)^('Sensitivity &amp; Scenarios'!$C$18+3)+('Sensitivity &amp; Scenarios'!$C$6*(1+$E242)^5*$G242+'Sensitivity &amp; Scenarios'!$C$11*'Sensitivity &amp; Scenarios'!$C$6*((1+$E242)^5-(1+$E242)^4))/(1+$C242)^('Sensitivity &amp; Scenarios'!$C$18+4)</f>
        <v>34762.745717995276</v>
      </c>
      <c r="I242" s="209">
        <f>('Sensitivity &amp; Scenarios'!$C$6*(1+$E242)^5*$G242+'Sensitivity &amp; Scenarios'!$C$11*'Sensitivity &amp; Scenarios'!$C$6*((1+$E242)^5-(1+$E242)^4))*(1+$D242)/($C242-$D242)/(1+$C242)^('Sensitivity &amp; Scenarios'!$C$18+4)</f>
        <v>116323.47113019467</v>
      </c>
      <c r="J242" s="209">
        <f>($H242+$I242-'Sensitivity &amp; Scenarios'!$C$15+'Sensitivity &amp; Scenarios'!$C$16)/'Sensitivity &amp; Scenarios'!$C$17</f>
        <v>3466.7411485627745</v>
      </c>
    </row>
    <row r="243" spans="2:10" x14ac:dyDescent="0.3">
      <c r="B243" s="127">
        <v>213</v>
      </c>
      <c r="C243" s="206">
        <f>$D$7+-0.707265*$E$7</f>
        <v>0.13047960943997797</v>
      </c>
      <c r="D243" s="206">
        <f>MIN($D$8+0.968998*$E$8,'Debt &amp; Cost of Capital'!$C$38)</f>
        <v>6.0813987999999999E-2</v>
      </c>
      <c r="E243" s="207">
        <f>$D$9+-0.361833*$E$9</f>
        <v>0.15636610770254633</v>
      </c>
      <c r="F243" s="207">
        <f>$D$10+-0.48975*$E$10</f>
        <v>0.13912299999999991</v>
      </c>
      <c r="G243" s="208">
        <f>$F243*(1-'Sensitivity &amp; Scenarios'!$C$12)+'Sensitivity &amp; Scenarios'!$C$9*'Sensitivity &amp; Scenarios'!$C$12-'Sensitivity &amp; Scenarios'!$C$10</f>
        <v>7.3301158988464635E-2</v>
      </c>
      <c r="H243" s="209">
        <f>('Sensitivity &amp; Scenarios'!$C$6*(1+$E243)^1*$G243+'Sensitivity &amp; Scenarios'!$C$11*'Sensitivity &amp; Scenarios'!$C$6*((1+$E243)^1-(1+$E243)^0))*'Sensitivity &amp; Scenarios'!$C$18/(1+$C243)^'Sensitivity &amp; Scenarios'!$C$18+('Sensitivity &amp; Scenarios'!$C$6*(1+$E243)^2*$G243+'Sensitivity &amp; Scenarios'!$C$11*'Sensitivity &amp; Scenarios'!$C$6*((1+$E243)^2-(1+$E243)^1))/(1+$C243)^('Sensitivity &amp; Scenarios'!$C$18+1)+('Sensitivity &amp; Scenarios'!$C$6*(1+$E243)^3*$G243+'Sensitivity &amp; Scenarios'!$C$11*'Sensitivity &amp; Scenarios'!$C$6*((1+$E243)^3-(1+$E243)^2))/(1+$C243)^('Sensitivity &amp; Scenarios'!$C$18+2)+('Sensitivity &amp; Scenarios'!$C$6*(1+$E243)^4*$G243+'Sensitivity &amp; Scenarios'!$C$11*'Sensitivity &amp; Scenarios'!$C$6*((1+$E243)^4-(1+$E243)^3))/(1+$C243)^('Sensitivity &amp; Scenarios'!$C$18+3)+('Sensitivity &amp; Scenarios'!$C$6*(1+$E243)^5*$G243+'Sensitivity &amp; Scenarios'!$C$11*'Sensitivity &amp; Scenarios'!$C$6*((1+$E243)^5-(1+$E243)^4))/(1+$C243)^('Sensitivity &amp; Scenarios'!$C$18+4)</f>
        <v>21706.849804840382</v>
      </c>
      <c r="I243" s="209">
        <f>('Sensitivity &amp; Scenarios'!$C$6*(1+$E243)^5*$G243+'Sensitivity &amp; Scenarios'!$C$11*'Sensitivity &amp; Scenarios'!$C$6*((1+$E243)^5-(1+$E243)^4))*(1+$D243)/($C243-$D243)/(1+$C243)^('Sensitivity &amp; Scenarios'!$C$18+4)</f>
        <v>74348.416827718989</v>
      </c>
      <c r="J243" s="209">
        <f>($H243+$I243-'Sensitivity &amp; Scenarios'!$C$15+'Sensitivity &amp; Scenarios'!$C$16)/'Sensitivity &amp; Scenarios'!$C$17</f>
        <v>2308.4069862802749</v>
      </c>
    </row>
    <row r="244" spans="2:10" x14ac:dyDescent="0.3">
      <c r="B244" s="127">
        <v>214</v>
      </c>
      <c r="C244" s="206">
        <f>$D$7+0.908601*$E$7</f>
        <v>0.14663826943997799</v>
      </c>
      <c r="D244" s="206">
        <f>MIN($D$8+0.031086*$E$8,'Debt &amp; Cost of Capital'!$C$38)</f>
        <v>5.5186515999999998E-2</v>
      </c>
      <c r="E244" s="207">
        <f>$D$9+0.278576*$E$9</f>
        <v>0.17557837770254633</v>
      </c>
      <c r="F244" s="207">
        <f>$D$10+0.013985*$E$10</f>
        <v>0.14516781999999992</v>
      </c>
      <c r="G244" s="208">
        <f>$F244*(1-'Sensitivity &amp; Scenarios'!$C$12)+'Sensitivity &amp; Scenarios'!$C$9*'Sensitivity &amp; Scenarios'!$C$12-'Sensitivity &amp; Scenarios'!$C$10</f>
        <v>7.7824497794464639E-2</v>
      </c>
      <c r="H244" s="209">
        <f>('Sensitivity &amp; Scenarios'!$C$6*(1+$E244)^1*$G244+'Sensitivity &amp; Scenarios'!$C$11*'Sensitivity &amp; Scenarios'!$C$6*((1+$E244)^1-(1+$E244)^0))*'Sensitivity &amp; Scenarios'!$C$18/(1+$C244)^'Sensitivity &amp; Scenarios'!$C$18+('Sensitivity &amp; Scenarios'!$C$6*(1+$E244)^2*$G244+'Sensitivity &amp; Scenarios'!$C$11*'Sensitivity &amp; Scenarios'!$C$6*((1+$E244)^2-(1+$E244)^1))/(1+$C244)^('Sensitivity &amp; Scenarios'!$C$18+1)+('Sensitivity &amp; Scenarios'!$C$6*(1+$E244)^3*$G244+'Sensitivity &amp; Scenarios'!$C$11*'Sensitivity &amp; Scenarios'!$C$6*((1+$E244)^3-(1+$E244)^2))/(1+$C244)^('Sensitivity &amp; Scenarios'!$C$18+2)+('Sensitivity &amp; Scenarios'!$C$6*(1+$E244)^4*$G244+'Sensitivity &amp; Scenarios'!$C$11*'Sensitivity &amp; Scenarios'!$C$6*((1+$E244)^4-(1+$E244)^3))/(1+$C244)^('Sensitivity &amp; Scenarios'!$C$18+3)+('Sensitivity &amp; Scenarios'!$C$6*(1+$E244)^5*$G244+'Sensitivity &amp; Scenarios'!$C$11*'Sensitivity &amp; Scenarios'!$C$6*((1+$E244)^5-(1+$E244)^4))/(1+$C244)^('Sensitivity &amp; Scenarios'!$C$18+4)</f>
        <v>23495.608508847741</v>
      </c>
      <c r="I244" s="209">
        <f>('Sensitivity &amp; Scenarios'!$C$6*(1+$E244)^5*$G244+'Sensitivity &amp; Scenarios'!$C$11*'Sensitivity &amp; Scenarios'!$C$6*((1+$E244)^5-(1+$E244)^4))*(1+$D244)/($C244-$D244)/(1+$C244)^('Sensitivity &amp; Scenarios'!$C$18+4)</f>
        <v>61229.831070806576</v>
      </c>
      <c r="J244" s="209">
        <f>($H244+$I244-'Sensitivity &amp; Scenarios'!$C$15+'Sensitivity &amp; Scenarios'!$C$16)/'Sensitivity &amp; Scenarios'!$C$17</f>
        <v>2069.9279907930263</v>
      </c>
    </row>
    <row r="245" spans="2:10" x14ac:dyDescent="0.3">
      <c r="B245" s="127">
        <v>215</v>
      </c>
      <c r="C245" s="206">
        <f>$D$7+0.336583*$E$7</f>
        <v>0.14091808943997797</v>
      </c>
      <c r="D245" s="206">
        <f>MIN($D$8+0.424966*$E$8,'Debt &amp; Cost of Capital'!$C$38)</f>
        <v>5.7549796E-2</v>
      </c>
      <c r="E245" s="207">
        <f>$D$9+-1.936967*$E$9</f>
        <v>0.10911208770254634</v>
      </c>
      <c r="F245" s="207">
        <f>$D$10+0.666573*$E$10</f>
        <v>0.15299887599999989</v>
      </c>
      <c r="G245" s="208">
        <f>$F245*(1-'Sensitivity &amp; Scenarios'!$C$12)+'Sensitivity &amp; Scenarios'!$C$9*'Sensitivity &amp; Scenarios'!$C$12-'Sensitivity &amp; Scenarios'!$C$10</f>
        <v>8.3684476999264623E-2</v>
      </c>
      <c r="H245" s="209">
        <f>('Sensitivity &amp; Scenarios'!$C$6*(1+$E245)^1*$G245+'Sensitivity &amp; Scenarios'!$C$11*'Sensitivity &amp; Scenarios'!$C$6*((1+$E245)^1-(1+$E245)^0))*'Sensitivity &amp; Scenarios'!$C$18/(1+$C245)^'Sensitivity &amp; Scenarios'!$C$18+('Sensitivity &amp; Scenarios'!$C$6*(1+$E245)^2*$G245+'Sensitivity &amp; Scenarios'!$C$11*'Sensitivity &amp; Scenarios'!$C$6*((1+$E245)^2-(1+$E245)^1))/(1+$C245)^('Sensitivity &amp; Scenarios'!$C$18+1)+('Sensitivity &amp; Scenarios'!$C$6*(1+$E245)^3*$G245+'Sensitivity &amp; Scenarios'!$C$11*'Sensitivity &amp; Scenarios'!$C$6*((1+$E245)^3-(1+$E245)^2))/(1+$C245)^('Sensitivity &amp; Scenarios'!$C$18+2)+('Sensitivity &amp; Scenarios'!$C$6*(1+$E245)^4*$G245+'Sensitivity &amp; Scenarios'!$C$11*'Sensitivity &amp; Scenarios'!$C$6*((1+$E245)^4-(1+$E245)^3))/(1+$C245)^('Sensitivity &amp; Scenarios'!$C$18+3)+('Sensitivity &amp; Scenarios'!$C$6*(1+$E245)^5*$G245+'Sensitivity &amp; Scenarios'!$C$11*'Sensitivity &amp; Scenarios'!$C$6*((1+$E245)^5-(1+$E245)^4))/(1+$C245)^('Sensitivity &amp; Scenarios'!$C$18+4)</f>
        <v>19881.441586657504</v>
      </c>
      <c r="I245" s="209">
        <f>('Sensitivity &amp; Scenarios'!$C$6*(1+$E245)^5*$G245+'Sensitivity &amp; Scenarios'!$C$11*'Sensitivity &amp; Scenarios'!$C$6*((1+$E245)^5-(1+$E245)^4))*(1+$D245)/($C245-$D245)/(1+$C245)^('Sensitivity &amp; Scenarios'!$C$18+4)</f>
        <v>51637.999182584128</v>
      </c>
      <c r="J245" s="209">
        <f>($H245+$I245-'Sensitivity &amp; Scenarios'!$C$15+'Sensitivity &amp; Scenarios'!$C$16)/'Sensitivity &amp; Scenarios'!$C$17</f>
        <v>1791.9578756264846</v>
      </c>
    </row>
    <row r="246" spans="2:10" x14ac:dyDescent="0.3">
      <c r="B246" s="127">
        <v>216</v>
      </c>
      <c r="C246" s="206">
        <f>$D$7+-0.982019*$E$7</f>
        <v>0.12773206943997797</v>
      </c>
      <c r="D246" s="206">
        <f>MIN($D$8+-1.442299*$E$8,'Debt &amp; Cost of Capital'!$C$38)</f>
        <v>4.6346206000000001E-2</v>
      </c>
      <c r="E246" s="207">
        <f>$D$9+-0.058411*$E$9</f>
        <v>0.16546876770254634</v>
      </c>
      <c r="F246" s="207">
        <f>$D$10+0.083981*$E$10</f>
        <v>0.1460077719999999</v>
      </c>
      <c r="G246" s="208">
        <f>$F246*(1-'Sensitivity &amp; Scenarios'!$C$12)+'Sensitivity &amp; Scenarios'!$C$9*'Sensitivity &amp; Scenarios'!$C$12-'Sensitivity &amp; Scenarios'!$C$10</f>
        <v>7.8453033876064629E-2</v>
      </c>
      <c r="H246" s="209">
        <f>('Sensitivity &amp; Scenarios'!$C$6*(1+$E246)^1*$G246+'Sensitivity &amp; Scenarios'!$C$11*'Sensitivity &amp; Scenarios'!$C$6*((1+$E246)^1-(1+$E246)^0))*'Sensitivity &amp; Scenarios'!$C$18/(1+$C246)^'Sensitivity &amp; Scenarios'!$C$18+('Sensitivity &amp; Scenarios'!$C$6*(1+$E246)^2*$G246+'Sensitivity &amp; Scenarios'!$C$11*'Sensitivity &amp; Scenarios'!$C$6*((1+$E246)^2-(1+$E246)^1))/(1+$C246)^('Sensitivity &amp; Scenarios'!$C$18+1)+('Sensitivity &amp; Scenarios'!$C$6*(1+$E246)^3*$G246+'Sensitivity &amp; Scenarios'!$C$11*'Sensitivity &amp; Scenarios'!$C$6*((1+$E246)^3-(1+$E246)^2))/(1+$C246)^('Sensitivity &amp; Scenarios'!$C$18+2)+('Sensitivity &amp; Scenarios'!$C$6*(1+$E246)^4*$G246+'Sensitivity &amp; Scenarios'!$C$11*'Sensitivity &amp; Scenarios'!$C$6*((1+$E246)^4-(1+$E246)^3))/(1+$C246)^('Sensitivity &amp; Scenarios'!$C$18+3)+('Sensitivity &amp; Scenarios'!$C$6*(1+$E246)^5*$G246+'Sensitivity &amp; Scenarios'!$C$11*'Sensitivity &amp; Scenarios'!$C$6*((1+$E246)^5-(1+$E246)^4))/(1+$C246)^('Sensitivity &amp; Scenarios'!$C$18+4)</f>
        <v>23912.86783692141</v>
      </c>
      <c r="I246" s="209">
        <f>('Sensitivity &amp; Scenarios'!$C$6*(1+$E246)^5*$G246+'Sensitivity &amp; Scenarios'!$C$11*'Sensitivity &amp; Scenarios'!$C$6*((1+$E246)^5-(1+$E246)^4))*(1+$D246)/($C246-$D246)/(1+$C246)^('Sensitivity &amp; Scenarios'!$C$18+4)</f>
        <v>70437.612555786967</v>
      </c>
      <c r="J246" s="209">
        <f>($H246+$I246-'Sensitivity &amp; Scenarios'!$C$15+'Sensitivity &amp; Scenarios'!$C$16)/'Sensitivity &amp; Scenarios'!$C$17</f>
        <v>2272.5233220282335</v>
      </c>
    </row>
    <row r="247" spans="2:10" x14ac:dyDescent="0.3">
      <c r="B247" s="127">
        <v>217</v>
      </c>
      <c r="C247" s="206">
        <f>$D$7+-0.693506*$E$7</f>
        <v>0.13061719943997799</v>
      </c>
      <c r="D247" s="206">
        <f>MIN($D$8+0.831032*$E$8,'Debt &amp; Cost of Capital'!$C$38)</f>
        <v>5.9986192000000001E-2</v>
      </c>
      <c r="E247" s="207">
        <f>$D$9+-1.342175*$E$9</f>
        <v>0.12695584770254634</v>
      </c>
      <c r="F247" s="207">
        <f>$D$10+-0.406944*$E$10</f>
        <v>0.14011667199999991</v>
      </c>
      <c r="G247" s="208">
        <f>$F247*(1-'Sensitivity &amp; Scenarios'!$C$12)+'Sensitivity &amp; Scenarios'!$C$9*'Sensitivity &amp; Scenarios'!$C$12-'Sensitivity &amp; Scenarios'!$C$10</f>
        <v>7.4044723746064647E-2</v>
      </c>
      <c r="H247" s="209">
        <f>('Sensitivity &amp; Scenarios'!$C$6*(1+$E247)^1*$G247+'Sensitivity &amp; Scenarios'!$C$11*'Sensitivity &amp; Scenarios'!$C$6*((1+$E247)^1-(1+$E247)^0))*'Sensitivity &amp; Scenarios'!$C$18/(1+$C247)^'Sensitivity &amp; Scenarios'!$C$18+('Sensitivity &amp; Scenarios'!$C$6*(1+$E247)^2*$G247+'Sensitivity &amp; Scenarios'!$C$11*'Sensitivity &amp; Scenarios'!$C$6*((1+$E247)^2-(1+$E247)^1))/(1+$C247)^('Sensitivity &amp; Scenarios'!$C$18+1)+('Sensitivity &amp; Scenarios'!$C$6*(1+$E247)^3*$G247+'Sensitivity &amp; Scenarios'!$C$11*'Sensitivity &amp; Scenarios'!$C$6*((1+$E247)^3-(1+$E247)^2))/(1+$C247)^('Sensitivity &amp; Scenarios'!$C$18+2)+('Sensitivity &amp; Scenarios'!$C$6*(1+$E247)^4*$G247+'Sensitivity &amp; Scenarios'!$C$11*'Sensitivity &amp; Scenarios'!$C$6*((1+$E247)^4-(1+$E247)^3))/(1+$C247)^('Sensitivity &amp; Scenarios'!$C$18+3)+('Sensitivity &amp; Scenarios'!$C$6*(1+$E247)^5*$G247+'Sensitivity &amp; Scenarios'!$C$11*'Sensitivity &amp; Scenarios'!$C$6*((1+$E247)^5-(1+$E247)^4))/(1+$C247)^('Sensitivity &amp; Scenarios'!$C$18+4)</f>
        <v>19600.288012564182</v>
      </c>
      <c r="I247" s="209">
        <f>('Sensitivity &amp; Scenarios'!$C$6*(1+$E247)^5*$G247+'Sensitivity &amp; Scenarios'!$C$11*'Sensitivity &amp; Scenarios'!$C$6*((1+$E247)^5-(1+$E247)^4))*(1+$D247)/($C247-$D247)/(1+$C247)^('Sensitivity &amp; Scenarios'!$C$18+4)</f>
        <v>63112.916689763792</v>
      </c>
      <c r="J247" s="209">
        <f>($H247+$I247-'Sensitivity &amp; Scenarios'!$C$15+'Sensitivity &amp; Scenarios'!$C$16)/'Sensitivity &amp; Scenarios'!$C$17</f>
        <v>2027.5729089379904</v>
      </c>
    </row>
    <row r="248" spans="2:10" x14ac:dyDescent="0.3">
      <c r="B248" s="127">
        <v>218</v>
      </c>
      <c r="C248" s="206">
        <f>$D$7+-0.584874*$E$7</f>
        <v>0.13170351943997799</v>
      </c>
      <c r="D248" s="206">
        <f>MIN($D$8+-0.046587*$E$8,'Debt &amp; Cost of Capital'!$C$38)</f>
        <v>5.4720478000000003E-2</v>
      </c>
      <c r="E248" s="207">
        <f>$D$9+0.278864*$E$9</f>
        <v>0.17558701770254634</v>
      </c>
      <c r="F248" s="207">
        <f>$D$10+-1.007893*$E$10</f>
        <v>0.1329052839999999</v>
      </c>
      <c r="G248" s="208">
        <f>$F248*(1-'Sensitivity &amp; Scenarios'!$C$12)+'Sensitivity &amp; Scenarios'!$C$9*'Sensitivity &amp; Scenarios'!$C$12-'Sensitivity &amp; Scenarios'!$C$10</f>
        <v>6.8648442105664634E-2</v>
      </c>
      <c r="H248" s="209">
        <f>('Sensitivity &amp; Scenarios'!$C$6*(1+$E248)^1*$G248+'Sensitivity &amp; Scenarios'!$C$11*'Sensitivity &amp; Scenarios'!$C$6*((1+$E248)^1-(1+$E248)^0))*'Sensitivity &amp; Scenarios'!$C$18/(1+$C248)^'Sensitivity &amp; Scenarios'!$C$18+('Sensitivity &amp; Scenarios'!$C$6*(1+$E248)^2*$G248+'Sensitivity &amp; Scenarios'!$C$11*'Sensitivity &amp; Scenarios'!$C$6*((1+$E248)^2-(1+$E248)^1))/(1+$C248)^('Sensitivity &amp; Scenarios'!$C$18+1)+('Sensitivity &amp; Scenarios'!$C$6*(1+$E248)^3*$G248+'Sensitivity &amp; Scenarios'!$C$11*'Sensitivity &amp; Scenarios'!$C$6*((1+$E248)^3-(1+$E248)^2))/(1+$C248)^('Sensitivity &amp; Scenarios'!$C$18+2)+('Sensitivity &amp; Scenarios'!$C$6*(1+$E248)^4*$G248+'Sensitivity &amp; Scenarios'!$C$11*'Sensitivity &amp; Scenarios'!$C$6*((1+$E248)^4-(1+$E248)^3))/(1+$C248)^('Sensitivity &amp; Scenarios'!$C$18+3)+('Sensitivity &amp; Scenarios'!$C$6*(1+$E248)^5*$G248+'Sensitivity &amp; Scenarios'!$C$11*'Sensitivity &amp; Scenarios'!$C$6*((1+$E248)^5-(1+$E248)^4))/(1+$C248)^('Sensitivity &amp; Scenarios'!$C$18+4)</f>
        <v>22015.858901075695</v>
      </c>
      <c r="I248" s="209">
        <f>('Sensitivity &amp; Scenarios'!$C$6*(1+$E248)^5*$G248+'Sensitivity &amp; Scenarios'!$C$11*'Sensitivity &amp; Scenarios'!$C$6*((1+$E248)^5-(1+$E248)^4))*(1+$D248)/($C248-$D248)/(1+$C248)^('Sensitivity &amp; Scenarios'!$C$18+4)</f>
        <v>69740.190675270351</v>
      </c>
      <c r="J248" s="209">
        <f>($H248+$I248-'Sensitivity &amp; Scenarios'!$C$15+'Sensitivity &amp; Scenarios'!$C$16)/'Sensitivity &amp; Scenarios'!$C$17</f>
        <v>2217.9137280725504</v>
      </c>
    </row>
    <row r="249" spans="2:10" x14ac:dyDescent="0.3">
      <c r="B249" s="127">
        <v>219</v>
      </c>
      <c r="C249" s="206">
        <f>$D$7+0.724283*$E$7</f>
        <v>0.14479508943997799</v>
      </c>
      <c r="D249" s="206">
        <f>MIN($D$8+0.063002*$E$8,'Debt &amp; Cost of Capital'!$C$38)</f>
        <v>5.5378011999999997E-2</v>
      </c>
      <c r="E249" s="207">
        <f>$D$9+-1.891946*$E$9</f>
        <v>0.11046271770254634</v>
      </c>
      <c r="F249" s="207">
        <f>$D$10+-1.958591*$E$10</f>
        <v>0.1214969079999999</v>
      </c>
      <c r="G249" s="208">
        <f>$F249*(1-'Sensitivity &amp; Scenarios'!$C$12)+'Sensitivity &amp; Scenarios'!$C$9*'Sensitivity &amp; Scenarios'!$C$12-'Sensitivity &amp; Scenarios'!$C$10</f>
        <v>6.0111554344864634E-2</v>
      </c>
      <c r="H249" s="209">
        <f>('Sensitivity &amp; Scenarios'!$C$6*(1+$E249)^1*$G249+'Sensitivity &amp; Scenarios'!$C$11*'Sensitivity &amp; Scenarios'!$C$6*((1+$E249)^1-(1+$E249)^0))*'Sensitivity &amp; Scenarios'!$C$18/(1+$C249)^'Sensitivity &amp; Scenarios'!$C$18+('Sensitivity &amp; Scenarios'!$C$6*(1+$E249)^2*$G249+'Sensitivity &amp; Scenarios'!$C$11*'Sensitivity &amp; Scenarios'!$C$6*((1+$E249)^2-(1+$E249)^1))/(1+$C249)^('Sensitivity &amp; Scenarios'!$C$18+1)+('Sensitivity &amp; Scenarios'!$C$6*(1+$E249)^3*$G249+'Sensitivity &amp; Scenarios'!$C$11*'Sensitivity &amp; Scenarios'!$C$6*((1+$E249)^3-(1+$E249)^2))/(1+$C249)^('Sensitivity &amp; Scenarios'!$C$18+2)+('Sensitivity &amp; Scenarios'!$C$6*(1+$E249)^4*$G249+'Sensitivity &amp; Scenarios'!$C$11*'Sensitivity &amp; Scenarios'!$C$6*((1+$E249)^4-(1+$E249)^3))/(1+$C249)^('Sensitivity &amp; Scenarios'!$C$18+3)+('Sensitivity &amp; Scenarios'!$C$6*(1+$E249)^5*$G249+'Sensitivity &amp; Scenarios'!$C$11*'Sensitivity &amp; Scenarios'!$C$6*((1+$E249)^5-(1+$E249)^4))/(1+$C249)^('Sensitivity &amp; Scenarios'!$C$18+4)</f>
        <v>14865.607382018432</v>
      </c>
      <c r="I249" s="209">
        <f>('Sensitivity &amp; Scenarios'!$C$6*(1+$E249)^5*$G249+'Sensitivity &amp; Scenarios'!$C$11*'Sensitivity &amp; Scenarios'!$C$6*((1+$E249)^5-(1+$E249)^4))*(1+$D249)/($C249-$D249)/(1+$C249)^('Sensitivity &amp; Scenarios'!$C$18+4)</f>
        <v>35776.810334747272</v>
      </c>
      <c r="J249" s="209">
        <f>($H249+$I249-'Sensitivity &amp; Scenarios'!$C$15+'Sensitivity &amp; Scenarios'!$C$16)/'Sensitivity &amp; Scenarios'!$C$17</f>
        <v>1352.5220869714399</v>
      </c>
    </row>
    <row r="250" spans="2:10" x14ac:dyDescent="0.3">
      <c r="B250" s="127">
        <v>220</v>
      </c>
      <c r="C250" s="206">
        <f>$D$7+-0.012319*$E$7</f>
        <v>0.13742906943997799</v>
      </c>
      <c r="D250" s="206">
        <f>MIN($D$8+-0.220967*$E$8,'Debt &amp; Cost of Capital'!$C$38)</f>
        <v>5.3674197999999999E-2</v>
      </c>
      <c r="E250" s="207">
        <f>$D$9+-0.10342*$E$9</f>
        <v>0.16411849770254633</v>
      </c>
      <c r="F250" s="207">
        <f>$D$10+-0.027982*$E$10</f>
        <v>0.1446642159999999</v>
      </c>
      <c r="G250" s="208">
        <f>$F250*(1-'Sensitivity &amp; Scenarios'!$C$12)+'Sensitivity &amp; Scenarios'!$C$9*'Sensitivity &amp; Scenarios'!$C$12-'Sensitivity &amp; Scenarios'!$C$10</f>
        <v>7.7447650921264627E-2</v>
      </c>
      <c r="H250" s="209">
        <f>('Sensitivity &amp; Scenarios'!$C$6*(1+$E250)^1*$G250+'Sensitivity &amp; Scenarios'!$C$11*'Sensitivity &amp; Scenarios'!$C$6*((1+$E250)^1-(1+$E250)^0))*'Sensitivity &amp; Scenarios'!$C$18/(1+$C250)^'Sensitivity &amp; Scenarios'!$C$18+('Sensitivity &amp; Scenarios'!$C$6*(1+$E250)^2*$G250+'Sensitivity &amp; Scenarios'!$C$11*'Sensitivity &amp; Scenarios'!$C$6*((1+$E250)^2-(1+$E250)^1))/(1+$C250)^('Sensitivity &amp; Scenarios'!$C$18+1)+('Sensitivity &amp; Scenarios'!$C$6*(1+$E250)^3*$G250+'Sensitivity &amp; Scenarios'!$C$11*'Sensitivity &amp; Scenarios'!$C$6*((1+$E250)^3-(1+$E250)^2))/(1+$C250)^('Sensitivity &amp; Scenarios'!$C$18+2)+('Sensitivity &amp; Scenarios'!$C$6*(1+$E250)^4*$G250+'Sensitivity &amp; Scenarios'!$C$11*'Sensitivity &amp; Scenarios'!$C$6*((1+$E250)^4-(1+$E250)^3))/(1+$C250)^('Sensitivity &amp; Scenarios'!$C$18+3)+('Sensitivity &amp; Scenarios'!$C$6*(1+$E250)^5*$G250+'Sensitivity &amp; Scenarios'!$C$11*'Sensitivity &amp; Scenarios'!$C$6*((1+$E250)^5-(1+$E250)^4))/(1+$C250)^('Sensitivity &amp; Scenarios'!$C$18+4)</f>
        <v>22975.753289275057</v>
      </c>
      <c r="I250" s="209">
        <f>('Sensitivity &amp; Scenarios'!$C$6*(1+$E250)^5*$G250+'Sensitivity &amp; Scenarios'!$C$11*'Sensitivity &amp; Scenarios'!$C$6*((1+$E250)^5-(1+$E250)^4))*(1+$D250)/($C250-$D250)/(1+$C250)^('Sensitivity &amp; Scenarios'!$C$18+4)</f>
        <v>65080.766888822065</v>
      </c>
      <c r="J250" s="209">
        <f>($H250+$I250-'Sensitivity &amp; Scenarios'!$C$15+'Sensitivity &amp; Scenarios'!$C$16)/'Sensitivity &amp; Scenarios'!$C$17</f>
        <v>2140.0431612448133</v>
      </c>
    </row>
    <row r="251" spans="2:10" x14ac:dyDescent="0.3">
      <c r="B251" s="127">
        <v>221</v>
      </c>
      <c r="C251" s="206">
        <f>$D$7+0.22556*$E$7</f>
        <v>0.13980785943997798</v>
      </c>
      <c r="D251" s="206">
        <f>MIN($D$8+0.94765*$E$8,'Debt &amp; Cost of Capital'!$C$38)</f>
        <v>6.0685900000000001E-2</v>
      </c>
      <c r="E251" s="207">
        <f>$D$9+-1.111105*$E$9</f>
        <v>0.13388794770254633</v>
      </c>
      <c r="F251" s="207">
        <f>$D$10+-1.171972*$E$10</f>
        <v>0.1309363359999999</v>
      </c>
      <c r="G251" s="208">
        <f>$F251*(1-'Sensitivity &amp; Scenarios'!$C$12)+'Sensitivity &amp; Scenarios'!$C$9*'Sensitivity &amp; Scenarios'!$C$12-'Sensitivity &amp; Scenarios'!$C$10</f>
        <v>6.717507831726463E-2</v>
      </c>
      <c r="H251" s="209">
        <f>('Sensitivity &amp; Scenarios'!$C$6*(1+$E251)^1*$G251+'Sensitivity &amp; Scenarios'!$C$11*'Sensitivity &amp; Scenarios'!$C$6*((1+$E251)^1-(1+$E251)^0))*'Sensitivity &amp; Scenarios'!$C$18/(1+$C251)^'Sensitivity &amp; Scenarios'!$C$18+('Sensitivity &amp; Scenarios'!$C$6*(1+$E251)^2*$G251+'Sensitivity &amp; Scenarios'!$C$11*'Sensitivity &amp; Scenarios'!$C$6*((1+$E251)^2-(1+$E251)^1))/(1+$C251)^('Sensitivity &amp; Scenarios'!$C$18+1)+('Sensitivity &amp; Scenarios'!$C$6*(1+$E251)^3*$G251+'Sensitivity &amp; Scenarios'!$C$11*'Sensitivity &amp; Scenarios'!$C$6*((1+$E251)^3-(1+$E251)^2))/(1+$C251)^('Sensitivity &amp; Scenarios'!$C$18+2)+('Sensitivity &amp; Scenarios'!$C$6*(1+$E251)^4*$G251+'Sensitivity &amp; Scenarios'!$C$11*'Sensitivity &amp; Scenarios'!$C$6*((1+$E251)^4-(1+$E251)^3))/(1+$C251)^('Sensitivity &amp; Scenarios'!$C$18+3)+('Sensitivity &amp; Scenarios'!$C$6*(1+$E251)^5*$G251+'Sensitivity &amp; Scenarios'!$C$11*'Sensitivity &amp; Scenarios'!$C$6*((1+$E251)^5-(1+$E251)^4))/(1+$C251)^('Sensitivity &amp; Scenarios'!$C$18+4)</f>
        <v>18119.500959230256</v>
      </c>
      <c r="I251" s="209">
        <f>('Sensitivity &amp; Scenarios'!$C$6*(1+$E251)^5*$G251+'Sensitivity &amp; Scenarios'!$C$11*'Sensitivity &amp; Scenarios'!$C$6*((1+$E251)^5-(1+$E251)^4))*(1+$D251)/($C251-$D251)/(1+$C251)^('Sensitivity &amp; Scenarios'!$C$18+4)</f>
        <v>51928.999421392567</v>
      </c>
      <c r="J251" s="209">
        <f>($H251+$I251-'Sensitivity &amp; Scenarios'!$C$15+'Sensitivity &amp; Scenarios'!$C$16)/'Sensitivity &amp; Scenarios'!$C$17</f>
        <v>1760.9963803925839</v>
      </c>
    </row>
    <row r="252" spans="2:10" x14ac:dyDescent="0.3">
      <c r="B252" s="127">
        <v>222</v>
      </c>
      <c r="C252" s="206">
        <f>$D$7+-1.093324*$E$7</f>
        <v>0.12661901943997797</v>
      </c>
      <c r="D252" s="206">
        <f>MIN($D$8+0.288917*$E$8,'Debt &amp; Cost of Capital'!$C$38)</f>
        <v>5.6733501999999998E-2</v>
      </c>
      <c r="E252" s="207">
        <f>$D$9+1.244947*$E$9</f>
        <v>0.20456950770254634</v>
      </c>
      <c r="F252" s="207">
        <f>$D$10+-0.431339*$E$10</f>
        <v>0.1398239319999999</v>
      </c>
      <c r="G252" s="208">
        <f>$F252*(1-'Sensitivity &amp; Scenarios'!$C$12)+'Sensitivity &amp; Scenarios'!$C$9*'Sensitivity &amp; Scenarios'!$C$12-'Sensitivity &amp; Scenarios'!$C$10</f>
        <v>7.3825666404064627E-2</v>
      </c>
      <c r="H252" s="209">
        <f>('Sensitivity &amp; Scenarios'!$C$6*(1+$E252)^1*$G252+'Sensitivity &amp; Scenarios'!$C$11*'Sensitivity &amp; Scenarios'!$C$6*((1+$E252)^1-(1+$E252)^0))*'Sensitivity &amp; Scenarios'!$C$18/(1+$C252)^'Sensitivity &amp; Scenarios'!$C$18+('Sensitivity &amp; Scenarios'!$C$6*(1+$E252)^2*$G252+'Sensitivity &amp; Scenarios'!$C$11*'Sensitivity &amp; Scenarios'!$C$6*((1+$E252)^2-(1+$E252)^1))/(1+$C252)^('Sensitivity &amp; Scenarios'!$C$18+1)+('Sensitivity &amp; Scenarios'!$C$6*(1+$E252)^3*$G252+'Sensitivity &amp; Scenarios'!$C$11*'Sensitivity &amp; Scenarios'!$C$6*((1+$E252)^3-(1+$E252)^2))/(1+$C252)^('Sensitivity &amp; Scenarios'!$C$18+2)+('Sensitivity &amp; Scenarios'!$C$6*(1+$E252)^4*$G252+'Sensitivity &amp; Scenarios'!$C$11*'Sensitivity &amp; Scenarios'!$C$6*((1+$E252)^4-(1+$E252)^3))/(1+$C252)^('Sensitivity &amp; Scenarios'!$C$18+3)+('Sensitivity &amp; Scenarios'!$C$6*(1+$E252)^5*$G252+'Sensitivity &amp; Scenarios'!$C$11*'Sensitivity &amp; Scenarios'!$C$6*((1+$E252)^5-(1+$E252)^4))/(1+$C252)^('Sensitivity &amp; Scenarios'!$C$18+4)</f>
        <v>26251.025789114756</v>
      </c>
      <c r="I252" s="209">
        <f>('Sensitivity &amp; Scenarios'!$C$6*(1+$E252)^5*$G252+'Sensitivity &amp; Scenarios'!$C$11*'Sensitivity &amp; Scenarios'!$C$6*((1+$E252)^5-(1+$E252)^4))*(1+$D252)/($C252-$D252)/(1+$C252)^('Sensitivity &amp; Scenarios'!$C$18+4)</f>
        <v>96520.541979941496</v>
      </c>
      <c r="J252" s="209">
        <f>($H252+$I252-'Sensitivity &amp; Scenarios'!$C$15+'Sensitivity &amp; Scenarios'!$C$16)/'Sensitivity &amp; Scenarios'!$C$17</f>
        <v>2870.7524332509747</v>
      </c>
    </row>
    <row r="253" spans="2:10" x14ac:dyDescent="0.3">
      <c r="B253" s="127">
        <v>223</v>
      </c>
      <c r="C253" s="206">
        <f>$D$7+-2.5017*$E$7</f>
        <v>0.11253525943997798</v>
      </c>
      <c r="D253" s="206">
        <f>MIN($D$8+-1.703993*$E$8,'Debt &amp; Cost of Capital'!$C$38)</f>
        <v>4.4776042000000002E-2</v>
      </c>
      <c r="E253" s="207">
        <f>$D$9+-0.833037*$E$9</f>
        <v>0.14222998770254633</v>
      </c>
      <c r="F253" s="207">
        <f>$D$10+-0.557729*$E$10</f>
        <v>0.13830725199999991</v>
      </c>
      <c r="G253" s="208">
        <f>$F253*(1-'Sensitivity &amp; Scenarios'!$C$12)+'Sensitivity &amp; Scenarios'!$C$9*'Sensitivity &amp; Scenarios'!$C$12-'Sensitivity &amp; Scenarios'!$C$10</f>
        <v>7.2690734760064643E-2</v>
      </c>
      <c r="H253" s="209">
        <f>('Sensitivity &amp; Scenarios'!$C$6*(1+$E253)^1*$G253+'Sensitivity &amp; Scenarios'!$C$11*'Sensitivity &amp; Scenarios'!$C$6*((1+$E253)^1-(1+$E253)^0))*'Sensitivity &amp; Scenarios'!$C$18/(1+$C253)^'Sensitivity &amp; Scenarios'!$C$18+('Sensitivity &amp; Scenarios'!$C$6*(1+$E253)^2*$G253+'Sensitivity &amp; Scenarios'!$C$11*'Sensitivity &amp; Scenarios'!$C$6*((1+$E253)^2-(1+$E253)^1))/(1+$C253)^('Sensitivity &amp; Scenarios'!$C$18+1)+('Sensitivity &amp; Scenarios'!$C$6*(1+$E253)^3*$G253+'Sensitivity &amp; Scenarios'!$C$11*'Sensitivity &amp; Scenarios'!$C$6*((1+$E253)^3-(1+$E253)^2))/(1+$C253)^('Sensitivity &amp; Scenarios'!$C$18+2)+('Sensitivity &amp; Scenarios'!$C$6*(1+$E253)^4*$G253+'Sensitivity &amp; Scenarios'!$C$11*'Sensitivity &amp; Scenarios'!$C$6*((1+$E253)^4-(1+$E253)^3))/(1+$C253)^('Sensitivity &amp; Scenarios'!$C$18+3)+('Sensitivity &amp; Scenarios'!$C$6*(1+$E253)^5*$G253+'Sensitivity &amp; Scenarios'!$C$11*'Sensitivity &amp; Scenarios'!$C$6*((1+$E253)^5-(1+$E253)^4))/(1+$C253)^('Sensitivity &amp; Scenarios'!$C$18+4)</f>
        <v>21394.284372443559</v>
      </c>
      <c r="I253" s="209">
        <f>('Sensitivity &amp; Scenarios'!$C$6*(1+$E253)^5*$G253+'Sensitivity &amp; Scenarios'!$C$11*'Sensitivity &amp; Scenarios'!$C$6*((1+$E253)^5-(1+$E253)^4))*(1+$D253)/($C253-$D253)/(1+$C253)^('Sensitivity &amp; Scenarios'!$C$18+4)</f>
        <v>74695.599644169808</v>
      </c>
      <c r="J253" s="209">
        <f>($H253+$I253-'Sensitivity &amp; Scenarios'!$C$15+'Sensitivity &amp; Scenarios'!$C$16)/'Sensitivity &amp; Scenarios'!$C$17</f>
        <v>2309.1356398543362</v>
      </c>
    </row>
    <row r="254" spans="2:10" x14ac:dyDescent="0.3">
      <c r="B254" s="127">
        <v>224</v>
      </c>
      <c r="C254" s="206">
        <f>$D$7+-0.408389*$E$7</f>
        <v>0.13346836943997797</v>
      </c>
      <c r="D254" s="206">
        <f>MIN($D$8+0.038581*$E$8,'Debt &amp; Cost of Capital'!$C$38)</f>
        <v>5.5231486000000003E-2</v>
      </c>
      <c r="E254" s="207">
        <f>$D$9+-0.311746*$E$9</f>
        <v>0.15786871770254635</v>
      </c>
      <c r="F254" s="207">
        <f>$D$10+1.04934*$E$10</f>
        <v>0.15759207999999991</v>
      </c>
      <c r="G254" s="208">
        <f>$F254*(1-'Sensitivity &amp; Scenarios'!$C$12)+'Sensitivity &amp; Scenarios'!$C$9*'Sensitivity &amp; Scenarios'!$C$12-'Sensitivity &amp; Scenarios'!$C$10</f>
        <v>8.7121571552464638E-2</v>
      </c>
      <c r="H254" s="209">
        <f>('Sensitivity &amp; Scenarios'!$C$6*(1+$E254)^1*$G254+'Sensitivity &amp; Scenarios'!$C$11*'Sensitivity &amp; Scenarios'!$C$6*((1+$E254)^1-(1+$E254)^0))*'Sensitivity &amp; Scenarios'!$C$18/(1+$C254)^'Sensitivity &amp; Scenarios'!$C$18+('Sensitivity &amp; Scenarios'!$C$6*(1+$E254)^2*$G254+'Sensitivity &amp; Scenarios'!$C$11*'Sensitivity &amp; Scenarios'!$C$6*((1+$E254)^2-(1+$E254)^1))/(1+$C254)^('Sensitivity &amp; Scenarios'!$C$18+1)+('Sensitivity &amp; Scenarios'!$C$6*(1+$E254)^3*$G254+'Sensitivity &amp; Scenarios'!$C$11*'Sensitivity &amp; Scenarios'!$C$6*((1+$E254)^3-(1+$E254)^2))/(1+$C254)^('Sensitivity &amp; Scenarios'!$C$18+2)+('Sensitivity &amp; Scenarios'!$C$6*(1+$E254)^4*$G254+'Sensitivity &amp; Scenarios'!$C$11*'Sensitivity &amp; Scenarios'!$C$6*((1+$E254)^4-(1+$E254)^3))/(1+$C254)^('Sensitivity &amp; Scenarios'!$C$18+3)+('Sensitivity &amp; Scenarios'!$C$6*(1+$E254)^5*$G254+'Sensitivity &amp; Scenarios'!$C$11*'Sensitivity &amp; Scenarios'!$C$6*((1+$E254)^5-(1+$E254)^4))/(1+$C254)^('Sensitivity &amp; Scenarios'!$C$18+4)</f>
        <v>25056.141480126436</v>
      </c>
      <c r="I254" s="209">
        <f>('Sensitivity &amp; Scenarios'!$C$6*(1+$E254)^5*$G254+'Sensitivity &amp; Scenarios'!$C$11*'Sensitivity &amp; Scenarios'!$C$6*((1+$E254)^5-(1+$E254)^4))*(1+$D254)/($C254-$D254)/(1+$C254)^('Sensitivity &amp; Scenarios'!$C$18+4)</f>
        <v>75832.390970710345</v>
      </c>
      <c r="J254" s="209">
        <f>($H254+$I254-'Sensitivity &amp; Scenarios'!$C$15+'Sensitivity &amp; Scenarios'!$C$16)/'Sensitivity &amp; Scenarios'!$C$17</f>
        <v>2410.1413174296731</v>
      </c>
    </row>
    <row r="255" spans="2:10" x14ac:dyDescent="0.3">
      <c r="B255" s="127">
        <v>225</v>
      </c>
      <c r="C255" s="206">
        <f>$D$7+-0.676017*$E$7</f>
        <v>0.13079208943997797</v>
      </c>
      <c r="D255" s="206">
        <f>MIN($D$8+-0.862318*$E$8,'Debt &amp; Cost of Capital'!$C$38)</f>
        <v>4.9826092000000002E-2</v>
      </c>
      <c r="E255" s="207">
        <f>$D$9+0.478876*$E$9</f>
        <v>0.18158737770254635</v>
      </c>
      <c r="F255" s="207">
        <f>$D$10+-1.535642*$E$10</f>
        <v>0.12657229599999992</v>
      </c>
      <c r="G255" s="208">
        <f>$F255*(1-'Sensitivity &amp; Scenarios'!$C$12)+'Sensitivity &amp; Scenarios'!$C$9*'Sensitivity &amp; Scenarios'!$C$12-'Sensitivity &amp; Scenarios'!$C$10</f>
        <v>6.3909467185264648E-2</v>
      </c>
      <c r="H255" s="209">
        <f>('Sensitivity &amp; Scenarios'!$C$6*(1+$E255)^1*$G255+'Sensitivity &amp; Scenarios'!$C$11*'Sensitivity &amp; Scenarios'!$C$6*((1+$E255)^1-(1+$E255)^0))*'Sensitivity &amp; Scenarios'!$C$18/(1+$C255)^'Sensitivity &amp; Scenarios'!$C$18+('Sensitivity &amp; Scenarios'!$C$6*(1+$E255)^2*$G255+'Sensitivity &amp; Scenarios'!$C$11*'Sensitivity &amp; Scenarios'!$C$6*((1+$E255)^2-(1+$E255)^1))/(1+$C255)^('Sensitivity &amp; Scenarios'!$C$18+1)+('Sensitivity &amp; Scenarios'!$C$6*(1+$E255)^3*$G255+'Sensitivity &amp; Scenarios'!$C$11*'Sensitivity &amp; Scenarios'!$C$6*((1+$E255)^3-(1+$E255)^2))/(1+$C255)^('Sensitivity &amp; Scenarios'!$C$18+2)+('Sensitivity &amp; Scenarios'!$C$6*(1+$E255)^4*$G255+'Sensitivity &amp; Scenarios'!$C$11*'Sensitivity &amp; Scenarios'!$C$6*((1+$E255)^4-(1+$E255)^3))/(1+$C255)^('Sensitivity &amp; Scenarios'!$C$18+3)+('Sensitivity &amp; Scenarios'!$C$6*(1+$E255)^5*$G255+'Sensitivity &amp; Scenarios'!$C$11*'Sensitivity &amp; Scenarios'!$C$6*((1+$E255)^5-(1+$E255)^4))/(1+$C255)^('Sensitivity &amp; Scenarios'!$C$18+4)</f>
        <v>21308.674848871546</v>
      </c>
      <c r="I255" s="209">
        <f>('Sensitivity &amp; Scenarios'!$C$6*(1+$E255)^5*$G255+'Sensitivity &amp; Scenarios'!$C$11*'Sensitivity &amp; Scenarios'!$C$6*((1+$E255)^5-(1+$E255)^4))*(1+$D255)/($C255-$D255)/(1+$C255)^('Sensitivity &amp; Scenarios'!$C$18+4)</f>
        <v>64550.901207836207</v>
      </c>
      <c r="J255" s="209">
        <f>($H255+$I255-'Sensitivity &amp; Scenarios'!$C$15+'Sensitivity &amp; Scenarios'!$C$16)/'Sensitivity &amp; Scenarios'!$C$17</f>
        <v>2093.8001758255241</v>
      </c>
    </row>
    <row r="256" spans="2:10" x14ac:dyDescent="0.3">
      <c r="B256" s="127">
        <v>226</v>
      </c>
      <c r="C256" s="206">
        <f>$D$7+0.389692*$E$7</f>
        <v>0.14144917943997798</v>
      </c>
      <c r="D256" s="206">
        <f>MIN($D$8+0.102553*$E$8,'Debt &amp; Cost of Capital'!$C$38)</f>
        <v>5.5615317999999997E-2</v>
      </c>
      <c r="E256" s="207">
        <f>$D$9+-0.147442*$E$9</f>
        <v>0.16279783770254633</v>
      </c>
      <c r="F256" s="207">
        <f>$D$10+1.588276*$E$10</f>
        <v>0.1640593119999999</v>
      </c>
      <c r="G256" s="208">
        <f>$F256*(1-'Sensitivity &amp; Scenarios'!$C$12)+'Sensitivity &amp; Scenarios'!$C$9*'Sensitivity &amp; Scenarios'!$C$12-'Sensitivity &amp; Scenarios'!$C$10</f>
        <v>9.196100125806464E-2</v>
      </c>
      <c r="H256" s="209">
        <f>('Sensitivity &amp; Scenarios'!$C$6*(1+$E256)^1*$G256+'Sensitivity &amp; Scenarios'!$C$11*'Sensitivity &amp; Scenarios'!$C$6*((1+$E256)^1-(1+$E256)^0))*'Sensitivity &amp; Scenarios'!$C$18/(1+$C256)^'Sensitivity &amp; Scenarios'!$C$18+('Sensitivity &amp; Scenarios'!$C$6*(1+$E256)^2*$G256+'Sensitivity &amp; Scenarios'!$C$11*'Sensitivity &amp; Scenarios'!$C$6*((1+$E256)^2-(1+$E256)^1))/(1+$C256)^('Sensitivity &amp; Scenarios'!$C$18+1)+('Sensitivity &amp; Scenarios'!$C$6*(1+$E256)^3*$G256+'Sensitivity &amp; Scenarios'!$C$11*'Sensitivity &amp; Scenarios'!$C$6*((1+$E256)^3-(1+$E256)^2))/(1+$C256)^('Sensitivity &amp; Scenarios'!$C$18+2)+('Sensitivity &amp; Scenarios'!$C$6*(1+$E256)^4*$G256+'Sensitivity &amp; Scenarios'!$C$11*'Sensitivity &amp; Scenarios'!$C$6*((1+$E256)^4-(1+$E256)^3))/(1+$C256)^('Sensitivity &amp; Scenarios'!$C$18+3)+('Sensitivity &amp; Scenarios'!$C$6*(1+$E256)^5*$G256+'Sensitivity &amp; Scenarios'!$C$11*'Sensitivity &amp; Scenarios'!$C$6*((1+$E256)^5-(1+$E256)^4))/(1+$C256)^('Sensitivity &amp; Scenarios'!$C$18+4)</f>
        <v>26177.764757513673</v>
      </c>
      <c r="I256" s="209">
        <f>('Sensitivity &amp; Scenarios'!$C$6*(1+$E256)^5*$G256+'Sensitivity &amp; Scenarios'!$C$11*'Sensitivity &amp; Scenarios'!$C$6*((1+$E256)^5-(1+$E256)^4))*(1+$D256)/($C256-$D256)/(1+$C256)^('Sensitivity &amp; Scenarios'!$C$18+4)</f>
        <v>71880.876314483787</v>
      </c>
      <c r="J256" s="209">
        <f>($H256+$I256-'Sensitivity &amp; Scenarios'!$C$15+'Sensitivity &amp; Scenarios'!$C$16)/'Sensitivity &amp; Scenarios'!$C$17</f>
        <v>2350.575566760021</v>
      </c>
    </row>
    <row r="257" spans="2:10" x14ac:dyDescent="0.3">
      <c r="B257" s="127">
        <v>227</v>
      </c>
      <c r="C257" s="206">
        <f>$D$7+-0.622207*$E$7</f>
        <v>0.13133018943997798</v>
      </c>
      <c r="D257" s="206">
        <f>MIN($D$8+2.060298*$E$8,'Debt &amp; Cost of Capital'!$C$38)</f>
        <v>6.7361788000000006E-2</v>
      </c>
      <c r="E257" s="207">
        <f>$D$9+-0.225431*$E$9</f>
        <v>0.16045816770254634</v>
      </c>
      <c r="F257" s="207">
        <f>$D$10+-1.277016*$E$10</f>
        <v>0.12967580799999992</v>
      </c>
      <c r="G257" s="208">
        <f>$F257*(1-'Sensitivity &amp; Scenarios'!$C$12)+'Sensitivity &amp; Scenarios'!$C$9*'Sensitivity &amp; Scenarios'!$C$12-'Sensitivity &amp; Scenarios'!$C$10</f>
        <v>6.6231825214864648E-2</v>
      </c>
      <c r="H257" s="209">
        <f>('Sensitivity &amp; Scenarios'!$C$6*(1+$E257)^1*$G257+'Sensitivity &amp; Scenarios'!$C$11*'Sensitivity &amp; Scenarios'!$C$6*((1+$E257)^1-(1+$E257)^0))*'Sensitivity &amp; Scenarios'!$C$18/(1+$C257)^'Sensitivity &amp; Scenarios'!$C$18+('Sensitivity &amp; Scenarios'!$C$6*(1+$E257)^2*$G257+'Sensitivity &amp; Scenarios'!$C$11*'Sensitivity &amp; Scenarios'!$C$6*((1+$E257)^2-(1+$E257)^1))/(1+$C257)^('Sensitivity &amp; Scenarios'!$C$18+1)+('Sensitivity &amp; Scenarios'!$C$6*(1+$E257)^3*$G257+'Sensitivity &amp; Scenarios'!$C$11*'Sensitivity &amp; Scenarios'!$C$6*((1+$E257)^3-(1+$E257)^2))/(1+$C257)^('Sensitivity &amp; Scenarios'!$C$18+2)+('Sensitivity &amp; Scenarios'!$C$6*(1+$E257)^4*$G257+'Sensitivity &amp; Scenarios'!$C$11*'Sensitivity &amp; Scenarios'!$C$6*((1+$E257)^4-(1+$E257)^3))/(1+$C257)^('Sensitivity &amp; Scenarios'!$C$18+3)+('Sensitivity &amp; Scenarios'!$C$6*(1+$E257)^5*$G257+'Sensitivity &amp; Scenarios'!$C$11*'Sensitivity &amp; Scenarios'!$C$6*((1+$E257)^5-(1+$E257)^4))/(1+$C257)^('Sensitivity &amp; Scenarios'!$C$18+4)</f>
        <v>20233.9927531705</v>
      </c>
      <c r="I257" s="209">
        <f>('Sensitivity &amp; Scenarios'!$C$6*(1+$E257)^5*$G257+'Sensitivity &amp; Scenarios'!$C$11*'Sensitivity &amp; Scenarios'!$C$6*((1+$E257)^5-(1+$E257)^4))*(1+$D257)/($C257-$D257)/(1+$C257)^('Sensitivity &amp; Scenarios'!$C$18+4)</f>
        <v>76322.562809880663</v>
      </c>
      <c r="J257" s="209">
        <f>($H257+$I257-'Sensitivity &amp; Scenarios'!$C$15+'Sensitivity &amp; Scenarios'!$C$16)/'Sensitivity &amp; Scenarios'!$C$17</f>
        <v>2318.958504854595</v>
      </c>
    </row>
    <row r="258" spans="2:10" x14ac:dyDescent="0.3">
      <c r="B258" s="127">
        <v>228</v>
      </c>
      <c r="C258" s="206">
        <f>$D$7+0.06992*$E$7</f>
        <v>0.13825145943997799</v>
      </c>
      <c r="D258" s="206">
        <f>MIN($D$8+-1.076245*$E$8,'Debt &amp; Cost of Capital'!$C$38)</f>
        <v>4.854253E-2</v>
      </c>
      <c r="E258" s="207">
        <f>$D$9+-0.751756*$E$9</f>
        <v>0.14466841770254635</v>
      </c>
      <c r="F258" s="207">
        <f>$D$10+0.397033*$E$10</f>
        <v>0.14976439599999991</v>
      </c>
      <c r="G258" s="208">
        <f>$F258*(1-'Sensitivity &amp; Scenarios'!$C$12)+'Sensitivity &amp; Scenarios'!$C$9*'Sensitivity &amp; Scenarios'!$C$12-'Sensitivity &amp; Scenarios'!$C$10</f>
        <v>8.1264115615264643E-2</v>
      </c>
      <c r="H258" s="209">
        <f>('Sensitivity &amp; Scenarios'!$C$6*(1+$E258)^1*$G258+'Sensitivity &amp; Scenarios'!$C$11*'Sensitivity &amp; Scenarios'!$C$6*((1+$E258)^1-(1+$E258)^0))*'Sensitivity &amp; Scenarios'!$C$18/(1+$C258)^'Sensitivity &amp; Scenarios'!$C$18+('Sensitivity &amp; Scenarios'!$C$6*(1+$E258)^2*$G258+'Sensitivity &amp; Scenarios'!$C$11*'Sensitivity &amp; Scenarios'!$C$6*((1+$E258)^2-(1+$E258)^1))/(1+$C258)^('Sensitivity &amp; Scenarios'!$C$18+1)+('Sensitivity &amp; Scenarios'!$C$6*(1+$E258)^3*$G258+'Sensitivity &amp; Scenarios'!$C$11*'Sensitivity &amp; Scenarios'!$C$6*((1+$E258)^3-(1+$E258)^2))/(1+$C258)^('Sensitivity &amp; Scenarios'!$C$18+2)+('Sensitivity &amp; Scenarios'!$C$6*(1+$E258)^4*$G258+'Sensitivity &amp; Scenarios'!$C$11*'Sensitivity &amp; Scenarios'!$C$6*((1+$E258)^4-(1+$E258)^3))/(1+$C258)^('Sensitivity &amp; Scenarios'!$C$18+3)+('Sensitivity &amp; Scenarios'!$C$6*(1+$E258)^5*$G258+'Sensitivity &amp; Scenarios'!$C$11*'Sensitivity &amp; Scenarios'!$C$6*((1+$E258)^5-(1+$E258)^4))/(1+$C258)^('Sensitivity &amp; Scenarios'!$C$18+4)</f>
        <v>22247.964489184189</v>
      </c>
      <c r="I258" s="209">
        <f>('Sensitivity &amp; Scenarios'!$C$6*(1+$E258)^5*$G258+'Sensitivity &amp; Scenarios'!$C$11*'Sensitivity &amp; Scenarios'!$C$6*((1+$E258)^5-(1+$E258)^4))*(1+$D258)/($C258-$D258)/(1+$C258)^('Sensitivity &amp; Scenarios'!$C$18+4)</f>
        <v>56711.806531992785</v>
      </c>
      <c r="J258" s="209">
        <f>($H258+$I258-'Sensitivity &amp; Scenarios'!$C$15+'Sensitivity &amp; Scenarios'!$C$16)/'Sensitivity &amp; Scenarios'!$C$17</f>
        <v>1948.5677229162513</v>
      </c>
    </row>
    <row r="259" spans="2:10" x14ac:dyDescent="0.3">
      <c r="B259" s="127">
        <v>229</v>
      </c>
      <c r="C259" s="206">
        <f>$D$7+0.555582*$E$7</f>
        <v>0.14310807943997797</v>
      </c>
      <c r="D259" s="206">
        <f>MIN($D$8+-0.622168*$E$8,'Debt &amp; Cost of Capital'!$C$38)</f>
        <v>5.1266991999999997E-2</v>
      </c>
      <c r="E259" s="207">
        <f>$D$9+0.987405*$E$9</f>
        <v>0.19684324770254635</v>
      </c>
      <c r="F259" s="207">
        <f>$D$10+1.157508*$E$10</f>
        <v>0.1588900959999999</v>
      </c>
      <c r="G259" s="208">
        <f>$F259*(1-'Sensitivity &amp; Scenarios'!$C$12)+'Sensitivity &amp; Scenarios'!$C$9*'Sensitivity &amp; Scenarios'!$C$12-'Sensitivity &amp; Scenarios'!$C$10</f>
        <v>8.8092876925264629E-2</v>
      </c>
      <c r="H259" s="209">
        <f>('Sensitivity &amp; Scenarios'!$C$6*(1+$E259)^1*$G259+'Sensitivity &amp; Scenarios'!$C$11*'Sensitivity &amp; Scenarios'!$C$6*((1+$E259)^1-(1+$E259)^0))*'Sensitivity &amp; Scenarios'!$C$18/(1+$C259)^'Sensitivity &amp; Scenarios'!$C$18+('Sensitivity &amp; Scenarios'!$C$6*(1+$E259)^2*$G259+'Sensitivity &amp; Scenarios'!$C$11*'Sensitivity &amp; Scenarios'!$C$6*((1+$E259)^2-(1+$E259)^1))/(1+$C259)^('Sensitivity &amp; Scenarios'!$C$18+1)+('Sensitivity &amp; Scenarios'!$C$6*(1+$E259)^3*$G259+'Sensitivity &amp; Scenarios'!$C$11*'Sensitivity &amp; Scenarios'!$C$6*((1+$E259)^3-(1+$E259)^2))/(1+$C259)^('Sensitivity &amp; Scenarios'!$C$18+2)+('Sensitivity &amp; Scenarios'!$C$6*(1+$E259)^4*$G259+'Sensitivity &amp; Scenarios'!$C$11*'Sensitivity &amp; Scenarios'!$C$6*((1+$E259)^4-(1+$E259)^3))/(1+$C259)^('Sensitivity &amp; Scenarios'!$C$18+3)+('Sensitivity &amp; Scenarios'!$C$6*(1+$E259)^5*$G259+'Sensitivity &amp; Scenarios'!$C$11*'Sensitivity &amp; Scenarios'!$C$6*((1+$E259)^5-(1+$E259)^4))/(1+$C259)^('Sensitivity &amp; Scenarios'!$C$18+4)</f>
        <v>28292.053954872437</v>
      </c>
      <c r="I259" s="209">
        <f>('Sensitivity &amp; Scenarios'!$C$6*(1+$E259)^5*$G259+'Sensitivity &amp; Scenarios'!$C$11*'Sensitivity &amp; Scenarios'!$C$6*((1+$E259)^5-(1+$E259)^4))*(1+$D259)/($C259-$D259)/(1+$C259)^('Sensitivity &amp; Scenarios'!$C$18+4)</f>
        <v>75927.23141023393</v>
      </c>
      <c r="J259" s="209">
        <f>($H259+$I259-'Sensitivity &amp; Scenarios'!$C$15+'Sensitivity &amp; Scenarios'!$C$16)/'Sensitivity &amp; Scenarios'!$C$17</f>
        <v>2480.2495905305914</v>
      </c>
    </row>
    <row r="260" spans="2:10" x14ac:dyDescent="0.3">
      <c r="B260" s="127">
        <v>230</v>
      </c>
      <c r="C260" s="206">
        <f>$D$7+1.436302*$E$7</f>
        <v>0.15191527943997798</v>
      </c>
      <c r="D260" s="206">
        <f>MIN($D$8+0.529413*$E$8,'Debt &amp; Cost of Capital'!$C$38)</f>
        <v>5.8176478000000004E-2</v>
      </c>
      <c r="E260" s="207">
        <f>$D$9+1.363429*$E$9</f>
        <v>0.20812396770254635</v>
      </c>
      <c r="F260" s="207">
        <f>$D$10+-1.880798*$E$10</f>
        <v>0.1224304239999999</v>
      </c>
      <c r="G260" s="208">
        <f>$F260*(1-'Sensitivity &amp; Scenarios'!$C$12)+'Sensitivity &amp; Scenarios'!$C$9*'Sensitivity &amp; Scenarios'!$C$12-'Sensitivity &amp; Scenarios'!$C$10</f>
        <v>6.0810104367664625E-2</v>
      </c>
      <c r="H260" s="209">
        <f>('Sensitivity &amp; Scenarios'!$C$6*(1+$E260)^1*$G260+'Sensitivity &amp; Scenarios'!$C$11*'Sensitivity &amp; Scenarios'!$C$6*((1+$E260)^1-(1+$E260)^0))*'Sensitivity &amp; Scenarios'!$C$18/(1+$C260)^'Sensitivity &amp; Scenarios'!$C$18+('Sensitivity &amp; Scenarios'!$C$6*(1+$E260)^2*$G260+'Sensitivity &amp; Scenarios'!$C$11*'Sensitivity &amp; Scenarios'!$C$6*((1+$E260)^2-(1+$E260)^1))/(1+$C260)^('Sensitivity &amp; Scenarios'!$C$18+1)+('Sensitivity &amp; Scenarios'!$C$6*(1+$E260)^3*$G260+'Sensitivity &amp; Scenarios'!$C$11*'Sensitivity &amp; Scenarios'!$C$6*((1+$E260)^3-(1+$E260)^2))/(1+$C260)^('Sensitivity &amp; Scenarios'!$C$18+2)+('Sensitivity &amp; Scenarios'!$C$6*(1+$E260)^4*$G260+'Sensitivity &amp; Scenarios'!$C$11*'Sensitivity &amp; Scenarios'!$C$6*((1+$E260)^4-(1+$E260)^3))/(1+$C260)^('Sensitivity &amp; Scenarios'!$C$18+3)+('Sensitivity &amp; Scenarios'!$C$6*(1+$E260)^5*$G260+'Sensitivity &amp; Scenarios'!$C$11*'Sensitivity &amp; Scenarios'!$C$6*((1+$E260)^5-(1+$E260)^4))/(1+$C260)^('Sensitivity &amp; Scenarios'!$C$18+4)</f>
        <v>21429.63408340999</v>
      </c>
      <c r="I260" s="209">
        <f>('Sensitivity &amp; Scenarios'!$C$6*(1+$E260)^5*$G260+'Sensitivity &amp; Scenarios'!$C$11*'Sensitivity &amp; Scenarios'!$C$6*((1+$E260)^5-(1+$E260)^4))*(1+$D260)/($C260-$D260)/(1+$C260)^('Sensitivity &amp; Scenarios'!$C$18+4)</f>
        <v>56886.908179163751</v>
      </c>
      <c r="J260" s="209">
        <f>($H260+$I260-'Sensitivity &amp; Scenarios'!$C$15+'Sensitivity &amp; Scenarios'!$C$16)/'Sensitivity &amp; Scenarios'!$C$17</f>
        <v>1935.0285446477817</v>
      </c>
    </row>
    <row r="261" spans="2:10" x14ac:dyDescent="0.3">
      <c r="B261" s="127">
        <v>231</v>
      </c>
      <c r="C261" s="206">
        <f>$D$7+-0.317907*$E$7</f>
        <v>0.13437318943997797</v>
      </c>
      <c r="D261" s="206">
        <f>MIN($D$8+-0.867005*$E$8,'Debt &amp; Cost of Capital'!$C$38)</f>
        <v>4.9797969999999997E-2</v>
      </c>
      <c r="E261" s="207">
        <f>$D$9+0.119226*$E$9</f>
        <v>0.17079787770254634</v>
      </c>
      <c r="F261" s="207">
        <f>$D$10+-0.571449*$E$10</f>
        <v>0.13814261199999991</v>
      </c>
      <c r="G261" s="208">
        <f>$F261*(1-'Sensitivity &amp; Scenarios'!$C$12)+'Sensitivity &amp; Scenarios'!$C$9*'Sensitivity &amp; Scenarios'!$C$12-'Sensitivity &amp; Scenarios'!$C$10</f>
        <v>7.2567534648064647E-2</v>
      </c>
      <c r="H261" s="209">
        <f>('Sensitivity &amp; Scenarios'!$C$6*(1+$E261)^1*$G261+'Sensitivity &amp; Scenarios'!$C$11*'Sensitivity &amp; Scenarios'!$C$6*((1+$E261)^1-(1+$E261)^0))*'Sensitivity &amp; Scenarios'!$C$18/(1+$C261)^'Sensitivity &amp; Scenarios'!$C$18+('Sensitivity &amp; Scenarios'!$C$6*(1+$E261)^2*$G261+'Sensitivity &amp; Scenarios'!$C$11*'Sensitivity &amp; Scenarios'!$C$6*((1+$E261)^2-(1+$E261)^1))/(1+$C261)^('Sensitivity &amp; Scenarios'!$C$18+1)+('Sensitivity &amp; Scenarios'!$C$6*(1+$E261)^3*$G261+'Sensitivity &amp; Scenarios'!$C$11*'Sensitivity &amp; Scenarios'!$C$6*((1+$E261)^3-(1+$E261)^2))/(1+$C261)^('Sensitivity &amp; Scenarios'!$C$18+2)+('Sensitivity &amp; Scenarios'!$C$6*(1+$E261)^4*$G261+'Sensitivity &amp; Scenarios'!$C$11*'Sensitivity &amp; Scenarios'!$C$6*((1+$E261)^4-(1+$E261)^3))/(1+$C261)^('Sensitivity &amp; Scenarios'!$C$18+3)+('Sensitivity &amp; Scenarios'!$C$6*(1+$E261)^5*$G261+'Sensitivity &amp; Scenarios'!$C$11*'Sensitivity &amp; Scenarios'!$C$6*((1+$E261)^5-(1+$E261)^4))/(1+$C261)^('Sensitivity &amp; Scenarios'!$C$18+4)</f>
        <v>22479.67647866637</v>
      </c>
      <c r="I261" s="209">
        <f>('Sensitivity &amp; Scenarios'!$C$6*(1+$E261)^5*$G261+'Sensitivity &amp; Scenarios'!$C$11*'Sensitivity &amp; Scenarios'!$C$6*((1+$E261)^5-(1+$E261)^4))*(1+$D261)/($C261-$D261)/(1+$C261)^('Sensitivity &amp; Scenarios'!$C$18+4)</f>
        <v>63780.085392889014</v>
      </c>
      <c r="J261" s="209">
        <f>($H261+$I261-'Sensitivity &amp; Scenarios'!$C$15+'Sensitivity &amp; Scenarios'!$C$16)/'Sensitivity &amp; Scenarios'!$C$17</f>
        <v>2102.2235975324461</v>
      </c>
    </row>
    <row r="262" spans="2:10" x14ac:dyDescent="0.3">
      <c r="B262" s="127">
        <v>232</v>
      </c>
      <c r="C262" s="206">
        <f>$D$7+-0.166158*$E$7</f>
        <v>0.13589067943997798</v>
      </c>
      <c r="D262" s="206">
        <f>MIN($D$8+1.882175*$E$8,'Debt &amp; Cost of Capital'!$C$38)</f>
        <v>6.6293050000000006E-2</v>
      </c>
      <c r="E262" s="207">
        <f>$D$9+-0.16972*$E$9</f>
        <v>0.16212949770254634</v>
      </c>
      <c r="F262" s="207">
        <f>$D$10+0.413792*$E$10</f>
        <v>0.14996550399999992</v>
      </c>
      <c r="G262" s="208">
        <f>$F262*(1-'Sensitivity &amp; Scenarios'!$C$12)+'Sensitivity &amp; Scenarios'!$C$9*'Sensitivity &amp; Scenarios'!$C$12-'Sensitivity &amp; Scenarios'!$C$10</f>
        <v>8.1414604731664647E-2</v>
      </c>
      <c r="H262" s="209">
        <f>('Sensitivity &amp; Scenarios'!$C$6*(1+$E262)^1*$G262+'Sensitivity &amp; Scenarios'!$C$11*'Sensitivity &amp; Scenarios'!$C$6*((1+$E262)^1-(1+$E262)^0))*'Sensitivity &amp; Scenarios'!$C$18/(1+$C262)^'Sensitivity &amp; Scenarios'!$C$18+('Sensitivity &amp; Scenarios'!$C$6*(1+$E262)^2*$G262+'Sensitivity &amp; Scenarios'!$C$11*'Sensitivity &amp; Scenarios'!$C$6*((1+$E262)^2-(1+$E262)^1))/(1+$C262)^('Sensitivity &amp; Scenarios'!$C$18+1)+('Sensitivity &amp; Scenarios'!$C$6*(1+$E262)^3*$G262+'Sensitivity &amp; Scenarios'!$C$11*'Sensitivity &amp; Scenarios'!$C$6*((1+$E262)^3-(1+$E262)^2))/(1+$C262)^('Sensitivity &amp; Scenarios'!$C$18+2)+('Sensitivity &amp; Scenarios'!$C$6*(1+$E262)^4*$G262+'Sensitivity &amp; Scenarios'!$C$11*'Sensitivity &amp; Scenarios'!$C$6*((1+$E262)^4-(1+$E262)^3))/(1+$C262)^('Sensitivity &amp; Scenarios'!$C$18+3)+('Sensitivity &amp; Scenarios'!$C$6*(1+$E262)^5*$G262+'Sensitivity &amp; Scenarios'!$C$11*'Sensitivity &amp; Scenarios'!$C$6*((1+$E262)^5-(1+$E262)^4))/(1+$C262)^('Sensitivity &amp; Scenarios'!$C$18+4)</f>
        <v>23877.142833434264</v>
      </c>
      <c r="I262" s="209">
        <f>('Sensitivity &amp; Scenarios'!$C$6*(1+$E262)^5*$G262+'Sensitivity &amp; Scenarios'!$C$11*'Sensitivity &amp; Scenarios'!$C$6*((1+$E262)^5-(1+$E262)^4))*(1+$D262)/($C262-$D262)/(1+$C262)^('Sensitivity &amp; Scenarios'!$C$18+4)</f>
        <v>82313.747854533343</v>
      </c>
      <c r="J262" s="209">
        <f>($H262+$I262-'Sensitivity &amp; Scenarios'!$C$15+'Sensitivity &amp; Scenarios'!$C$16)/'Sensitivity &amp; Scenarios'!$C$17</f>
        <v>2521.7494699813283</v>
      </c>
    </row>
    <row r="263" spans="2:10" x14ac:dyDescent="0.3">
      <c r="B263" s="127">
        <v>233</v>
      </c>
      <c r="C263" s="206">
        <f>$D$7+-0.232269*$E$7</f>
        <v>0.13522956943997799</v>
      </c>
      <c r="D263" s="206">
        <f>MIN($D$8+0.075713*$E$8,'Debt &amp; Cost of Capital'!$C$38)</f>
        <v>5.5454278000000003E-2</v>
      </c>
      <c r="E263" s="207">
        <f>$D$9+0.006017*$E$9</f>
        <v>0.16740160770254633</v>
      </c>
      <c r="F263" s="207">
        <f>$D$10+0.448324*$E$10</f>
        <v>0.15037988799999991</v>
      </c>
      <c r="G263" s="208">
        <f>$F263*(1-'Sensitivity &amp; Scenarios'!$C$12)+'Sensitivity &amp; Scenarios'!$C$9*'Sensitivity &amp; Scenarios'!$C$12-'Sensitivity &amp; Scenarios'!$C$10</f>
        <v>8.1724688278864629E-2</v>
      </c>
      <c r="H263" s="209">
        <f>('Sensitivity &amp; Scenarios'!$C$6*(1+$E263)^1*$G263+'Sensitivity &amp; Scenarios'!$C$11*'Sensitivity &amp; Scenarios'!$C$6*((1+$E263)^1-(1+$E263)^0))*'Sensitivity &amp; Scenarios'!$C$18/(1+$C263)^'Sensitivity &amp; Scenarios'!$C$18+('Sensitivity &amp; Scenarios'!$C$6*(1+$E263)^2*$G263+'Sensitivity &amp; Scenarios'!$C$11*'Sensitivity &amp; Scenarios'!$C$6*((1+$E263)^2-(1+$E263)^1))/(1+$C263)^('Sensitivity &amp; Scenarios'!$C$18+1)+('Sensitivity &amp; Scenarios'!$C$6*(1+$E263)^3*$G263+'Sensitivity &amp; Scenarios'!$C$11*'Sensitivity &amp; Scenarios'!$C$6*((1+$E263)^3-(1+$E263)^2))/(1+$C263)^('Sensitivity &amp; Scenarios'!$C$18+2)+('Sensitivity &amp; Scenarios'!$C$6*(1+$E263)^4*$G263+'Sensitivity &amp; Scenarios'!$C$11*'Sensitivity &amp; Scenarios'!$C$6*((1+$E263)^4-(1+$E263)^3))/(1+$C263)^('Sensitivity &amp; Scenarios'!$C$18+3)+('Sensitivity &amp; Scenarios'!$C$6*(1+$E263)^5*$G263+'Sensitivity &amp; Scenarios'!$C$11*'Sensitivity &amp; Scenarios'!$C$6*((1+$E263)^5-(1+$E263)^4))/(1+$C263)^('Sensitivity &amp; Scenarios'!$C$18+4)</f>
        <v>24451.016069669211</v>
      </c>
      <c r="I263" s="209">
        <f>('Sensitivity &amp; Scenarios'!$C$6*(1+$E263)^5*$G263+'Sensitivity &amp; Scenarios'!$C$11*'Sensitivity &amp; Scenarios'!$C$6*((1+$E263)^5-(1+$E263)^4))*(1+$D263)/($C263-$D263)/(1+$C263)^('Sensitivity &amp; Scenarios'!$C$18+4)</f>
        <v>73461.413647887894</v>
      </c>
      <c r="J263" s="209">
        <f>($H263+$I263-'Sensitivity &amp; Scenarios'!$C$15+'Sensitivity &amp; Scenarios'!$C$16)/'Sensitivity &amp; Scenarios'!$C$17</f>
        <v>2347.4979966635888</v>
      </c>
    </row>
    <row r="264" spans="2:10" x14ac:dyDescent="0.3">
      <c r="B264" s="127">
        <v>234</v>
      </c>
      <c r="C264" s="206">
        <f>$D$7+1.165308*$E$7</f>
        <v>0.14920533943997799</v>
      </c>
      <c r="D264" s="206">
        <f>MIN($D$8+1.647394*$E$8,'Debt &amp; Cost of Capital'!$C$38)</f>
        <v>6.4884364E-2</v>
      </c>
      <c r="E264" s="207">
        <f>$D$9+0.30962*$E$9</f>
        <v>0.17650969770254635</v>
      </c>
      <c r="F264" s="207">
        <f>$D$10+0.589547*$E$10</f>
        <v>0.15207456399999991</v>
      </c>
      <c r="G264" s="208">
        <f>$F264*(1-'Sensitivity &amp; Scenarios'!$C$12)+'Sensitivity &amp; Scenarios'!$C$9*'Sensitivity &amp; Scenarios'!$C$12-'Sensitivity &amp; Scenarios'!$C$10</f>
        <v>8.2992814329664641E-2</v>
      </c>
      <c r="H264" s="209">
        <f>('Sensitivity &amp; Scenarios'!$C$6*(1+$E264)^1*$G264+'Sensitivity &amp; Scenarios'!$C$11*'Sensitivity &amp; Scenarios'!$C$6*((1+$E264)^1-(1+$E264)^0))*'Sensitivity &amp; Scenarios'!$C$18/(1+$C264)^'Sensitivity &amp; Scenarios'!$C$18+('Sensitivity &amp; Scenarios'!$C$6*(1+$E264)^2*$G264+'Sensitivity &amp; Scenarios'!$C$11*'Sensitivity &amp; Scenarios'!$C$6*((1+$E264)^2-(1+$E264)^1))/(1+$C264)^('Sensitivity &amp; Scenarios'!$C$18+1)+('Sensitivity &amp; Scenarios'!$C$6*(1+$E264)^3*$G264+'Sensitivity &amp; Scenarios'!$C$11*'Sensitivity &amp; Scenarios'!$C$6*((1+$E264)^3-(1+$E264)^2))/(1+$C264)^('Sensitivity &amp; Scenarios'!$C$18+2)+('Sensitivity &amp; Scenarios'!$C$6*(1+$E264)^4*$G264+'Sensitivity &amp; Scenarios'!$C$11*'Sensitivity &amp; Scenarios'!$C$6*((1+$E264)^4-(1+$E264)^3))/(1+$C264)^('Sensitivity &amp; Scenarios'!$C$18+3)+('Sensitivity &amp; Scenarios'!$C$6*(1+$E264)^5*$G264+'Sensitivity &amp; Scenarios'!$C$11*'Sensitivity &amp; Scenarios'!$C$6*((1+$E264)^5-(1+$E264)^4))/(1+$C264)^('Sensitivity &amp; Scenarios'!$C$18+4)</f>
        <v>24708.256112391486</v>
      </c>
      <c r="I264" s="209">
        <f>('Sensitivity &amp; Scenarios'!$C$6*(1+$E264)^5*$G264+'Sensitivity &amp; Scenarios'!$C$11*'Sensitivity &amp; Scenarios'!$C$6*((1+$E264)^5-(1+$E264)^4))*(1+$D264)/($C264-$D264)/(1+$C264)^('Sensitivity &amp; Scenarios'!$C$18+4)</f>
        <v>70294.358620181185</v>
      </c>
      <c r="J264" s="209">
        <f>($H264+$I264-'Sensitivity &amp; Scenarios'!$C$15+'Sensitivity &amp; Scenarios'!$C$16)/'Sensitivity &amp; Scenarios'!$C$17</f>
        <v>2286.2499518847499</v>
      </c>
    </row>
    <row r="265" spans="2:10" x14ac:dyDescent="0.3">
      <c r="B265" s="127">
        <v>235</v>
      </c>
      <c r="C265" s="206">
        <f>$D$7+-1.150865*$E$7</f>
        <v>0.12604360943997797</v>
      </c>
      <c r="D265" s="206">
        <f>MIN($D$8+-0.087877*$E$8,'Debt &amp; Cost of Capital'!$C$38)</f>
        <v>5.4472738E-2</v>
      </c>
      <c r="E265" s="207">
        <f>$D$9+0.940289*$E$9</f>
        <v>0.19542976770254633</v>
      </c>
      <c r="F265" s="207">
        <f>$D$10+0.865969*$E$10</f>
        <v>0.15539162799999989</v>
      </c>
      <c r="G265" s="208">
        <f>$F265*(1-'Sensitivity &amp; Scenarios'!$C$12)+'Sensitivity &amp; Scenarios'!$C$9*'Sensitivity &amp; Scenarios'!$C$12-'Sensitivity &amp; Scenarios'!$C$10</f>
        <v>8.5474973320864622E-2</v>
      </c>
      <c r="H265" s="209">
        <f>('Sensitivity &amp; Scenarios'!$C$6*(1+$E265)^1*$G265+'Sensitivity &amp; Scenarios'!$C$11*'Sensitivity &amp; Scenarios'!$C$6*((1+$E265)^1-(1+$E265)^0))*'Sensitivity &amp; Scenarios'!$C$18/(1+$C265)^'Sensitivity &amp; Scenarios'!$C$18+('Sensitivity &amp; Scenarios'!$C$6*(1+$E265)^2*$G265+'Sensitivity &amp; Scenarios'!$C$11*'Sensitivity &amp; Scenarios'!$C$6*((1+$E265)^2-(1+$E265)^1))/(1+$C265)^('Sensitivity &amp; Scenarios'!$C$18+1)+('Sensitivity &amp; Scenarios'!$C$6*(1+$E265)^3*$G265+'Sensitivity &amp; Scenarios'!$C$11*'Sensitivity &amp; Scenarios'!$C$6*((1+$E265)^3-(1+$E265)^2))/(1+$C265)^('Sensitivity &amp; Scenarios'!$C$18+2)+('Sensitivity &amp; Scenarios'!$C$6*(1+$E265)^4*$G265+'Sensitivity &amp; Scenarios'!$C$11*'Sensitivity &amp; Scenarios'!$C$6*((1+$E265)^4-(1+$E265)^3))/(1+$C265)^('Sensitivity &amp; Scenarios'!$C$18+3)+('Sensitivity &amp; Scenarios'!$C$6*(1+$E265)^5*$G265+'Sensitivity &amp; Scenarios'!$C$11*'Sensitivity &amp; Scenarios'!$C$6*((1+$E265)^5-(1+$E265)^4))/(1+$C265)^('Sensitivity &amp; Scenarios'!$C$18+4)</f>
        <v>28678.402617179228</v>
      </c>
      <c r="I265" s="209">
        <f>('Sensitivity &amp; Scenarios'!$C$6*(1+$E265)^5*$G265+'Sensitivity &amp; Scenarios'!$C$11*'Sensitivity &amp; Scenarios'!$C$6*((1+$E265)^5-(1+$E265)^4))*(1+$D265)/($C265-$D265)/(1+$C265)^('Sensitivity &amp; Scenarios'!$C$18+4)</f>
        <v>101489.12992595333</v>
      </c>
      <c r="J265" s="209">
        <f>($H265+$I265-'Sensitivity &amp; Scenarios'!$C$15+'Sensitivity &amp; Scenarios'!$C$16)/'Sensitivity &amp; Scenarios'!$C$17</f>
        <v>3026.4284415205402</v>
      </c>
    </row>
    <row r="266" spans="2:10" x14ac:dyDescent="0.3">
      <c r="B266" s="127">
        <v>236</v>
      </c>
      <c r="C266" s="206">
        <f>$D$7+0.21161*$E$7</f>
        <v>0.13966835943997799</v>
      </c>
      <c r="D266" s="206">
        <f>MIN($D$8+0.886394*$E$8,'Debt &amp; Cost of Capital'!$C$38)</f>
        <v>6.0318363999999999E-2</v>
      </c>
      <c r="E266" s="207">
        <f>$D$9+0.490767*$E$9</f>
        <v>0.18194410770254635</v>
      </c>
      <c r="F266" s="207">
        <f>$D$10+1.200306*$E$10</f>
        <v>0.15940367199999991</v>
      </c>
      <c r="G266" s="208">
        <f>$F266*(1-'Sensitivity &amp; Scenarios'!$C$12)+'Sensitivity &amp; Scenarios'!$C$9*'Sensitivity &amp; Scenarios'!$C$12-'Sensitivity &amp; Scenarios'!$C$10</f>
        <v>8.8477185846064635E-2</v>
      </c>
      <c r="H266" s="209">
        <f>('Sensitivity &amp; Scenarios'!$C$6*(1+$E266)^1*$G266+'Sensitivity &amp; Scenarios'!$C$11*'Sensitivity &amp; Scenarios'!$C$6*((1+$E266)^1-(1+$E266)^0))*'Sensitivity &amp; Scenarios'!$C$18/(1+$C266)^'Sensitivity &amp; Scenarios'!$C$18+('Sensitivity &amp; Scenarios'!$C$6*(1+$E266)^2*$G266+'Sensitivity &amp; Scenarios'!$C$11*'Sensitivity &amp; Scenarios'!$C$6*((1+$E266)^2-(1+$E266)^1))/(1+$C266)^('Sensitivity &amp; Scenarios'!$C$18+1)+('Sensitivity &amp; Scenarios'!$C$6*(1+$E266)^3*$G266+'Sensitivity &amp; Scenarios'!$C$11*'Sensitivity &amp; Scenarios'!$C$6*((1+$E266)^3-(1+$E266)^2))/(1+$C266)^('Sensitivity &amp; Scenarios'!$C$18+2)+('Sensitivity &amp; Scenarios'!$C$6*(1+$E266)^4*$G266+'Sensitivity &amp; Scenarios'!$C$11*'Sensitivity &amp; Scenarios'!$C$6*((1+$E266)^4-(1+$E266)^3))/(1+$C266)^('Sensitivity &amp; Scenarios'!$C$18+3)+('Sensitivity &amp; Scenarios'!$C$6*(1+$E266)^5*$G266+'Sensitivity &amp; Scenarios'!$C$11*'Sensitivity &amp; Scenarios'!$C$6*((1+$E266)^5-(1+$E266)^4))/(1+$C266)^('Sensitivity &amp; Scenarios'!$C$18+4)</f>
        <v>27204.971777658368</v>
      </c>
      <c r="I266" s="209">
        <f>('Sensitivity &amp; Scenarios'!$C$6*(1+$E266)^5*$G266+'Sensitivity &amp; Scenarios'!$C$11*'Sensitivity &amp; Scenarios'!$C$6*((1+$E266)^5-(1+$E266)^4))*(1+$D266)/($C266-$D266)/(1+$C266)^('Sensitivity &amp; Scenarios'!$C$18+4)</f>
        <v>83809.737737479372</v>
      </c>
      <c r="J266" s="209">
        <f>($H266+$I266-'Sensitivity &amp; Scenarios'!$C$15+'Sensitivity &amp; Scenarios'!$C$16)/'Sensitivity &amp; Scenarios'!$C$17</f>
        <v>2623.2849535279242</v>
      </c>
    </row>
    <row r="267" spans="2:10" x14ac:dyDescent="0.3">
      <c r="B267" s="127">
        <v>237</v>
      </c>
      <c r="C267" s="206">
        <f>$D$7+0.289359*$E$7</f>
        <v>0.14044584943997798</v>
      </c>
      <c r="D267" s="206">
        <f>MIN($D$8+-0.355698*$E$8,'Debt &amp; Cost of Capital'!$C$38)</f>
        <v>5.2865811999999998E-2</v>
      </c>
      <c r="E267" s="207">
        <f>$D$9+0.335841*$E$9</f>
        <v>0.17729632770254633</v>
      </c>
      <c r="F267" s="207">
        <f>$D$10+-2.930594*$E$10</f>
        <v>0.1098328719999999</v>
      </c>
      <c r="G267" s="208">
        <f>$F267*(1-'Sensitivity &amp; Scenarios'!$C$12)+'Sensitivity &amp; Scenarios'!$C$9*'Sensitivity &amp; Scenarios'!$C$12-'Sensitivity &amp; Scenarios'!$C$10</f>
        <v>5.1383356206064629E-2</v>
      </c>
      <c r="H267" s="209">
        <f>('Sensitivity &amp; Scenarios'!$C$6*(1+$E267)^1*$G267+'Sensitivity &amp; Scenarios'!$C$11*'Sensitivity &amp; Scenarios'!$C$6*((1+$E267)^1-(1+$E267)^0))*'Sensitivity &amp; Scenarios'!$C$18/(1+$C267)^'Sensitivity &amp; Scenarios'!$C$18+('Sensitivity &amp; Scenarios'!$C$6*(1+$E267)^2*$G267+'Sensitivity &amp; Scenarios'!$C$11*'Sensitivity &amp; Scenarios'!$C$6*((1+$E267)^2-(1+$E267)^1))/(1+$C267)^('Sensitivity &amp; Scenarios'!$C$18+1)+('Sensitivity &amp; Scenarios'!$C$6*(1+$E267)^3*$G267+'Sensitivity &amp; Scenarios'!$C$11*'Sensitivity &amp; Scenarios'!$C$6*((1+$E267)^3-(1+$E267)^2))/(1+$C267)^('Sensitivity &amp; Scenarios'!$C$18+2)+('Sensitivity &amp; Scenarios'!$C$6*(1+$E267)^4*$G267+'Sensitivity &amp; Scenarios'!$C$11*'Sensitivity &amp; Scenarios'!$C$6*((1+$E267)^4-(1+$E267)^3))/(1+$C267)^('Sensitivity &amp; Scenarios'!$C$18+3)+('Sensitivity &amp; Scenarios'!$C$6*(1+$E267)^5*$G267+'Sensitivity &amp; Scenarios'!$C$11*'Sensitivity &amp; Scenarios'!$C$6*((1+$E267)^5-(1+$E267)^4))/(1+$C267)^('Sensitivity &amp; Scenarios'!$C$18+4)</f>
        <v>17281.958216405557</v>
      </c>
      <c r="I267" s="209">
        <f>('Sensitivity &amp; Scenarios'!$C$6*(1+$E267)^5*$G267+'Sensitivity &amp; Scenarios'!$C$11*'Sensitivity &amp; Scenarios'!$C$6*((1+$E267)^5-(1+$E267)^4))*(1+$D267)/($C267-$D267)/(1+$C267)^('Sensitivity &amp; Scenarios'!$C$18+4)</f>
        <v>47505.643027848571</v>
      </c>
      <c r="J267" s="209">
        <f>($H267+$I267-'Sensitivity &amp; Scenarios'!$C$15+'Sensitivity &amp; Scenarios'!$C$16)/'Sensitivity &amp; Scenarios'!$C$17</f>
        <v>1650.2608911796885</v>
      </c>
    </row>
    <row r="268" spans="2:10" x14ac:dyDescent="0.3">
      <c r="B268" s="127">
        <v>238</v>
      </c>
      <c r="C268" s="206">
        <f>$D$7+0.382886*$E$7</f>
        <v>0.14138111943997797</v>
      </c>
      <c r="D268" s="206">
        <f>MIN($D$8+-3.648413*$E$8,'Debt &amp; Cost of Capital'!$C$38)</f>
        <v>3.3109522000000002E-2</v>
      </c>
      <c r="E268" s="207">
        <f>$D$9+-1.723463*$E$9</f>
        <v>0.11551720770254634</v>
      </c>
      <c r="F268" s="207">
        <f>$D$10+0.451769*$E$10</f>
        <v>0.15042122799999991</v>
      </c>
      <c r="G268" s="208">
        <f>$F268*(1-'Sensitivity &amp; Scenarios'!$C$12)+'Sensitivity &amp; Scenarios'!$C$9*'Sensitivity &amp; Scenarios'!$C$12-'Sensitivity &amp; Scenarios'!$C$10</f>
        <v>8.1755623000864641E-2</v>
      </c>
      <c r="H268" s="209">
        <f>('Sensitivity &amp; Scenarios'!$C$6*(1+$E268)^1*$G268+'Sensitivity &amp; Scenarios'!$C$11*'Sensitivity &amp; Scenarios'!$C$6*((1+$E268)^1-(1+$E268)^0))*'Sensitivity &amp; Scenarios'!$C$18/(1+$C268)^'Sensitivity &amp; Scenarios'!$C$18+('Sensitivity &amp; Scenarios'!$C$6*(1+$E268)^2*$G268+'Sensitivity &amp; Scenarios'!$C$11*'Sensitivity &amp; Scenarios'!$C$6*((1+$E268)^2-(1+$E268)^1))/(1+$C268)^('Sensitivity &amp; Scenarios'!$C$18+1)+('Sensitivity &amp; Scenarios'!$C$6*(1+$E268)^3*$G268+'Sensitivity &amp; Scenarios'!$C$11*'Sensitivity &amp; Scenarios'!$C$6*((1+$E268)^3-(1+$E268)^2))/(1+$C268)^('Sensitivity &amp; Scenarios'!$C$18+2)+('Sensitivity &amp; Scenarios'!$C$6*(1+$E268)^4*$G268+'Sensitivity &amp; Scenarios'!$C$11*'Sensitivity &amp; Scenarios'!$C$6*((1+$E268)^4-(1+$E268)^3))/(1+$C268)^('Sensitivity &amp; Scenarios'!$C$18+3)+('Sensitivity &amp; Scenarios'!$C$6*(1+$E268)^5*$G268+'Sensitivity &amp; Scenarios'!$C$11*'Sensitivity &amp; Scenarios'!$C$6*((1+$E268)^5-(1+$E268)^4))/(1+$C268)^('Sensitivity &amp; Scenarios'!$C$18+4)</f>
        <v>19927.567488275025</v>
      </c>
      <c r="I268" s="209">
        <f>('Sensitivity &amp; Scenarios'!$C$6*(1+$E268)^5*$G268+'Sensitivity &amp; Scenarios'!$C$11*'Sensitivity &amp; Scenarios'!$C$6*((1+$E268)^5-(1+$E268)^4))*(1+$D268)/($C268-$D268)/(1+$C268)^('Sensitivity &amp; Scenarios'!$C$18+4)</f>
        <v>39327.539765589594</v>
      </c>
      <c r="J268" s="209">
        <f>($H268+$I268-'Sensitivity &amp; Scenarios'!$C$15+'Sensitivity &amp; Scenarios'!$C$16)/'Sensitivity &amp; Scenarios'!$C$17</f>
        <v>1533.8086626322959</v>
      </c>
    </row>
    <row r="269" spans="2:10" x14ac:dyDescent="0.3">
      <c r="B269" s="127">
        <v>239</v>
      </c>
      <c r="C269" s="206">
        <f>$D$7+0.477529*$E$7</f>
        <v>0.14232754943997797</v>
      </c>
      <c r="D269" s="206">
        <f>MIN($D$8+-1.162429*$E$8,'Debt &amp; Cost of Capital'!$C$38)</f>
        <v>4.8025426000000003E-2</v>
      </c>
      <c r="E269" s="207">
        <f>$D$9+-0.712102*$E$9</f>
        <v>0.14585803770254635</v>
      </c>
      <c r="F269" s="207">
        <f>$D$10+1.370541*$E$10</f>
        <v>0.16144649199999991</v>
      </c>
      <c r="G269" s="208">
        <f>$F269*(1-'Sensitivity &amp; Scenarios'!$C$12)+'Sensitivity &amp; Scenarios'!$C$9*'Sensitivity &amp; Scenarios'!$C$12-'Sensitivity &amp; Scenarios'!$C$10</f>
        <v>9.000582805206464E-2</v>
      </c>
      <c r="H269" s="209">
        <f>('Sensitivity &amp; Scenarios'!$C$6*(1+$E269)^1*$G269+'Sensitivity &amp; Scenarios'!$C$11*'Sensitivity &amp; Scenarios'!$C$6*((1+$E269)^1-(1+$E269)^0))*'Sensitivity &amp; Scenarios'!$C$18/(1+$C269)^'Sensitivity &amp; Scenarios'!$C$18+('Sensitivity &amp; Scenarios'!$C$6*(1+$E269)^2*$G269+'Sensitivity &amp; Scenarios'!$C$11*'Sensitivity &amp; Scenarios'!$C$6*((1+$E269)^2-(1+$E269)^1))/(1+$C269)^('Sensitivity &amp; Scenarios'!$C$18+1)+('Sensitivity &amp; Scenarios'!$C$6*(1+$E269)^3*$G269+'Sensitivity &amp; Scenarios'!$C$11*'Sensitivity &amp; Scenarios'!$C$6*((1+$E269)^3-(1+$E269)^2))/(1+$C269)^('Sensitivity &amp; Scenarios'!$C$18+2)+('Sensitivity &amp; Scenarios'!$C$6*(1+$E269)^4*$G269+'Sensitivity &amp; Scenarios'!$C$11*'Sensitivity &amp; Scenarios'!$C$6*((1+$E269)^4-(1+$E269)^3))/(1+$C269)^('Sensitivity &amp; Scenarios'!$C$18+3)+('Sensitivity &amp; Scenarios'!$C$6*(1+$E269)^5*$G269+'Sensitivity &amp; Scenarios'!$C$11*'Sensitivity &amp; Scenarios'!$C$6*((1+$E269)^5-(1+$E269)^4))/(1+$C269)^('Sensitivity &amp; Scenarios'!$C$18+4)</f>
        <v>24152.139286705355</v>
      </c>
      <c r="I269" s="209">
        <f>('Sensitivity &amp; Scenarios'!$C$6*(1+$E269)^5*$G269+'Sensitivity &amp; Scenarios'!$C$11*'Sensitivity &amp; Scenarios'!$C$6*((1+$E269)^5-(1+$E269)^4))*(1+$D269)/($C269-$D269)/(1+$C269)^('Sensitivity &amp; Scenarios'!$C$18+4)</f>
        <v>58266.56088581642</v>
      </c>
      <c r="J269" s="209">
        <f>($H269+$I269-'Sensitivity &amp; Scenarios'!$C$15+'Sensitivity &amp; Scenarios'!$C$16)/'Sensitivity &amp; Scenarios'!$C$17</f>
        <v>2021.373948962108</v>
      </c>
    </row>
    <row r="270" spans="2:10" x14ac:dyDescent="0.3">
      <c r="B270" s="127">
        <v>240</v>
      </c>
      <c r="C270" s="206">
        <f>$D$7+-0.48403*$E$7</f>
        <v>0.13271195943997799</v>
      </c>
      <c r="D270" s="206">
        <f>MIN($D$8+2.24292*$E$8,'Debt &amp; Cost of Capital'!$C$38)</f>
        <v>6.7799999999999999E-2</v>
      </c>
      <c r="E270" s="207">
        <f>$D$9+-0.00192*$E$9</f>
        <v>0.16716349770254635</v>
      </c>
      <c r="F270" s="207">
        <f>$D$10+0.408036*$E$10</f>
        <v>0.14989643199999991</v>
      </c>
      <c r="G270" s="208">
        <f>$F270*(1-'Sensitivity &amp; Scenarios'!$C$12)+'Sensitivity &amp; Scenarios'!$C$9*'Sensitivity &amp; Scenarios'!$C$12-'Sensitivity &amp; Scenarios'!$C$10</f>
        <v>8.1362918154064642E-2</v>
      </c>
      <c r="H270" s="209">
        <f>('Sensitivity &amp; Scenarios'!$C$6*(1+$E270)^1*$G270+'Sensitivity &amp; Scenarios'!$C$11*'Sensitivity &amp; Scenarios'!$C$6*((1+$E270)^1-(1+$E270)^0))*'Sensitivity &amp; Scenarios'!$C$18/(1+$C270)^'Sensitivity &amp; Scenarios'!$C$18+('Sensitivity &amp; Scenarios'!$C$6*(1+$E270)^2*$G270+'Sensitivity &amp; Scenarios'!$C$11*'Sensitivity &amp; Scenarios'!$C$6*((1+$E270)^2-(1+$E270)^1))/(1+$C270)^('Sensitivity &amp; Scenarios'!$C$18+1)+('Sensitivity &amp; Scenarios'!$C$6*(1+$E270)^3*$G270+'Sensitivity &amp; Scenarios'!$C$11*'Sensitivity &amp; Scenarios'!$C$6*((1+$E270)^3-(1+$E270)^2))/(1+$C270)^('Sensitivity &amp; Scenarios'!$C$18+2)+('Sensitivity &amp; Scenarios'!$C$6*(1+$E270)^4*$G270+'Sensitivity &amp; Scenarios'!$C$11*'Sensitivity &amp; Scenarios'!$C$6*((1+$E270)^4-(1+$E270)^3))/(1+$C270)^('Sensitivity &amp; Scenarios'!$C$18+3)+('Sensitivity &amp; Scenarios'!$C$6*(1+$E270)^5*$G270+'Sensitivity &amp; Scenarios'!$C$11*'Sensitivity &amp; Scenarios'!$C$6*((1+$E270)^5-(1+$E270)^4))/(1+$C270)^('Sensitivity &amp; Scenarios'!$C$18+4)</f>
        <v>24493.683127440298</v>
      </c>
      <c r="I270" s="209">
        <f>('Sensitivity &amp; Scenarios'!$C$6*(1+$E270)^5*$G270+'Sensitivity &amp; Scenarios'!$C$11*'Sensitivity &amp; Scenarios'!$C$6*((1+$E270)^5-(1+$E270)^4))*(1+$D270)/($C270-$D270)/(1+$C270)^('Sensitivity &amp; Scenarios'!$C$18+4)</f>
        <v>91828.42836360955</v>
      </c>
      <c r="J270" s="209">
        <f>($H270+$I270-'Sensitivity &amp; Scenarios'!$C$15+'Sensitivity &amp; Scenarios'!$C$16)/'Sensitivity &amp; Scenarios'!$C$17</f>
        <v>2734.9992706090502</v>
      </c>
    </row>
    <row r="271" spans="2:10" x14ac:dyDescent="0.3">
      <c r="B271" s="127">
        <v>241</v>
      </c>
      <c r="C271" s="206">
        <f>$D$7+1.616874*$E$7</f>
        <v>0.15372099943997797</v>
      </c>
      <c r="D271" s="206">
        <f>MIN($D$8+0.131027*$E$8,'Debt &amp; Cost of Capital'!$C$38)</f>
        <v>5.5786162E-2</v>
      </c>
      <c r="E271" s="207">
        <f>$D$9+-1.002344*$E$9</f>
        <v>0.13715077770254636</v>
      </c>
      <c r="F271" s="207">
        <f>$D$10+-0.109727*$E$10</f>
        <v>0.14368327599999992</v>
      </c>
      <c r="G271" s="208">
        <f>$F271*(1-'Sensitivity &amp; Scenarios'!$C$12)+'Sensitivity &amp; Scenarios'!$C$9*'Sensitivity &amp; Scenarios'!$C$12-'Sensitivity &amp; Scenarios'!$C$10</f>
        <v>7.6713613519264645E-2</v>
      </c>
      <c r="H271" s="209">
        <f>('Sensitivity &amp; Scenarios'!$C$6*(1+$E271)^1*$G271+'Sensitivity &amp; Scenarios'!$C$11*'Sensitivity &amp; Scenarios'!$C$6*((1+$E271)^1-(1+$E271)^0))*'Sensitivity &amp; Scenarios'!$C$18/(1+$C271)^'Sensitivity &amp; Scenarios'!$C$18+('Sensitivity &amp; Scenarios'!$C$6*(1+$E271)^2*$G271+'Sensitivity &amp; Scenarios'!$C$11*'Sensitivity &amp; Scenarios'!$C$6*((1+$E271)^2-(1+$E271)^1))/(1+$C271)^('Sensitivity &amp; Scenarios'!$C$18+1)+('Sensitivity &amp; Scenarios'!$C$6*(1+$E271)^3*$G271+'Sensitivity &amp; Scenarios'!$C$11*'Sensitivity &amp; Scenarios'!$C$6*((1+$E271)^3-(1+$E271)^2))/(1+$C271)^('Sensitivity &amp; Scenarios'!$C$18+2)+('Sensitivity &amp; Scenarios'!$C$6*(1+$E271)^4*$G271+'Sensitivity &amp; Scenarios'!$C$11*'Sensitivity &amp; Scenarios'!$C$6*((1+$E271)^4-(1+$E271)^3))/(1+$C271)^('Sensitivity &amp; Scenarios'!$C$18+3)+('Sensitivity &amp; Scenarios'!$C$6*(1+$E271)^5*$G271+'Sensitivity &amp; Scenarios'!$C$11*'Sensitivity &amp; Scenarios'!$C$6*((1+$E271)^5-(1+$E271)^4))/(1+$C271)^('Sensitivity &amp; Scenarios'!$C$18+4)</f>
        <v>19843.697701837224</v>
      </c>
      <c r="I271" s="209">
        <f>('Sensitivity &amp; Scenarios'!$C$6*(1+$E271)^5*$G271+'Sensitivity &amp; Scenarios'!$C$11*'Sensitivity &amp; Scenarios'!$C$6*((1+$E271)^5-(1+$E271)^4))*(1+$D271)/($C271-$D271)/(1+$C271)^('Sensitivity &amp; Scenarios'!$C$18+4)</f>
        <v>44952.956726439166</v>
      </c>
      <c r="J271" s="209">
        <f>($H271+$I271-'Sensitivity &amp; Scenarios'!$C$15+'Sensitivity &amp; Scenarios'!$C$16)/'Sensitivity &amp; Scenarios'!$C$17</f>
        <v>1650.451449625242</v>
      </c>
    </row>
    <row r="272" spans="2:10" x14ac:dyDescent="0.3">
      <c r="B272" s="127">
        <v>242</v>
      </c>
      <c r="C272" s="206">
        <f>$D$7+-0.035611*$E$7</f>
        <v>0.13719614943997799</v>
      </c>
      <c r="D272" s="206">
        <f>MIN($D$8+-1.364742*$E$8,'Debt &amp; Cost of Capital'!$C$38)</f>
        <v>4.6811548000000001E-2</v>
      </c>
      <c r="E272" s="207">
        <f>$D$9+-0.255832*$E$9</f>
        <v>0.15954613770254633</v>
      </c>
      <c r="F272" s="207">
        <f>$D$10+-0.742192*$E$10</f>
        <v>0.1360936959999999</v>
      </c>
      <c r="G272" s="208">
        <f>$F272*(1-'Sensitivity &amp; Scenarios'!$C$12)+'Sensitivity &amp; Scenarios'!$C$9*'Sensitivity &amp; Scenarios'!$C$12-'Sensitivity &amp; Scenarios'!$C$10</f>
        <v>7.1034330805264639E-2</v>
      </c>
      <c r="H272" s="209">
        <f>('Sensitivity &amp; Scenarios'!$C$6*(1+$E272)^1*$G272+'Sensitivity &amp; Scenarios'!$C$11*'Sensitivity &amp; Scenarios'!$C$6*((1+$E272)^1-(1+$E272)^0))*'Sensitivity &amp; Scenarios'!$C$18/(1+$C272)^'Sensitivity &amp; Scenarios'!$C$18+('Sensitivity &amp; Scenarios'!$C$6*(1+$E272)^2*$G272+'Sensitivity &amp; Scenarios'!$C$11*'Sensitivity &amp; Scenarios'!$C$6*((1+$E272)^2-(1+$E272)^1))/(1+$C272)^('Sensitivity &amp; Scenarios'!$C$18+1)+('Sensitivity &amp; Scenarios'!$C$6*(1+$E272)^3*$G272+'Sensitivity &amp; Scenarios'!$C$11*'Sensitivity &amp; Scenarios'!$C$6*((1+$E272)^3-(1+$E272)^2))/(1+$C272)^('Sensitivity &amp; Scenarios'!$C$18+2)+('Sensitivity &amp; Scenarios'!$C$6*(1+$E272)^4*$G272+'Sensitivity &amp; Scenarios'!$C$11*'Sensitivity &amp; Scenarios'!$C$6*((1+$E272)^4-(1+$E272)^3))/(1+$C272)^('Sensitivity &amp; Scenarios'!$C$18+3)+('Sensitivity &amp; Scenarios'!$C$6*(1+$E272)^5*$G272+'Sensitivity &amp; Scenarios'!$C$11*'Sensitivity &amp; Scenarios'!$C$6*((1+$E272)^5-(1+$E272)^4))/(1+$C272)^('Sensitivity &amp; Scenarios'!$C$18+4)</f>
        <v>21044.368326581229</v>
      </c>
      <c r="I272" s="209">
        <f>('Sensitivity &amp; Scenarios'!$C$6*(1+$E272)^5*$G272+'Sensitivity &amp; Scenarios'!$C$11*'Sensitivity &amp; Scenarios'!$C$6*((1+$E272)^5-(1+$E272)^4))*(1+$D272)/($C272-$D272)/(1+$C272)^('Sensitivity &amp; Scenarios'!$C$18+4)</f>
        <v>54509.928350071699</v>
      </c>
      <c r="J272" s="209">
        <f>($H272+$I272-'Sensitivity &amp; Scenarios'!$C$15+'Sensitivity &amp; Scenarios'!$C$16)/'Sensitivity &amp; Scenarios'!$C$17</f>
        <v>1876.8866551428951</v>
      </c>
    </row>
    <row r="273" spans="2:10" x14ac:dyDescent="0.3">
      <c r="B273" s="127">
        <v>243</v>
      </c>
      <c r="C273" s="206">
        <f>$D$7+0.924358*$E$7</f>
        <v>0.14679583943997798</v>
      </c>
      <c r="D273" s="206">
        <f>MIN($D$8+0.034612*$E$8,'Debt &amp; Cost of Capital'!$C$38)</f>
        <v>5.5207671999999999E-2</v>
      </c>
      <c r="E273" s="207">
        <f>$D$9+-0.282796*$E$9</f>
        <v>0.15873721770254634</v>
      </c>
      <c r="F273" s="207">
        <f>$D$10+-0.106182*$E$10</f>
        <v>0.1437258159999999</v>
      </c>
      <c r="G273" s="208">
        <f>$F273*(1-'Sensitivity &amp; Scenarios'!$C$12)+'Sensitivity &amp; Scenarios'!$C$9*'Sensitivity &amp; Scenarios'!$C$12-'Sensitivity &amp; Scenarios'!$C$10</f>
        <v>7.6745446201264625E-2</v>
      </c>
      <c r="H273" s="209">
        <f>('Sensitivity &amp; Scenarios'!$C$6*(1+$E273)^1*$G273+'Sensitivity &amp; Scenarios'!$C$11*'Sensitivity &amp; Scenarios'!$C$6*((1+$E273)^1-(1+$E273)^0))*'Sensitivity &amp; Scenarios'!$C$18/(1+$C273)^'Sensitivity &amp; Scenarios'!$C$18+('Sensitivity &amp; Scenarios'!$C$6*(1+$E273)^2*$G273+'Sensitivity &amp; Scenarios'!$C$11*'Sensitivity &amp; Scenarios'!$C$6*((1+$E273)^2-(1+$E273)^1))/(1+$C273)^('Sensitivity &amp; Scenarios'!$C$18+1)+('Sensitivity &amp; Scenarios'!$C$6*(1+$E273)^3*$G273+'Sensitivity &amp; Scenarios'!$C$11*'Sensitivity &amp; Scenarios'!$C$6*((1+$E273)^3-(1+$E273)^2))/(1+$C273)^('Sensitivity &amp; Scenarios'!$C$18+2)+('Sensitivity &amp; Scenarios'!$C$6*(1+$E273)^4*$G273+'Sensitivity &amp; Scenarios'!$C$11*'Sensitivity &amp; Scenarios'!$C$6*((1+$E273)^4-(1+$E273)^3))/(1+$C273)^('Sensitivity &amp; Scenarios'!$C$18+3)+('Sensitivity &amp; Scenarios'!$C$6*(1+$E273)^5*$G273+'Sensitivity &amp; Scenarios'!$C$11*'Sensitivity &amp; Scenarios'!$C$6*((1+$E273)^5-(1+$E273)^4))/(1+$C273)^('Sensitivity &amp; Scenarios'!$C$18+4)</f>
        <v>21849.338441198688</v>
      </c>
      <c r="I273" s="209">
        <f>('Sensitivity &amp; Scenarios'!$C$6*(1+$E273)^5*$G273+'Sensitivity &amp; Scenarios'!$C$11*'Sensitivity &amp; Scenarios'!$C$6*((1+$E273)^5-(1+$E273)^4))*(1+$D273)/($C273-$D273)/(1+$C273)^('Sensitivity &amp; Scenarios'!$C$18+4)</f>
        <v>55376.882678208778</v>
      </c>
      <c r="J273" s="209">
        <f>($H273+$I273-'Sensitivity &amp; Scenarios'!$C$15+'Sensitivity &amp; Scenarios'!$C$16)/'Sensitivity &amp; Scenarios'!$C$17</f>
        <v>1912.078618778072</v>
      </c>
    </row>
    <row r="274" spans="2:10" x14ac:dyDescent="0.3">
      <c r="B274" s="127">
        <v>244</v>
      </c>
      <c r="C274" s="206">
        <f>$D$7+0.223122*$E$7</f>
        <v>0.13978347943997799</v>
      </c>
      <c r="D274" s="206">
        <f>MIN($D$8+0.616814*$E$8,'Debt &amp; Cost of Capital'!$C$38)</f>
        <v>5.8700884000000002E-2</v>
      </c>
      <c r="E274" s="207">
        <f>$D$9+-0.999712*$E$9</f>
        <v>0.13722973770254634</v>
      </c>
      <c r="F274" s="207">
        <f>$D$10+-1.041588*$E$10</f>
        <v>0.1325009439999999</v>
      </c>
      <c r="G274" s="208">
        <f>$F274*(1-'Sensitivity &amp; Scenarios'!$C$12)+'Sensitivity &amp; Scenarios'!$C$9*'Sensitivity &amp; Scenarios'!$C$12-'Sensitivity &amp; Scenarios'!$C$10</f>
        <v>6.8345874483664637E-2</v>
      </c>
      <c r="H274" s="209">
        <f>('Sensitivity &amp; Scenarios'!$C$6*(1+$E274)^1*$G274+'Sensitivity &amp; Scenarios'!$C$11*'Sensitivity &amp; Scenarios'!$C$6*((1+$E274)^1-(1+$E274)^0))*'Sensitivity &amp; Scenarios'!$C$18/(1+$C274)^'Sensitivity &amp; Scenarios'!$C$18+('Sensitivity &amp; Scenarios'!$C$6*(1+$E274)^2*$G274+'Sensitivity &amp; Scenarios'!$C$11*'Sensitivity &amp; Scenarios'!$C$6*((1+$E274)^2-(1+$E274)^1))/(1+$C274)^('Sensitivity &amp; Scenarios'!$C$18+1)+('Sensitivity &amp; Scenarios'!$C$6*(1+$E274)^3*$G274+'Sensitivity &amp; Scenarios'!$C$11*'Sensitivity &amp; Scenarios'!$C$6*((1+$E274)^3-(1+$E274)^2))/(1+$C274)^('Sensitivity &amp; Scenarios'!$C$18+2)+('Sensitivity &amp; Scenarios'!$C$6*(1+$E274)^4*$G274+'Sensitivity &amp; Scenarios'!$C$11*'Sensitivity &amp; Scenarios'!$C$6*((1+$E274)^4-(1+$E274)^3))/(1+$C274)^('Sensitivity &amp; Scenarios'!$C$18+3)+('Sensitivity &amp; Scenarios'!$C$6*(1+$E274)^5*$G274+'Sensitivity &amp; Scenarios'!$C$11*'Sensitivity &amp; Scenarios'!$C$6*((1+$E274)^5-(1+$E274)^4))/(1+$C274)^('Sensitivity &amp; Scenarios'!$C$18+4)</f>
        <v>18621.589271569184</v>
      </c>
      <c r="I274" s="209">
        <f>('Sensitivity &amp; Scenarios'!$C$6*(1+$E274)^5*$G274+'Sensitivity &amp; Scenarios'!$C$11*'Sensitivity &amp; Scenarios'!$C$6*((1+$E274)^5-(1+$E274)^4))*(1+$D274)/($C274-$D274)/(1+$C274)^('Sensitivity &amp; Scenarios'!$C$18+4)</f>
        <v>52265.575673348387</v>
      </c>
      <c r="J274" s="209">
        <f>($H274+$I274-'Sensitivity &amp; Scenarios'!$C$15+'Sensitivity &amp; Scenarios'!$C$16)/'Sensitivity &amp; Scenarios'!$C$17</f>
        <v>1778.6492432218081</v>
      </c>
    </row>
    <row r="275" spans="2:10" x14ac:dyDescent="0.3">
      <c r="B275" s="127">
        <v>245</v>
      </c>
      <c r="C275" s="206">
        <f>$D$7+1.104679*$E$7</f>
        <v>0.14859904943997798</v>
      </c>
      <c r="D275" s="206">
        <f>MIN($D$8+-0.412337*$E$8,'Debt &amp; Cost of Capital'!$C$38)</f>
        <v>5.2525978000000001E-2</v>
      </c>
      <c r="E275" s="207">
        <f>$D$9+-1.416842*$E$9</f>
        <v>0.12471583770254635</v>
      </c>
      <c r="F275" s="207">
        <f>$D$10+0.443813*$E$10</f>
        <v>0.15032575599999989</v>
      </c>
      <c r="G275" s="208">
        <f>$F275*(1-'Sensitivity &amp; Scenarios'!$C$12)+'Sensitivity &amp; Scenarios'!$C$9*'Sensitivity &amp; Scenarios'!$C$12-'Sensitivity &amp; Scenarios'!$C$10</f>
        <v>8.168418130326463E-2</v>
      </c>
      <c r="H275" s="209">
        <f>('Sensitivity &amp; Scenarios'!$C$6*(1+$E275)^1*$G275+'Sensitivity &amp; Scenarios'!$C$11*'Sensitivity &amp; Scenarios'!$C$6*((1+$E275)^1-(1+$E275)^0))*'Sensitivity &amp; Scenarios'!$C$18/(1+$C275)^'Sensitivity &amp; Scenarios'!$C$18+('Sensitivity &amp; Scenarios'!$C$6*(1+$E275)^2*$G275+'Sensitivity &amp; Scenarios'!$C$11*'Sensitivity &amp; Scenarios'!$C$6*((1+$E275)^2-(1+$E275)^1))/(1+$C275)^('Sensitivity &amp; Scenarios'!$C$18+1)+('Sensitivity &amp; Scenarios'!$C$6*(1+$E275)^3*$G275+'Sensitivity &amp; Scenarios'!$C$11*'Sensitivity &amp; Scenarios'!$C$6*((1+$E275)^3-(1+$E275)^2))/(1+$C275)^('Sensitivity &amp; Scenarios'!$C$18+2)+('Sensitivity &amp; Scenarios'!$C$6*(1+$E275)^4*$G275+'Sensitivity &amp; Scenarios'!$C$11*'Sensitivity &amp; Scenarios'!$C$6*((1+$E275)^4-(1+$E275)^3))/(1+$C275)^('Sensitivity &amp; Scenarios'!$C$18+3)+('Sensitivity &amp; Scenarios'!$C$6*(1+$E275)^5*$G275+'Sensitivity &amp; Scenarios'!$C$11*'Sensitivity &amp; Scenarios'!$C$6*((1+$E275)^5-(1+$E275)^4))/(1+$C275)^('Sensitivity &amp; Scenarios'!$C$18+4)</f>
        <v>20251.519258754142</v>
      </c>
      <c r="I275" s="209">
        <f>('Sensitivity &amp; Scenarios'!$C$6*(1+$E275)^5*$G275+'Sensitivity &amp; Scenarios'!$C$11*'Sensitivity &amp; Scenarios'!$C$6*((1+$E275)^5-(1+$E275)^4))*(1+$D275)/($C275-$D275)/(1+$C275)^('Sensitivity &amp; Scenarios'!$C$18+4)</f>
        <v>46053.084750968585</v>
      </c>
      <c r="J275" s="209">
        <f>($H275+$I275-'Sensitivity &amp; Scenarios'!$C$15+'Sensitivity &amp; Scenarios'!$C$16)/'Sensitivity &amp; Scenarios'!$C$17</f>
        <v>1682.1919430811001</v>
      </c>
    </row>
    <row r="276" spans="2:10" x14ac:dyDescent="0.3">
      <c r="B276" s="127">
        <v>246</v>
      </c>
      <c r="C276" s="206">
        <f>$D$7+0.46337*$E$7</f>
        <v>0.14218595943997797</v>
      </c>
      <c r="D276" s="206">
        <f>MIN($D$8+-1.530715*$E$8,'Debt &amp; Cost of Capital'!$C$38)</f>
        <v>4.5815709999999996E-2</v>
      </c>
      <c r="E276" s="207">
        <f>$D$9+0.229482*$E$9</f>
        <v>0.17410555770254635</v>
      </c>
      <c r="F276" s="207">
        <f>$D$10+0.735583*$E$10</f>
        <v>0.15382699599999991</v>
      </c>
      <c r="G276" s="208">
        <f>$F276*(1-'Sensitivity &amp; Scenarios'!$C$12)+'Sensitivity &amp; Scenarios'!$C$9*'Sensitivity &amp; Scenarios'!$C$12-'Sensitivity &amp; Scenarios'!$C$10</f>
        <v>8.4304159195264641E-2</v>
      </c>
      <c r="H276" s="209">
        <f>('Sensitivity &amp; Scenarios'!$C$6*(1+$E276)^1*$G276+'Sensitivity &amp; Scenarios'!$C$11*'Sensitivity &amp; Scenarios'!$C$6*((1+$E276)^1-(1+$E276)^0))*'Sensitivity &amp; Scenarios'!$C$18/(1+$C276)^'Sensitivity &amp; Scenarios'!$C$18+('Sensitivity &amp; Scenarios'!$C$6*(1+$E276)^2*$G276+'Sensitivity &amp; Scenarios'!$C$11*'Sensitivity &amp; Scenarios'!$C$6*((1+$E276)^2-(1+$E276)^1))/(1+$C276)^('Sensitivity &amp; Scenarios'!$C$18+1)+('Sensitivity &amp; Scenarios'!$C$6*(1+$E276)^3*$G276+'Sensitivity &amp; Scenarios'!$C$11*'Sensitivity &amp; Scenarios'!$C$6*((1+$E276)^3-(1+$E276)^2))/(1+$C276)^('Sensitivity &amp; Scenarios'!$C$18+2)+('Sensitivity &amp; Scenarios'!$C$6*(1+$E276)^4*$G276+'Sensitivity &amp; Scenarios'!$C$11*'Sensitivity &amp; Scenarios'!$C$6*((1+$E276)^4-(1+$E276)^3))/(1+$C276)^('Sensitivity &amp; Scenarios'!$C$18+3)+('Sensitivity &amp; Scenarios'!$C$6*(1+$E276)^5*$G276+'Sensitivity &amp; Scenarios'!$C$11*'Sensitivity &amp; Scenarios'!$C$6*((1+$E276)^5-(1+$E276)^4))/(1+$C276)^('Sensitivity &amp; Scenarios'!$C$18+4)</f>
        <v>25258.438955299123</v>
      </c>
      <c r="I276" s="209">
        <f>('Sensitivity &amp; Scenarios'!$C$6*(1+$E276)^5*$G276+'Sensitivity &amp; Scenarios'!$C$11*'Sensitivity &amp; Scenarios'!$C$6*((1+$E276)^5-(1+$E276)^4))*(1+$D276)/($C276-$D276)/(1+$C276)^('Sensitivity &amp; Scenarios'!$C$18+4)</f>
        <v>62203.126467331131</v>
      </c>
      <c r="J276" s="209">
        <f>($H276+$I276-'Sensitivity &amp; Scenarios'!$C$15+'Sensitivity &amp; Scenarios'!$C$16)/'Sensitivity &amp; Scenarios'!$C$17</f>
        <v>2127.5200916708854</v>
      </c>
    </row>
    <row r="277" spans="2:10" x14ac:dyDescent="0.3">
      <c r="B277" s="127">
        <v>247</v>
      </c>
      <c r="C277" s="206">
        <f>$D$7+0.374386*$E$7</f>
        <v>0.14129611943997797</v>
      </c>
      <c r="D277" s="206">
        <f>MIN($D$8+0.631981*$E$8,'Debt &amp; Cost of Capital'!$C$38)</f>
        <v>5.8791886000000002E-2</v>
      </c>
      <c r="E277" s="207">
        <f>$D$9+-1.404269*$E$9</f>
        <v>0.12509302770254635</v>
      </c>
      <c r="F277" s="207">
        <f>$D$10+0.33104*$E$10</f>
        <v>0.14897247999999991</v>
      </c>
      <c r="G277" s="208">
        <f>$F277*(1-'Sensitivity &amp; Scenarios'!$C$12)+'Sensitivity &amp; Scenarios'!$C$9*'Sensitivity &amp; Scenarios'!$C$12-'Sensitivity &amp; Scenarios'!$C$10</f>
        <v>8.0671524872464637E-2</v>
      </c>
      <c r="H277" s="209">
        <f>('Sensitivity &amp; Scenarios'!$C$6*(1+$E277)^1*$G277+'Sensitivity &amp; Scenarios'!$C$11*'Sensitivity &amp; Scenarios'!$C$6*((1+$E277)^1-(1+$E277)^0))*'Sensitivity &amp; Scenarios'!$C$18/(1+$C277)^'Sensitivity &amp; Scenarios'!$C$18+('Sensitivity &amp; Scenarios'!$C$6*(1+$E277)^2*$G277+'Sensitivity &amp; Scenarios'!$C$11*'Sensitivity &amp; Scenarios'!$C$6*((1+$E277)^2-(1+$E277)^1))/(1+$C277)^('Sensitivity &amp; Scenarios'!$C$18+1)+('Sensitivity &amp; Scenarios'!$C$6*(1+$E277)^3*$G277+'Sensitivity &amp; Scenarios'!$C$11*'Sensitivity &amp; Scenarios'!$C$6*((1+$E277)^3-(1+$E277)^2))/(1+$C277)^('Sensitivity &amp; Scenarios'!$C$18+2)+('Sensitivity &amp; Scenarios'!$C$6*(1+$E277)^4*$G277+'Sensitivity &amp; Scenarios'!$C$11*'Sensitivity &amp; Scenarios'!$C$6*((1+$E277)^4-(1+$E277)^3))/(1+$C277)^('Sensitivity &amp; Scenarios'!$C$18+3)+('Sensitivity &amp; Scenarios'!$C$6*(1+$E277)^5*$G277+'Sensitivity &amp; Scenarios'!$C$11*'Sensitivity &amp; Scenarios'!$C$6*((1+$E277)^5-(1+$E277)^4))/(1+$C277)^('Sensitivity &amp; Scenarios'!$C$18+4)</f>
        <v>20417.364113112897</v>
      </c>
      <c r="I277" s="209">
        <f>('Sensitivity &amp; Scenarios'!$C$6*(1+$E277)^5*$G277+'Sensitivity &amp; Scenarios'!$C$11*'Sensitivity &amp; Scenarios'!$C$6*((1+$E277)^5-(1+$E277)^4))*(1+$D277)/($C277-$D277)/(1+$C277)^('Sensitivity &amp; Scenarios'!$C$18+4)</f>
        <v>55076.582141959007</v>
      </c>
      <c r="J277" s="209">
        <f>($H277+$I277-'Sensitivity &amp; Scenarios'!$C$15+'Sensitivity &amp; Scenarios'!$C$16)/'Sensitivity &amp; Scenarios'!$C$17</f>
        <v>1875.616352617652</v>
      </c>
    </row>
    <row r="278" spans="2:10" x14ac:dyDescent="0.3">
      <c r="B278" s="127">
        <v>248</v>
      </c>
      <c r="C278" s="206">
        <f>$D$7+-0.30262*$E$7</f>
        <v>0.13452605943997797</v>
      </c>
      <c r="D278" s="206">
        <f>MIN($D$8+-0.48279*$E$8,'Debt &amp; Cost of Capital'!$C$38)</f>
        <v>5.2103259999999998E-2</v>
      </c>
      <c r="E278" s="207">
        <f>$D$9+0.870556*$E$9</f>
        <v>0.19333777770254634</v>
      </c>
      <c r="F278" s="207">
        <f>$D$10+1.479275*$E$10</f>
        <v>0.1627512999999999</v>
      </c>
      <c r="G278" s="208">
        <f>$F278*(1-'Sensitivity &amp; Scenarios'!$C$12)+'Sensitivity &amp; Scenarios'!$C$9*'Sensitivity &amp; Scenarios'!$C$12-'Sensitivity &amp; Scenarios'!$C$10</f>
        <v>9.098221587846464E-2</v>
      </c>
      <c r="H278" s="209">
        <f>('Sensitivity &amp; Scenarios'!$C$6*(1+$E278)^1*$G278+'Sensitivity &amp; Scenarios'!$C$11*'Sensitivity &amp; Scenarios'!$C$6*((1+$E278)^1-(1+$E278)^0))*'Sensitivity &amp; Scenarios'!$C$18/(1+$C278)^'Sensitivity &amp; Scenarios'!$C$18+('Sensitivity &amp; Scenarios'!$C$6*(1+$E278)^2*$G278+'Sensitivity &amp; Scenarios'!$C$11*'Sensitivity &amp; Scenarios'!$C$6*((1+$E278)^2-(1+$E278)^1))/(1+$C278)^('Sensitivity &amp; Scenarios'!$C$18+1)+('Sensitivity &amp; Scenarios'!$C$6*(1+$E278)^3*$G278+'Sensitivity &amp; Scenarios'!$C$11*'Sensitivity &amp; Scenarios'!$C$6*((1+$E278)^3-(1+$E278)^2))/(1+$C278)^('Sensitivity &amp; Scenarios'!$C$18+2)+('Sensitivity &amp; Scenarios'!$C$6*(1+$E278)^4*$G278+'Sensitivity &amp; Scenarios'!$C$11*'Sensitivity &amp; Scenarios'!$C$6*((1+$E278)^4-(1+$E278)^3))/(1+$C278)^('Sensitivity &amp; Scenarios'!$C$18+3)+('Sensitivity &amp; Scenarios'!$C$6*(1+$E278)^5*$G278+'Sensitivity &amp; Scenarios'!$C$11*'Sensitivity &amp; Scenarios'!$C$6*((1+$E278)^5-(1+$E278)^4))/(1+$C278)^('Sensitivity &amp; Scenarios'!$C$18+4)</f>
        <v>29345.003864788494</v>
      </c>
      <c r="I278" s="209">
        <f>('Sensitivity &amp; Scenarios'!$C$6*(1+$E278)^5*$G278+'Sensitivity &amp; Scenarios'!$C$11*'Sensitivity &amp; Scenarios'!$C$6*((1+$E278)^5-(1+$E278)^4))*(1+$D278)/($C278-$D278)/(1+$C278)^('Sensitivity &amp; Scenarios'!$C$18+4)</f>
        <v>88533.750503107614</v>
      </c>
      <c r="J278" s="209">
        <f>($H278+$I278-'Sensitivity &amp; Scenarios'!$C$15+'Sensitivity &amp; Scenarios'!$C$16)/'Sensitivity &amp; Scenarios'!$C$17</f>
        <v>2767.7646983485224</v>
      </c>
    </row>
    <row r="279" spans="2:10" x14ac:dyDescent="0.3">
      <c r="B279" s="127">
        <v>249</v>
      </c>
      <c r="C279" s="206">
        <f>$D$7+1.79437*$E$7</f>
        <v>0.15549595943997799</v>
      </c>
      <c r="D279" s="206">
        <f>MIN($D$8+1.314808*$E$8,'Debt &amp; Cost of Capital'!$C$38)</f>
        <v>6.2888847999999997E-2</v>
      </c>
      <c r="E279" s="207">
        <f>$D$9+-0.109734*$E$9</f>
        <v>0.16392907770254633</v>
      </c>
      <c r="F279" s="207">
        <f>$D$10+0.35272*$E$10</f>
        <v>0.14923263999999992</v>
      </c>
      <c r="G279" s="208">
        <f>$F279*(1-'Sensitivity &amp; Scenarios'!$C$12)+'Sensitivity &amp; Scenarios'!$C$9*'Sensitivity &amp; Scenarios'!$C$12-'Sensitivity &amp; Scenarios'!$C$10</f>
        <v>8.0866202600464648E-2</v>
      </c>
      <c r="H279" s="209">
        <f>('Sensitivity &amp; Scenarios'!$C$6*(1+$E279)^1*$G279+'Sensitivity &amp; Scenarios'!$C$11*'Sensitivity &amp; Scenarios'!$C$6*((1+$E279)^1-(1+$E279)^0))*'Sensitivity &amp; Scenarios'!$C$18/(1+$C279)^'Sensitivity &amp; Scenarios'!$C$18+('Sensitivity &amp; Scenarios'!$C$6*(1+$E279)^2*$G279+'Sensitivity &amp; Scenarios'!$C$11*'Sensitivity &amp; Scenarios'!$C$6*((1+$E279)^2-(1+$E279)^1))/(1+$C279)^('Sensitivity &amp; Scenarios'!$C$18+1)+('Sensitivity &amp; Scenarios'!$C$6*(1+$E279)^3*$G279+'Sensitivity &amp; Scenarios'!$C$11*'Sensitivity &amp; Scenarios'!$C$6*((1+$E279)^3-(1+$E279)^2))/(1+$C279)^('Sensitivity &amp; Scenarios'!$C$18+2)+('Sensitivity &amp; Scenarios'!$C$6*(1+$E279)^4*$G279+'Sensitivity &amp; Scenarios'!$C$11*'Sensitivity &amp; Scenarios'!$C$6*((1+$E279)^4-(1+$E279)^3))/(1+$C279)^('Sensitivity &amp; Scenarios'!$C$18+3)+('Sensitivity &amp; Scenarios'!$C$6*(1+$E279)^5*$G279+'Sensitivity &amp; Scenarios'!$C$11*'Sensitivity &amp; Scenarios'!$C$6*((1+$E279)^5-(1+$E279)^4))/(1+$C279)^('Sensitivity &amp; Scenarios'!$C$18+4)</f>
        <v>22770.196125264712</v>
      </c>
      <c r="I279" s="209">
        <f>('Sensitivity &amp; Scenarios'!$C$6*(1+$E279)^5*$G279+'Sensitivity &amp; Scenarios'!$C$11*'Sensitivity &amp; Scenarios'!$C$6*((1+$E279)^5-(1+$E279)^4))*(1+$D279)/($C279-$D279)/(1+$C279)^('Sensitivity &amp; Scenarios'!$C$18+4)</f>
        <v>57168.178037450161</v>
      </c>
      <c r="J279" s="209">
        <f>($H279+$I279-'Sensitivity &amp; Scenarios'!$C$15+'Sensitivity &amp; Scenarios'!$C$16)/'Sensitivity &amp; Scenarios'!$C$17</f>
        <v>1969.1661215577192</v>
      </c>
    </row>
    <row r="280" spans="2:10" x14ac:dyDescent="0.3">
      <c r="B280" s="127">
        <v>250</v>
      </c>
      <c r="C280" s="206">
        <f>$D$7+0.766823*$E$7</f>
        <v>0.14522048943997798</v>
      </c>
      <c r="D280" s="206">
        <f>MIN($D$8+0.121178*$E$8,'Debt &amp; Cost of Capital'!$C$38)</f>
        <v>5.5727067999999998E-2</v>
      </c>
      <c r="E280" s="207">
        <f>$D$9+0.130764*$E$9</f>
        <v>0.17114401770254634</v>
      </c>
      <c r="F280" s="207">
        <f>$D$10+0.823753*$E$10</f>
        <v>0.15488503599999992</v>
      </c>
      <c r="G280" s="208">
        <f>$F280*(1-'Sensitivity &amp; Scenarios'!$C$12)+'Sensitivity &amp; Scenarios'!$C$9*'Sensitivity &amp; Scenarios'!$C$12-'Sensitivity &amp; Scenarios'!$C$10</f>
        <v>8.5095890527264642E-2</v>
      </c>
      <c r="H280" s="209">
        <f>('Sensitivity &amp; Scenarios'!$C$6*(1+$E280)^1*$G280+'Sensitivity &amp; Scenarios'!$C$11*'Sensitivity &amp; Scenarios'!$C$6*((1+$E280)^1-(1+$E280)^0))*'Sensitivity &amp; Scenarios'!$C$18/(1+$C280)^'Sensitivity &amp; Scenarios'!$C$18+('Sensitivity &amp; Scenarios'!$C$6*(1+$E280)^2*$G280+'Sensitivity &amp; Scenarios'!$C$11*'Sensitivity &amp; Scenarios'!$C$6*((1+$E280)^2-(1+$E280)^1))/(1+$C280)^('Sensitivity &amp; Scenarios'!$C$18+1)+('Sensitivity &amp; Scenarios'!$C$6*(1+$E280)^3*$G280+'Sensitivity &amp; Scenarios'!$C$11*'Sensitivity &amp; Scenarios'!$C$6*((1+$E280)^3-(1+$E280)^2))/(1+$C280)^('Sensitivity &amp; Scenarios'!$C$18+2)+('Sensitivity &amp; Scenarios'!$C$6*(1+$E280)^4*$G280+'Sensitivity &amp; Scenarios'!$C$11*'Sensitivity &amp; Scenarios'!$C$6*((1+$E280)^4-(1+$E280)^3))/(1+$C280)^('Sensitivity &amp; Scenarios'!$C$18+3)+('Sensitivity &amp; Scenarios'!$C$6*(1+$E280)^5*$G280+'Sensitivity &amp; Scenarios'!$C$11*'Sensitivity &amp; Scenarios'!$C$6*((1+$E280)^5-(1+$E280)^4))/(1+$C280)^('Sensitivity &amp; Scenarios'!$C$18+4)</f>
        <v>25004.148080496969</v>
      </c>
      <c r="I280" s="209">
        <f>('Sensitivity &amp; Scenarios'!$C$6*(1+$E280)^5*$G280+'Sensitivity &amp; Scenarios'!$C$11*'Sensitivity &amp; Scenarios'!$C$6*((1+$E280)^5-(1+$E280)^4))*(1+$D280)/($C280-$D280)/(1+$C280)^('Sensitivity &amp; Scenarios'!$C$18+4)</f>
        <v>66317.197433530222</v>
      </c>
      <c r="J280" s="209">
        <f>($H280+$I280-'Sensitivity &amp; Scenarios'!$C$15+'Sensitivity &amp; Scenarios'!$C$16)/'Sensitivity &amp; Scenarios'!$C$17</f>
        <v>2208.7637394953249</v>
      </c>
    </row>
    <row r="281" spans="2:10" x14ac:dyDescent="0.3">
      <c r="B281" s="127">
        <v>251</v>
      </c>
      <c r="C281" s="206">
        <f>$D$7+-0.059283*$E$7</f>
        <v>0.13695942943997799</v>
      </c>
      <c r="D281" s="206">
        <f>MIN($D$8+-0.729287*$E$8,'Debt &amp; Cost of Capital'!$C$38)</f>
        <v>5.0624278000000002E-2</v>
      </c>
      <c r="E281" s="207">
        <f>$D$9+-0.414473*$E$9</f>
        <v>0.15478690770254633</v>
      </c>
      <c r="F281" s="207">
        <f>$D$10+0.63391*$E$10</f>
        <v>0.1526069199999999</v>
      </c>
      <c r="G281" s="208">
        <f>$F281*(1-'Sensitivity &amp; Scenarios'!$C$12)+'Sensitivity &amp; Scenarios'!$C$9*'Sensitivity &amp; Scenarios'!$C$12-'Sensitivity &amp; Scenarios'!$C$10</f>
        <v>8.3391176324464633E-2</v>
      </c>
      <c r="H281" s="209">
        <f>('Sensitivity &amp; Scenarios'!$C$6*(1+$E281)^1*$G281+'Sensitivity &amp; Scenarios'!$C$11*'Sensitivity &amp; Scenarios'!$C$6*((1+$E281)^1-(1+$E281)^0))*'Sensitivity &amp; Scenarios'!$C$18/(1+$C281)^'Sensitivity &amp; Scenarios'!$C$18+('Sensitivity &amp; Scenarios'!$C$6*(1+$E281)^2*$G281+'Sensitivity &amp; Scenarios'!$C$11*'Sensitivity &amp; Scenarios'!$C$6*((1+$E281)^2-(1+$E281)^1))/(1+$C281)^('Sensitivity &amp; Scenarios'!$C$18+1)+('Sensitivity &amp; Scenarios'!$C$6*(1+$E281)^3*$G281+'Sensitivity &amp; Scenarios'!$C$11*'Sensitivity &amp; Scenarios'!$C$6*((1+$E281)^3-(1+$E281)^2))/(1+$C281)^('Sensitivity &amp; Scenarios'!$C$18+2)+('Sensitivity &amp; Scenarios'!$C$6*(1+$E281)^4*$G281+'Sensitivity &amp; Scenarios'!$C$11*'Sensitivity &amp; Scenarios'!$C$6*((1+$E281)^4-(1+$E281)^3))/(1+$C281)^('Sensitivity &amp; Scenarios'!$C$18+3)+('Sensitivity &amp; Scenarios'!$C$6*(1+$E281)^5*$G281+'Sensitivity &amp; Scenarios'!$C$11*'Sensitivity &amp; Scenarios'!$C$6*((1+$E281)^5-(1+$E281)^4))/(1+$C281)^('Sensitivity &amp; Scenarios'!$C$18+4)</f>
        <v>23668.172238802566</v>
      </c>
      <c r="I281" s="209">
        <f>('Sensitivity &amp; Scenarios'!$C$6*(1+$E281)^5*$G281+'Sensitivity &amp; Scenarios'!$C$11*'Sensitivity &amp; Scenarios'!$C$6*((1+$E281)^5-(1+$E281)^4))*(1+$D281)/($C281-$D281)/(1+$C281)^('Sensitivity &amp; Scenarios'!$C$18+4)</f>
        <v>63961.883373009252</v>
      </c>
      <c r="J281" s="209">
        <f>($H281+$I281-'Sensitivity &amp; Scenarios'!$C$15+'Sensitivity &amp; Scenarios'!$C$16)/'Sensitivity &amp; Scenarios'!$C$17</f>
        <v>2131.0666039766643</v>
      </c>
    </row>
    <row r="282" spans="2:10" x14ac:dyDescent="0.3">
      <c r="B282" s="127">
        <v>252</v>
      </c>
      <c r="C282" s="206">
        <f>$D$7+0.002993*$E$7</f>
        <v>0.13758218943997799</v>
      </c>
      <c r="D282" s="206">
        <f>MIN($D$8+0.34021*$E$8,'Debt &amp; Cost of Capital'!$C$38)</f>
        <v>5.7041260000000003E-2</v>
      </c>
      <c r="E282" s="207">
        <f>$D$9+0.670079*$E$9</f>
        <v>0.18732346770254635</v>
      </c>
      <c r="F282" s="207">
        <f>$D$10+-0.374841*$E$10</f>
        <v>0.1405019079999999</v>
      </c>
      <c r="G282" s="208">
        <f>$F282*(1-'Sensitivity &amp; Scenarios'!$C$12)+'Sensitivity &amp; Scenarios'!$C$9*'Sensitivity &amp; Scenarios'!$C$12-'Sensitivity &amp; Scenarios'!$C$10</f>
        <v>7.4332995844864636E-2</v>
      </c>
      <c r="H282" s="209">
        <f>('Sensitivity &amp; Scenarios'!$C$6*(1+$E282)^1*$G282+'Sensitivity &amp; Scenarios'!$C$11*'Sensitivity &amp; Scenarios'!$C$6*((1+$E282)^1-(1+$E282)^0))*'Sensitivity &amp; Scenarios'!$C$18/(1+$C282)^'Sensitivity &amp; Scenarios'!$C$18+('Sensitivity &amp; Scenarios'!$C$6*(1+$E282)^2*$G282+'Sensitivity &amp; Scenarios'!$C$11*'Sensitivity &amp; Scenarios'!$C$6*((1+$E282)^2-(1+$E282)^1))/(1+$C282)^('Sensitivity &amp; Scenarios'!$C$18+1)+('Sensitivity &amp; Scenarios'!$C$6*(1+$E282)^3*$G282+'Sensitivity &amp; Scenarios'!$C$11*'Sensitivity &amp; Scenarios'!$C$6*((1+$E282)^3-(1+$E282)^2))/(1+$C282)^('Sensitivity &amp; Scenarios'!$C$18+2)+('Sensitivity &amp; Scenarios'!$C$6*(1+$E282)^4*$G282+'Sensitivity &amp; Scenarios'!$C$11*'Sensitivity &amp; Scenarios'!$C$6*((1+$E282)^4-(1+$E282)^3))/(1+$C282)^('Sensitivity &amp; Scenarios'!$C$18+3)+('Sensitivity &amp; Scenarios'!$C$6*(1+$E282)^5*$G282+'Sensitivity &amp; Scenarios'!$C$11*'Sensitivity &amp; Scenarios'!$C$6*((1+$E282)^5-(1+$E282)^4))/(1+$C282)^('Sensitivity &amp; Scenarios'!$C$18+4)</f>
        <v>24139.321189197173</v>
      </c>
      <c r="I282" s="209">
        <f>('Sensitivity &amp; Scenarios'!$C$6*(1+$E282)^5*$G282+'Sensitivity &amp; Scenarios'!$C$11*'Sensitivity &amp; Scenarios'!$C$6*((1+$E282)^5-(1+$E282)^4))*(1+$D282)/($C282-$D282)/(1+$C282)^('Sensitivity &amp; Scenarios'!$C$18+4)</f>
        <v>73867.881373066426</v>
      </c>
      <c r="J282" s="209">
        <f>($H282+$I282-'Sensitivity &amp; Scenarios'!$C$15+'Sensitivity &amp; Scenarios'!$C$16)/'Sensitivity &amp; Scenarios'!$C$17</f>
        <v>2349.4928490739153</v>
      </c>
    </row>
    <row r="283" spans="2:10" x14ac:dyDescent="0.3">
      <c r="B283" s="127">
        <v>253</v>
      </c>
      <c r="C283" s="206">
        <f>$D$7+0.756248*$E$7</f>
        <v>0.14511473943997799</v>
      </c>
      <c r="D283" s="206">
        <f>MIN($D$8+0.378843*$E$8,'Debt &amp; Cost of Capital'!$C$38)</f>
        <v>5.7273058000000002E-2</v>
      </c>
      <c r="E283" s="207">
        <f>$D$9+-1.234813*$E$9</f>
        <v>0.13017670770254636</v>
      </c>
      <c r="F283" s="207">
        <f>$D$10+1.442305*$E$10</f>
        <v>0.16230765999999991</v>
      </c>
      <c r="G283" s="208">
        <f>$F283*(1-'Sensitivity &amp; Scenarios'!$C$12)+'Sensitivity &amp; Scenarios'!$C$9*'Sensitivity &amp; Scenarios'!$C$12-'Sensitivity &amp; Scenarios'!$C$10</f>
        <v>9.0650240066464632E-2</v>
      </c>
      <c r="H283" s="209">
        <f>('Sensitivity &amp; Scenarios'!$C$6*(1+$E283)^1*$G283+'Sensitivity &amp; Scenarios'!$C$11*'Sensitivity &amp; Scenarios'!$C$6*((1+$E283)^1-(1+$E283)^0))*'Sensitivity &amp; Scenarios'!$C$18/(1+$C283)^'Sensitivity &amp; Scenarios'!$C$18+('Sensitivity &amp; Scenarios'!$C$6*(1+$E283)^2*$G283+'Sensitivity &amp; Scenarios'!$C$11*'Sensitivity &amp; Scenarios'!$C$6*((1+$E283)^2-(1+$E283)^1))/(1+$C283)^('Sensitivity &amp; Scenarios'!$C$18+1)+('Sensitivity &amp; Scenarios'!$C$6*(1+$E283)^3*$G283+'Sensitivity &amp; Scenarios'!$C$11*'Sensitivity &amp; Scenarios'!$C$6*((1+$E283)^3-(1+$E283)^2))/(1+$C283)^('Sensitivity &amp; Scenarios'!$C$18+2)+('Sensitivity &amp; Scenarios'!$C$6*(1+$E283)^4*$G283+'Sensitivity &amp; Scenarios'!$C$11*'Sensitivity &amp; Scenarios'!$C$6*((1+$E283)^4-(1+$E283)^3))/(1+$C283)^('Sensitivity &amp; Scenarios'!$C$18+3)+('Sensitivity &amp; Scenarios'!$C$6*(1+$E283)^5*$G283+'Sensitivity &amp; Scenarios'!$C$11*'Sensitivity &amp; Scenarios'!$C$6*((1+$E283)^5-(1+$E283)^4))/(1+$C283)^('Sensitivity &amp; Scenarios'!$C$18+4)</f>
        <v>22818.298381860419</v>
      </c>
      <c r="I283" s="209">
        <f>('Sensitivity &amp; Scenarios'!$C$6*(1+$E283)^5*$G283+'Sensitivity &amp; Scenarios'!$C$11*'Sensitivity &amp; Scenarios'!$C$6*((1+$E283)^5-(1+$E283)^4))*(1+$D283)/($C283-$D283)/(1+$C283)^('Sensitivity &amp; Scenarios'!$C$18+4)</f>
        <v>57856.143389399222</v>
      </c>
      <c r="J283" s="209">
        <f>($H283+$I283-'Sensitivity &amp; Scenarios'!$C$15+'Sensitivity &amp; Scenarios'!$C$16)/'Sensitivity &amp; Scenarios'!$C$17</f>
        <v>1984.6594440132858</v>
      </c>
    </row>
    <row r="284" spans="2:10" x14ac:dyDescent="0.3">
      <c r="B284" s="127">
        <v>254</v>
      </c>
      <c r="C284" s="206">
        <f>$D$7+-0.500745*$E$7</f>
        <v>0.13254480943997798</v>
      </c>
      <c r="D284" s="206">
        <f>MIN($D$8+-1.655095*$E$8,'Debt &amp; Cost of Capital'!$C$38)</f>
        <v>4.5069430000000001E-2</v>
      </c>
      <c r="E284" s="207">
        <f>$D$9+-1.045044*$E$9</f>
        <v>0.13586977770254632</v>
      </c>
      <c r="F284" s="207">
        <f>$D$10+-1.021045*$E$10</f>
        <v>0.1327474599999999</v>
      </c>
      <c r="G284" s="208">
        <f>$F284*(1-'Sensitivity &amp; Scenarios'!$C$12)+'Sensitivity &amp; Scenarios'!$C$9*'Sensitivity &amp; Scenarios'!$C$12-'Sensitivity &amp; Scenarios'!$C$10</f>
        <v>6.8530342406464634E-2</v>
      </c>
      <c r="H284" s="209">
        <f>('Sensitivity &amp; Scenarios'!$C$6*(1+$E284)^1*$G284+'Sensitivity &amp; Scenarios'!$C$11*'Sensitivity &amp; Scenarios'!$C$6*((1+$E284)^1-(1+$E284)^0))*'Sensitivity &amp; Scenarios'!$C$18/(1+$C284)^'Sensitivity &amp; Scenarios'!$C$18+('Sensitivity &amp; Scenarios'!$C$6*(1+$E284)^2*$G284+'Sensitivity &amp; Scenarios'!$C$11*'Sensitivity &amp; Scenarios'!$C$6*((1+$E284)^2-(1+$E284)^1))/(1+$C284)^('Sensitivity &amp; Scenarios'!$C$18+1)+('Sensitivity &amp; Scenarios'!$C$6*(1+$E284)^3*$G284+'Sensitivity &amp; Scenarios'!$C$11*'Sensitivity &amp; Scenarios'!$C$6*((1+$E284)^3-(1+$E284)^2))/(1+$C284)^('Sensitivity &amp; Scenarios'!$C$18+2)+('Sensitivity &amp; Scenarios'!$C$6*(1+$E284)^4*$G284+'Sensitivity &amp; Scenarios'!$C$11*'Sensitivity &amp; Scenarios'!$C$6*((1+$E284)^4-(1+$E284)^3))/(1+$C284)^('Sensitivity &amp; Scenarios'!$C$18+3)+('Sensitivity &amp; Scenarios'!$C$6*(1+$E284)^5*$G284+'Sensitivity &amp; Scenarios'!$C$11*'Sensitivity &amp; Scenarios'!$C$6*((1+$E284)^5-(1+$E284)^4))/(1+$C284)^('Sensitivity &amp; Scenarios'!$C$18+4)</f>
        <v>18900.164170726297</v>
      </c>
      <c r="I284" s="209">
        <f>('Sensitivity &amp; Scenarios'!$C$6*(1+$E284)^5*$G284+'Sensitivity &amp; Scenarios'!$C$11*'Sensitivity &amp; Scenarios'!$C$6*((1+$E284)^5-(1+$E284)^4))*(1+$D284)/($C284-$D284)/(1+$C284)^('Sensitivity &amp; Scenarios'!$C$18+4)</f>
        <v>49002.166017807351</v>
      </c>
      <c r="J284" s="209">
        <f>($H284+$I284-'Sensitivity &amp; Scenarios'!$C$15+'Sensitivity &amp; Scenarios'!$C$16)/'Sensitivity &amp; Scenarios'!$C$17</f>
        <v>1715.822124054499</v>
      </c>
    </row>
    <row r="285" spans="2:10" x14ac:dyDescent="0.3">
      <c r="B285" s="127">
        <v>255</v>
      </c>
      <c r="C285" s="206">
        <f>$D$7+0.052173*$E$7</f>
        <v>0.13807398943997798</v>
      </c>
      <c r="D285" s="206">
        <f>MIN($D$8+-0.273851*$E$8,'Debt &amp; Cost of Capital'!$C$38)</f>
        <v>5.3356894000000002E-2</v>
      </c>
      <c r="E285" s="207">
        <f>$D$9+-0.336832*$E$9</f>
        <v>0.15711613770254634</v>
      </c>
      <c r="F285" s="207">
        <f>$D$10+0.619702*$E$10</f>
        <v>0.1524364239999999</v>
      </c>
      <c r="G285" s="208">
        <f>$F285*(1-'Sensitivity &amp; Scenarios'!$C$12)+'Sensitivity &amp; Scenarios'!$C$9*'Sensitivity &amp; Scenarios'!$C$12-'Sensitivity &amp; Scenarios'!$C$10</f>
        <v>8.3263594167664629E-2</v>
      </c>
      <c r="H285" s="209">
        <f>('Sensitivity &amp; Scenarios'!$C$6*(1+$E285)^1*$G285+'Sensitivity &amp; Scenarios'!$C$11*'Sensitivity &amp; Scenarios'!$C$6*((1+$E285)^1-(1+$E285)^0))*'Sensitivity &amp; Scenarios'!$C$18/(1+$C285)^'Sensitivity &amp; Scenarios'!$C$18+('Sensitivity &amp; Scenarios'!$C$6*(1+$E285)^2*$G285+'Sensitivity &amp; Scenarios'!$C$11*'Sensitivity &amp; Scenarios'!$C$6*((1+$E285)^2-(1+$E285)^1))/(1+$C285)^('Sensitivity &amp; Scenarios'!$C$18+1)+('Sensitivity &amp; Scenarios'!$C$6*(1+$E285)^3*$G285+'Sensitivity &amp; Scenarios'!$C$11*'Sensitivity &amp; Scenarios'!$C$6*((1+$E285)^3-(1+$E285)^2))/(1+$C285)^('Sensitivity &amp; Scenarios'!$C$18+2)+('Sensitivity &amp; Scenarios'!$C$6*(1+$E285)^4*$G285+'Sensitivity &amp; Scenarios'!$C$11*'Sensitivity &amp; Scenarios'!$C$6*((1+$E285)^4-(1+$E285)^3))/(1+$C285)^('Sensitivity &amp; Scenarios'!$C$18+3)+('Sensitivity &amp; Scenarios'!$C$6*(1+$E285)^5*$G285+'Sensitivity &amp; Scenarios'!$C$11*'Sensitivity &amp; Scenarios'!$C$6*((1+$E285)^5-(1+$E285)^4))/(1+$C285)^('Sensitivity &amp; Scenarios'!$C$18+4)</f>
        <v>23770.475822229069</v>
      </c>
      <c r="I285" s="209">
        <f>('Sensitivity &amp; Scenarios'!$C$6*(1+$E285)^5*$G285+'Sensitivity &amp; Scenarios'!$C$11*'Sensitivity &amp; Scenarios'!$C$6*((1+$E285)^5-(1+$E285)^4))*(1+$D285)/($C285-$D285)/(1+$C285)^('Sensitivity &amp; Scenarios'!$C$18+4)</f>
        <v>65758.80009148705</v>
      </c>
      <c r="J285" s="209">
        <f>($H285+$I285-'Sensitivity &amp; Scenarios'!$C$15+'Sensitivity &amp; Scenarios'!$C$16)/'Sensitivity &amp; Scenarios'!$C$17</f>
        <v>2171.0428673116812</v>
      </c>
    </row>
    <row r="286" spans="2:10" x14ac:dyDescent="0.3">
      <c r="B286" s="127">
        <v>256</v>
      </c>
      <c r="C286" s="206">
        <f>$D$7+0.339875*$E$7</f>
        <v>0.14095100943997799</v>
      </c>
      <c r="D286" s="206">
        <f>MIN($D$8+0.316048*$E$8,'Debt &amp; Cost of Capital'!$C$38)</f>
        <v>5.6896288000000003E-2</v>
      </c>
      <c r="E286" s="207">
        <f>$D$9+0.409828*$E$9</f>
        <v>0.17951593770254634</v>
      </c>
      <c r="F286" s="207">
        <f>$D$10+0.616135*$E$10</f>
        <v>0.1523936199999999</v>
      </c>
      <c r="G286" s="208">
        <f>$F286*(1-'Sensitivity &amp; Scenarios'!$C$12)+'Sensitivity &amp; Scenarios'!$C$9*'Sensitivity &amp; Scenarios'!$C$12-'Sensitivity &amp; Scenarios'!$C$10</f>
        <v>8.3231563934464625E-2</v>
      </c>
      <c r="H286" s="209">
        <f>('Sensitivity &amp; Scenarios'!$C$6*(1+$E286)^1*$G286+'Sensitivity &amp; Scenarios'!$C$11*'Sensitivity &amp; Scenarios'!$C$6*((1+$E286)^1-(1+$E286)^0))*'Sensitivity &amp; Scenarios'!$C$18/(1+$C286)^'Sensitivity &amp; Scenarios'!$C$18+('Sensitivity &amp; Scenarios'!$C$6*(1+$E286)^2*$G286+'Sensitivity &amp; Scenarios'!$C$11*'Sensitivity &amp; Scenarios'!$C$6*((1+$E286)^2-(1+$E286)^1))/(1+$C286)^('Sensitivity &amp; Scenarios'!$C$18+1)+('Sensitivity &amp; Scenarios'!$C$6*(1+$E286)^3*$G286+'Sensitivity &amp; Scenarios'!$C$11*'Sensitivity &amp; Scenarios'!$C$6*((1+$E286)^3-(1+$E286)^2))/(1+$C286)^('Sensitivity &amp; Scenarios'!$C$18+2)+('Sensitivity &amp; Scenarios'!$C$6*(1+$E286)^4*$G286+'Sensitivity &amp; Scenarios'!$C$11*'Sensitivity &amp; Scenarios'!$C$6*((1+$E286)^4-(1+$E286)^3))/(1+$C286)^('Sensitivity &amp; Scenarios'!$C$18+3)+('Sensitivity &amp; Scenarios'!$C$6*(1+$E286)^5*$G286+'Sensitivity &amp; Scenarios'!$C$11*'Sensitivity &amp; Scenarios'!$C$6*((1+$E286)^5-(1+$E286)^4))/(1+$C286)^('Sensitivity &amp; Scenarios'!$C$18+4)</f>
        <v>25549.158959762801</v>
      </c>
      <c r="I286" s="209">
        <f>('Sensitivity &amp; Scenarios'!$C$6*(1+$E286)^5*$G286+'Sensitivity &amp; Scenarios'!$C$11*'Sensitivity &amp; Scenarios'!$C$6*((1+$E286)^5-(1+$E286)^4))*(1+$D286)/($C286-$D286)/(1+$C286)^('Sensitivity &amp; Scenarios'!$C$18+4)</f>
        <v>73645.561732763657</v>
      </c>
      <c r="J286" s="209">
        <f>($H286+$I286-'Sensitivity &amp; Scenarios'!$C$15+'Sensitivity &amp; Scenarios'!$C$16)/'Sensitivity &amp; Scenarios'!$C$17</f>
        <v>2374.488652584912</v>
      </c>
    </row>
    <row r="287" spans="2:10" x14ac:dyDescent="0.3">
      <c r="B287" s="127">
        <v>257</v>
      </c>
      <c r="C287" s="206">
        <f>$D$7+-2.107953*$E$7</f>
        <v>0.11647272943997798</v>
      </c>
      <c r="D287" s="206">
        <f>MIN($D$8+-0.364438*$E$8,'Debt &amp; Cost of Capital'!$C$38)</f>
        <v>5.2813371999999997E-2</v>
      </c>
      <c r="E287" s="207">
        <f>$D$9+-2.18021*$E$9</f>
        <v>0.10181479770254634</v>
      </c>
      <c r="F287" s="207">
        <f>$D$10+0.03606*$E$10</f>
        <v>0.1454327199999999</v>
      </c>
      <c r="G287" s="208">
        <f>$F287*(1-'Sensitivity &amp; Scenarios'!$C$12)+'Sensitivity &amp; Scenarios'!$C$9*'Sensitivity &amp; Scenarios'!$C$12-'Sensitivity &amp; Scenarios'!$C$10</f>
        <v>7.8022722464464636E-2</v>
      </c>
      <c r="H287" s="209">
        <f>('Sensitivity &amp; Scenarios'!$C$6*(1+$E287)^1*$G287+'Sensitivity &amp; Scenarios'!$C$11*'Sensitivity &amp; Scenarios'!$C$6*((1+$E287)^1-(1+$E287)^0))*'Sensitivity &amp; Scenarios'!$C$18/(1+$C287)^'Sensitivity &amp; Scenarios'!$C$18+('Sensitivity &amp; Scenarios'!$C$6*(1+$E287)^2*$G287+'Sensitivity &amp; Scenarios'!$C$11*'Sensitivity &amp; Scenarios'!$C$6*((1+$E287)^2-(1+$E287)^1))/(1+$C287)^('Sensitivity &amp; Scenarios'!$C$18+1)+('Sensitivity &amp; Scenarios'!$C$6*(1+$E287)^3*$G287+'Sensitivity &amp; Scenarios'!$C$11*'Sensitivity &amp; Scenarios'!$C$6*((1+$E287)^3-(1+$E287)^2))/(1+$C287)^('Sensitivity &amp; Scenarios'!$C$18+2)+('Sensitivity &amp; Scenarios'!$C$6*(1+$E287)^4*$G287+'Sensitivity &amp; Scenarios'!$C$11*'Sensitivity &amp; Scenarios'!$C$6*((1+$E287)^4-(1+$E287)^3))/(1+$C287)^('Sensitivity &amp; Scenarios'!$C$18+3)+('Sensitivity &amp; Scenarios'!$C$6*(1+$E287)^5*$G287+'Sensitivity &amp; Scenarios'!$C$11*'Sensitivity &amp; Scenarios'!$C$6*((1+$E287)^5-(1+$E287)^4))/(1+$C287)^('Sensitivity &amp; Scenarios'!$C$18+4)</f>
        <v>19290.786620681381</v>
      </c>
      <c r="I287" s="209">
        <f>('Sensitivity &amp; Scenarios'!$C$6*(1+$E287)^5*$G287+'Sensitivity &amp; Scenarios'!$C$11*'Sensitivity &amp; Scenarios'!$C$6*((1+$E287)^5-(1+$E287)^4))*(1+$D287)/($C287-$D287)/(1+$C287)^('Sensitivity &amp; Scenarios'!$C$18+4)</f>
        <v>67197.018908293801</v>
      </c>
      <c r="J287" s="209">
        <f>($H287+$I287-'Sensitivity &amp; Scenarios'!$C$15+'Sensitivity &amp; Scenarios'!$C$16)/'Sensitivity &amp; Scenarios'!$C$17</f>
        <v>2107.0236374708111</v>
      </c>
    </row>
    <row r="288" spans="2:10" x14ac:dyDescent="0.3">
      <c r="B288" s="127">
        <v>258</v>
      </c>
      <c r="C288" s="206">
        <f>$D$7+-0.004633*$E$7</f>
        <v>0.13750592943997797</v>
      </c>
      <c r="D288" s="206">
        <f>MIN($D$8+1.045532*$E$8,'Debt &amp; Cost of Capital'!$C$38)</f>
        <v>6.1273191999999997E-2</v>
      </c>
      <c r="E288" s="207">
        <f>$D$9+1.187634*$E$9</f>
        <v>0.20285011770254635</v>
      </c>
      <c r="F288" s="207">
        <f>$D$10+0.202775*$E$10</f>
        <v>0.14743329999999991</v>
      </c>
      <c r="G288" s="208">
        <f>$F288*(1-'Sensitivity &amp; Scenarios'!$C$12)+'Sensitivity &amp; Scenarios'!$C$9*'Sensitivity &amp; Scenarios'!$C$12-'Sensitivity &amp; Scenarios'!$C$10</f>
        <v>7.951975647846464E-2</v>
      </c>
      <c r="H288" s="209">
        <f>('Sensitivity &amp; Scenarios'!$C$6*(1+$E288)^1*$G288+'Sensitivity &amp; Scenarios'!$C$11*'Sensitivity &amp; Scenarios'!$C$6*((1+$E288)^1-(1+$E288)^0))*'Sensitivity &amp; Scenarios'!$C$18/(1+$C288)^'Sensitivity &amp; Scenarios'!$C$18+('Sensitivity &amp; Scenarios'!$C$6*(1+$E288)^2*$G288+'Sensitivity &amp; Scenarios'!$C$11*'Sensitivity &amp; Scenarios'!$C$6*((1+$E288)^2-(1+$E288)^1))/(1+$C288)^('Sensitivity &amp; Scenarios'!$C$18+1)+('Sensitivity &amp; Scenarios'!$C$6*(1+$E288)^3*$G288+'Sensitivity &amp; Scenarios'!$C$11*'Sensitivity &amp; Scenarios'!$C$6*((1+$E288)^3-(1+$E288)^2))/(1+$C288)^('Sensitivity &amp; Scenarios'!$C$18+2)+('Sensitivity &amp; Scenarios'!$C$6*(1+$E288)^4*$G288+'Sensitivity &amp; Scenarios'!$C$11*'Sensitivity &amp; Scenarios'!$C$6*((1+$E288)^4-(1+$E288)^3))/(1+$C288)^('Sensitivity &amp; Scenarios'!$C$18+3)+('Sensitivity &amp; Scenarios'!$C$6*(1+$E288)^5*$G288+'Sensitivity &amp; Scenarios'!$C$11*'Sensitivity &amp; Scenarios'!$C$6*((1+$E288)^5-(1+$E288)^4))/(1+$C288)^('Sensitivity &amp; Scenarios'!$C$18+4)</f>
        <v>26937.711038387341</v>
      </c>
      <c r="I288" s="209">
        <f>('Sensitivity &amp; Scenarios'!$C$6*(1+$E288)^5*$G288+'Sensitivity &amp; Scenarios'!$C$11*'Sensitivity &amp; Scenarios'!$C$6*((1+$E288)^5-(1+$E288)^4))*(1+$D288)/($C288-$D288)/(1+$C288)^('Sensitivity &amp; Scenarios'!$C$18+4)</f>
        <v>89462.261120839976</v>
      </c>
      <c r="J288" s="209">
        <f>($H288+$I288-'Sensitivity &amp; Scenarios'!$C$15+'Sensitivity &amp; Scenarios'!$C$16)/'Sensitivity &amp; Scenarios'!$C$17</f>
        <v>2736.6381423983744</v>
      </c>
    </row>
    <row r="289" spans="2:10" x14ac:dyDescent="0.3">
      <c r="B289" s="127">
        <v>259</v>
      </c>
      <c r="C289" s="206">
        <f>$D$7+-0.500361*$E$7</f>
        <v>0.13254864943997799</v>
      </c>
      <c r="D289" s="206">
        <f>MIN($D$8+0.485161*$E$8,'Debt &amp; Cost of Capital'!$C$38)</f>
        <v>5.7910966000000001E-2</v>
      </c>
      <c r="E289" s="207">
        <f>$D$9+-0.527918*$E$9</f>
        <v>0.15138355770254633</v>
      </c>
      <c r="F289" s="207">
        <f>$D$10+-0.001393*$E$10</f>
        <v>0.14498328399999991</v>
      </c>
      <c r="G289" s="208">
        <f>$F289*(1-'Sensitivity &amp; Scenarios'!$C$12)+'Sensitivity &amp; Scenarios'!$C$9*'Sensitivity &amp; Scenarios'!$C$12-'Sensitivity &amp; Scenarios'!$C$10</f>
        <v>7.7686409505664633E-2</v>
      </c>
      <c r="H289" s="209">
        <f>('Sensitivity &amp; Scenarios'!$C$6*(1+$E289)^1*$G289+'Sensitivity &amp; Scenarios'!$C$11*'Sensitivity &amp; Scenarios'!$C$6*((1+$E289)^1-(1+$E289)^0))*'Sensitivity &amp; Scenarios'!$C$18/(1+$C289)^'Sensitivity &amp; Scenarios'!$C$18+('Sensitivity &amp; Scenarios'!$C$6*(1+$E289)^2*$G289+'Sensitivity &amp; Scenarios'!$C$11*'Sensitivity &amp; Scenarios'!$C$6*((1+$E289)^2-(1+$E289)^1))/(1+$C289)^('Sensitivity &amp; Scenarios'!$C$18+1)+('Sensitivity &amp; Scenarios'!$C$6*(1+$E289)^3*$G289+'Sensitivity &amp; Scenarios'!$C$11*'Sensitivity &amp; Scenarios'!$C$6*((1+$E289)^3-(1+$E289)^2))/(1+$C289)^('Sensitivity &amp; Scenarios'!$C$18+2)+('Sensitivity &amp; Scenarios'!$C$6*(1+$E289)^4*$G289+'Sensitivity &amp; Scenarios'!$C$11*'Sensitivity &amp; Scenarios'!$C$6*((1+$E289)^4-(1+$E289)^3))/(1+$C289)^('Sensitivity &amp; Scenarios'!$C$18+3)+('Sensitivity &amp; Scenarios'!$C$6*(1+$E289)^5*$G289+'Sensitivity &amp; Scenarios'!$C$11*'Sensitivity &amp; Scenarios'!$C$6*((1+$E289)^5-(1+$E289)^4))/(1+$C289)^('Sensitivity &amp; Scenarios'!$C$18+4)</f>
        <v>22258.981392505782</v>
      </c>
      <c r="I289" s="209">
        <f>('Sensitivity &amp; Scenarios'!$C$6*(1+$E289)^5*$G289+'Sensitivity &amp; Scenarios'!$C$11*'Sensitivity &amp; Scenarios'!$C$6*((1+$E289)^5-(1+$E289)^4))*(1+$D289)/($C289-$D289)/(1+$C289)^('Sensitivity &amp; Scenarios'!$C$18+4)</f>
        <v>70182.582218219264</v>
      </c>
      <c r="J289" s="209">
        <f>($H289+$I289-'Sensitivity &amp; Scenarios'!$C$15+'Sensitivity &amp; Scenarios'!$C$16)/'Sensitivity &amp; Scenarios'!$C$17</f>
        <v>2232.3429596528508</v>
      </c>
    </row>
    <row r="290" spans="2:10" x14ac:dyDescent="0.3">
      <c r="B290" s="127">
        <v>260</v>
      </c>
      <c r="C290" s="206">
        <f>$D$7+0.986136*$E$7</f>
        <v>0.14741361943997799</v>
      </c>
      <c r="D290" s="206">
        <f>MIN($D$8+-0.557771*$E$8,'Debt &amp; Cost of Capital'!$C$38)</f>
        <v>5.1653374000000002E-2</v>
      </c>
      <c r="E290" s="207">
        <f>$D$9+0.805679*$E$9</f>
        <v>0.19139146770254634</v>
      </c>
      <c r="F290" s="207">
        <f>$D$10+0.677401*$E$10</f>
        <v>0.15312881199999992</v>
      </c>
      <c r="G290" s="208">
        <f>$F290*(1-'Sensitivity &amp; Scenarios'!$C$12)+'Sensitivity &amp; Scenarios'!$C$9*'Sensitivity &amp; Scenarios'!$C$12-'Sensitivity &amp; Scenarios'!$C$10</f>
        <v>8.3781708108064651E-2</v>
      </c>
      <c r="H290" s="209">
        <f>('Sensitivity &amp; Scenarios'!$C$6*(1+$E290)^1*$G290+'Sensitivity &amp; Scenarios'!$C$11*'Sensitivity &amp; Scenarios'!$C$6*((1+$E290)^1-(1+$E290)^0))*'Sensitivity &amp; Scenarios'!$C$18/(1+$C290)^'Sensitivity &amp; Scenarios'!$C$18+('Sensitivity &amp; Scenarios'!$C$6*(1+$E290)^2*$G290+'Sensitivity &amp; Scenarios'!$C$11*'Sensitivity &amp; Scenarios'!$C$6*((1+$E290)^2-(1+$E290)^1))/(1+$C290)^('Sensitivity &amp; Scenarios'!$C$18+1)+('Sensitivity &amp; Scenarios'!$C$6*(1+$E290)^3*$G290+'Sensitivity &amp; Scenarios'!$C$11*'Sensitivity &amp; Scenarios'!$C$6*((1+$E290)^3-(1+$E290)^2))/(1+$C290)^('Sensitivity &amp; Scenarios'!$C$18+2)+('Sensitivity &amp; Scenarios'!$C$6*(1+$E290)^4*$G290+'Sensitivity &amp; Scenarios'!$C$11*'Sensitivity &amp; Scenarios'!$C$6*((1+$E290)^4-(1+$E290)^3))/(1+$C290)^('Sensitivity &amp; Scenarios'!$C$18+3)+('Sensitivity &amp; Scenarios'!$C$6*(1+$E290)^5*$G290+'Sensitivity &amp; Scenarios'!$C$11*'Sensitivity &amp; Scenarios'!$C$6*((1+$E290)^5-(1+$E290)^4))/(1+$C290)^('Sensitivity &amp; Scenarios'!$C$18+4)</f>
        <v>26349.580030421515</v>
      </c>
      <c r="I290" s="209">
        <f>('Sensitivity &amp; Scenarios'!$C$6*(1+$E290)^5*$G290+'Sensitivity &amp; Scenarios'!$C$11*'Sensitivity &amp; Scenarios'!$C$6*((1+$E290)^5-(1+$E290)^4))*(1+$D290)/($C290-$D290)/(1+$C290)^('Sensitivity &amp; Scenarios'!$C$18+4)</f>
        <v>66854.952070732877</v>
      </c>
      <c r="J290" s="209">
        <f>($H290+$I290-'Sensitivity &amp; Scenarios'!$C$15+'Sensitivity &amp; Scenarios'!$C$16)/'Sensitivity &amp; Scenarios'!$C$17</f>
        <v>2248.4025127542686</v>
      </c>
    </row>
    <row r="291" spans="2:10" x14ac:dyDescent="0.3">
      <c r="B291" s="127">
        <v>261</v>
      </c>
      <c r="C291" s="206">
        <f>$D$7+-0.954792*$E$7</f>
        <v>0.12800433943997799</v>
      </c>
      <c r="D291" s="206">
        <f>MIN($D$8+0.973894*$E$8,'Debt &amp; Cost of Capital'!$C$38)</f>
        <v>6.0843363999999997E-2</v>
      </c>
      <c r="E291" s="207">
        <f>$D$9+0.698566*$E$9</f>
        <v>0.18817807770254635</v>
      </c>
      <c r="F291" s="207">
        <f>$D$10+0.101926*$E$10</f>
        <v>0.14622311199999991</v>
      </c>
      <c r="G291" s="208">
        <f>$F291*(1-'Sensitivity &amp; Scenarios'!$C$12)+'Sensitivity &amp; Scenarios'!$C$9*'Sensitivity &amp; Scenarios'!$C$12-'Sensitivity &amp; Scenarios'!$C$10</f>
        <v>7.8614172798064638E-2</v>
      </c>
      <c r="H291" s="209">
        <f>('Sensitivity &amp; Scenarios'!$C$6*(1+$E291)^1*$G291+'Sensitivity &amp; Scenarios'!$C$11*'Sensitivity &amp; Scenarios'!$C$6*((1+$E291)^1-(1+$E291)^0))*'Sensitivity &amp; Scenarios'!$C$18/(1+$C291)^'Sensitivity &amp; Scenarios'!$C$18+('Sensitivity &amp; Scenarios'!$C$6*(1+$E291)^2*$G291+'Sensitivity &amp; Scenarios'!$C$11*'Sensitivity &amp; Scenarios'!$C$6*((1+$E291)^2-(1+$E291)^1))/(1+$C291)^('Sensitivity &amp; Scenarios'!$C$18+1)+('Sensitivity &amp; Scenarios'!$C$6*(1+$E291)^3*$G291+'Sensitivity &amp; Scenarios'!$C$11*'Sensitivity &amp; Scenarios'!$C$6*((1+$E291)^3-(1+$E291)^2))/(1+$C291)^('Sensitivity &amp; Scenarios'!$C$18+2)+('Sensitivity &amp; Scenarios'!$C$6*(1+$E291)^4*$G291+'Sensitivity &amp; Scenarios'!$C$11*'Sensitivity &amp; Scenarios'!$C$6*((1+$E291)^4-(1+$E291)^3))/(1+$C291)^('Sensitivity &amp; Scenarios'!$C$18+3)+('Sensitivity &amp; Scenarios'!$C$6*(1+$E291)^5*$G291+'Sensitivity &amp; Scenarios'!$C$11*'Sensitivity &amp; Scenarios'!$C$6*((1+$E291)^5-(1+$E291)^4))/(1+$C291)^('Sensitivity &amp; Scenarios'!$C$18+4)</f>
        <v>25967.153954771591</v>
      </c>
      <c r="I291" s="209">
        <f>('Sensitivity &amp; Scenarios'!$C$6*(1+$E291)^5*$G291+'Sensitivity &amp; Scenarios'!$C$11*'Sensitivity &amp; Scenarios'!$C$6*((1+$E291)^5-(1+$E291)^4))*(1+$D291)/($C291-$D291)/(1+$C291)^('Sensitivity &amp; Scenarios'!$C$18+4)</f>
        <v>97187.36489508384</v>
      </c>
      <c r="J291" s="209">
        <f>($H291+$I291-'Sensitivity &amp; Scenarios'!$C$15+'Sensitivity &amp; Scenarios'!$C$16)/'Sensitivity &amp; Scenarios'!$C$17</f>
        <v>2878.8130848958144</v>
      </c>
    </row>
    <row r="292" spans="2:10" x14ac:dyDescent="0.3">
      <c r="B292" s="127">
        <v>262</v>
      </c>
      <c r="C292" s="206">
        <f>$D$7+-0.762323*$E$7</f>
        <v>0.12992902943997797</v>
      </c>
      <c r="D292" s="206">
        <f>MIN($D$8+-0.859206*$E$8,'Debt &amp; Cost of Capital'!$C$38)</f>
        <v>4.9844764E-2</v>
      </c>
      <c r="E292" s="207">
        <f>$D$9+-0.537663*$E$9</f>
        <v>0.15109120770254633</v>
      </c>
      <c r="F292" s="207">
        <f>$D$10+0.542594*$E$10</f>
        <v>0.15151112799999991</v>
      </c>
      <c r="G292" s="208">
        <f>$F292*(1-'Sensitivity &amp; Scenarios'!$C$12)+'Sensitivity &amp; Scenarios'!$C$9*'Sensitivity &amp; Scenarios'!$C$12-'Sensitivity &amp; Scenarios'!$C$10</f>
        <v>8.2571195170864642E-2</v>
      </c>
      <c r="H292" s="209">
        <f>('Sensitivity &amp; Scenarios'!$C$6*(1+$E292)^1*$G292+'Sensitivity &amp; Scenarios'!$C$11*'Sensitivity &amp; Scenarios'!$C$6*((1+$E292)^1-(1+$E292)^0))*'Sensitivity &amp; Scenarios'!$C$18/(1+$C292)^'Sensitivity &amp; Scenarios'!$C$18+('Sensitivity &amp; Scenarios'!$C$6*(1+$E292)^2*$G292+'Sensitivity &amp; Scenarios'!$C$11*'Sensitivity &amp; Scenarios'!$C$6*((1+$E292)^2-(1+$E292)^1))/(1+$C292)^('Sensitivity &amp; Scenarios'!$C$18+1)+('Sensitivity &amp; Scenarios'!$C$6*(1+$E292)^3*$G292+'Sensitivity &amp; Scenarios'!$C$11*'Sensitivity &amp; Scenarios'!$C$6*((1+$E292)^3-(1+$E292)^2))/(1+$C292)^('Sensitivity &amp; Scenarios'!$C$18+2)+('Sensitivity &amp; Scenarios'!$C$6*(1+$E292)^4*$G292+'Sensitivity &amp; Scenarios'!$C$11*'Sensitivity &amp; Scenarios'!$C$6*((1+$E292)^4-(1+$E292)^3))/(1+$C292)^('Sensitivity &amp; Scenarios'!$C$18+3)+('Sensitivity &amp; Scenarios'!$C$6*(1+$E292)^5*$G292+'Sensitivity &amp; Scenarios'!$C$11*'Sensitivity &amp; Scenarios'!$C$6*((1+$E292)^5-(1+$E292)^4))/(1+$C292)^('Sensitivity &amp; Scenarios'!$C$18+4)</f>
        <v>23567.655601575902</v>
      </c>
      <c r="I292" s="209">
        <f>('Sensitivity &amp; Scenarios'!$C$6*(1+$E292)^5*$G292+'Sensitivity &amp; Scenarios'!$C$11*'Sensitivity &amp; Scenarios'!$C$6*((1+$E292)^5-(1+$E292)^4))*(1+$D292)/($C292-$D292)/(1+$C292)^('Sensitivity &amp; Scenarios'!$C$18+4)</f>
        <v>68983.910857889656</v>
      </c>
      <c r="J292" s="209">
        <f>($H292+$I292-'Sensitivity &amp; Scenarios'!$C$15+'Sensitivity &amp; Scenarios'!$C$16)/'Sensitivity &amp; Scenarios'!$C$17</f>
        <v>2234.6583850115849</v>
      </c>
    </row>
    <row r="293" spans="2:10" x14ac:dyDescent="0.3">
      <c r="B293" s="127">
        <v>263</v>
      </c>
      <c r="C293" s="206">
        <f>$D$7+-0.955625*$E$7</f>
        <v>0.12799600943997799</v>
      </c>
      <c r="D293" s="206">
        <f>MIN($D$8+0.437512*$E$8,'Debt &amp; Cost of Capital'!$C$38)</f>
        <v>5.7625071999999999E-2</v>
      </c>
      <c r="E293" s="207">
        <f>$D$9+-1.241756*$E$9</f>
        <v>0.12996841770254633</v>
      </c>
      <c r="F293" s="207">
        <f>$D$10+-0.204069*$E$10</f>
        <v>0.14255117199999989</v>
      </c>
      <c r="G293" s="208">
        <f>$F293*(1-'Sensitivity &amp; Scenarios'!$C$12)+'Sensitivity &amp; Scenarios'!$C$9*'Sensitivity &amp; Scenarios'!$C$12-'Sensitivity &amp; Scenarios'!$C$10</f>
        <v>7.5866460096064625E-2</v>
      </c>
      <c r="H293" s="209">
        <f>('Sensitivity &amp; Scenarios'!$C$6*(1+$E293)^1*$G293+'Sensitivity &amp; Scenarios'!$C$11*'Sensitivity &amp; Scenarios'!$C$6*((1+$E293)^1-(1+$E293)^0))*'Sensitivity &amp; Scenarios'!$C$18/(1+$C293)^'Sensitivity &amp; Scenarios'!$C$18+('Sensitivity &amp; Scenarios'!$C$6*(1+$E293)^2*$G293+'Sensitivity &amp; Scenarios'!$C$11*'Sensitivity &amp; Scenarios'!$C$6*((1+$E293)^2-(1+$E293)^1))/(1+$C293)^('Sensitivity &amp; Scenarios'!$C$18+1)+('Sensitivity &amp; Scenarios'!$C$6*(1+$E293)^3*$G293+'Sensitivity &amp; Scenarios'!$C$11*'Sensitivity &amp; Scenarios'!$C$6*((1+$E293)^3-(1+$E293)^2))/(1+$C293)^('Sensitivity &amp; Scenarios'!$C$18+2)+('Sensitivity &amp; Scenarios'!$C$6*(1+$E293)^4*$G293+'Sensitivity &amp; Scenarios'!$C$11*'Sensitivity &amp; Scenarios'!$C$6*((1+$E293)^4-(1+$E293)^3))/(1+$C293)^('Sensitivity &amp; Scenarios'!$C$18+3)+('Sensitivity &amp; Scenarios'!$C$6*(1+$E293)^5*$G293+'Sensitivity &amp; Scenarios'!$C$11*'Sensitivity &amp; Scenarios'!$C$6*((1+$E293)^5-(1+$E293)^4))/(1+$C293)^('Sensitivity &amp; Scenarios'!$C$18+4)</f>
        <v>20373.794380729927</v>
      </c>
      <c r="I293" s="209">
        <f>('Sensitivity &amp; Scenarios'!$C$6*(1+$E293)^5*$G293+'Sensitivity &amp; Scenarios'!$C$11*'Sensitivity &amp; Scenarios'!$C$6*((1+$E293)^5-(1+$E293)^4))*(1+$D293)/($C293-$D293)/(1+$C293)^('Sensitivity &amp; Scenarios'!$C$18+4)</f>
        <v>66306.424084455051</v>
      </c>
      <c r="J293" s="209">
        <f>($H293+$I293-'Sensitivity &amp; Scenarios'!$C$15+'Sensitivity &amp; Scenarios'!$C$16)/'Sensitivity &amp; Scenarios'!$C$17</f>
        <v>2111.0736943279717</v>
      </c>
    </row>
    <row r="294" spans="2:10" x14ac:dyDescent="0.3">
      <c r="B294" s="127">
        <v>264</v>
      </c>
      <c r="C294" s="206">
        <f>$D$7+0.109648*$E$7</f>
        <v>0.13864873943997799</v>
      </c>
      <c r="D294" s="206">
        <f>MIN($D$8+2.44513*$E$8,'Debt &amp; Cost of Capital'!$C$38)</f>
        <v>6.7799999999999999E-2</v>
      </c>
      <c r="E294" s="207">
        <f>$D$9+-1.377316*$E$9</f>
        <v>0.12590161770254635</v>
      </c>
      <c r="F294" s="207">
        <f>$D$10+1.472015*$E$10</f>
        <v>0.16266417999999991</v>
      </c>
      <c r="G294" s="208">
        <f>$F294*(1-'Sensitivity &amp; Scenarios'!$C$12)+'Sensitivity &amp; Scenarios'!$C$9*'Sensitivity &amp; Scenarios'!$C$12-'Sensitivity &amp; Scenarios'!$C$10</f>
        <v>9.0917023982464651E-2</v>
      </c>
      <c r="H294" s="209">
        <f>('Sensitivity &amp; Scenarios'!$C$6*(1+$E294)^1*$G294+'Sensitivity &amp; Scenarios'!$C$11*'Sensitivity &amp; Scenarios'!$C$6*((1+$E294)^1-(1+$E294)^0))*'Sensitivity &amp; Scenarios'!$C$18/(1+$C294)^'Sensitivity &amp; Scenarios'!$C$18+('Sensitivity &amp; Scenarios'!$C$6*(1+$E294)^2*$G294+'Sensitivity &amp; Scenarios'!$C$11*'Sensitivity &amp; Scenarios'!$C$6*((1+$E294)^2-(1+$E294)^1))/(1+$C294)^('Sensitivity &amp; Scenarios'!$C$18+1)+('Sensitivity &amp; Scenarios'!$C$6*(1+$E294)^3*$G294+'Sensitivity &amp; Scenarios'!$C$11*'Sensitivity &amp; Scenarios'!$C$6*((1+$E294)^3-(1+$E294)^2))/(1+$C294)^('Sensitivity &amp; Scenarios'!$C$18+2)+('Sensitivity &amp; Scenarios'!$C$6*(1+$E294)^4*$G294+'Sensitivity &amp; Scenarios'!$C$11*'Sensitivity &amp; Scenarios'!$C$6*((1+$E294)^4-(1+$E294)^3))/(1+$C294)^('Sensitivity &amp; Scenarios'!$C$18+3)+('Sensitivity &amp; Scenarios'!$C$6*(1+$E294)^5*$G294+'Sensitivity &amp; Scenarios'!$C$11*'Sensitivity &amp; Scenarios'!$C$6*((1+$E294)^5-(1+$E294)^4))/(1+$C294)^('Sensitivity &amp; Scenarios'!$C$18+4)</f>
        <v>22882.265376527503</v>
      </c>
      <c r="I294" s="209">
        <f>('Sensitivity &amp; Scenarios'!$C$6*(1+$E294)^5*$G294+'Sensitivity &amp; Scenarios'!$C$11*'Sensitivity &amp; Scenarios'!$C$6*((1+$E294)^5-(1+$E294)^4))*(1+$D294)/($C294-$D294)/(1+$C294)^('Sensitivity &amp; Scenarios'!$C$18+4)</f>
        <v>72904.156031114515</v>
      </c>
      <c r="J294" s="209">
        <f>($H294+$I294-'Sensitivity &amp; Scenarios'!$C$15+'Sensitivity &amp; Scenarios'!$C$16)/'Sensitivity &amp; Scenarios'!$C$17</f>
        <v>2302.7481232737659</v>
      </c>
    </row>
    <row r="295" spans="2:10" x14ac:dyDescent="0.3">
      <c r="B295" s="127">
        <v>265</v>
      </c>
      <c r="C295" s="206">
        <f>$D$7+0.149842*$E$7</f>
        <v>0.13905067943997798</v>
      </c>
      <c r="D295" s="206">
        <f>MIN($D$8+0.411172*$E$8,'Debt &amp; Cost of Capital'!$C$38)</f>
        <v>5.7467032000000001E-2</v>
      </c>
      <c r="E295" s="207">
        <f>$D$9+0.118348*$E$9</f>
        <v>0.17077153770254633</v>
      </c>
      <c r="F295" s="207">
        <f>$D$10+0.444727*$E$10</f>
        <v>0.15033672399999989</v>
      </c>
      <c r="G295" s="208">
        <f>$F295*(1-'Sensitivity &amp; Scenarios'!$C$12)+'Sensitivity &amp; Scenarios'!$C$9*'Sensitivity &amp; Scenarios'!$C$12-'Sensitivity &amp; Scenarios'!$C$10</f>
        <v>8.1692388657664622E-2</v>
      </c>
      <c r="H295" s="209">
        <f>('Sensitivity &amp; Scenarios'!$C$6*(1+$E295)^1*$G295+'Sensitivity &amp; Scenarios'!$C$11*'Sensitivity &amp; Scenarios'!$C$6*((1+$E295)^1-(1+$E295)^0))*'Sensitivity &amp; Scenarios'!$C$18/(1+$C295)^'Sensitivity &amp; Scenarios'!$C$18+('Sensitivity &amp; Scenarios'!$C$6*(1+$E295)^2*$G295+'Sensitivity &amp; Scenarios'!$C$11*'Sensitivity &amp; Scenarios'!$C$6*((1+$E295)^2-(1+$E295)^1))/(1+$C295)^('Sensitivity &amp; Scenarios'!$C$18+1)+('Sensitivity &amp; Scenarios'!$C$6*(1+$E295)^3*$G295+'Sensitivity &amp; Scenarios'!$C$11*'Sensitivity &amp; Scenarios'!$C$6*((1+$E295)^3-(1+$E295)^2))/(1+$C295)^('Sensitivity &amp; Scenarios'!$C$18+2)+('Sensitivity &amp; Scenarios'!$C$6*(1+$E295)^4*$G295+'Sensitivity &amp; Scenarios'!$C$11*'Sensitivity &amp; Scenarios'!$C$6*((1+$E295)^4-(1+$E295)^3))/(1+$C295)^('Sensitivity &amp; Scenarios'!$C$18+3)+('Sensitivity &amp; Scenarios'!$C$6*(1+$E295)^5*$G295+'Sensitivity &amp; Scenarios'!$C$11*'Sensitivity &amp; Scenarios'!$C$6*((1+$E295)^5-(1+$E295)^4))/(1+$C295)^('Sensitivity &amp; Scenarios'!$C$18+4)</f>
        <v>24503.597852792689</v>
      </c>
      <c r="I295" s="209">
        <f>('Sensitivity &amp; Scenarios'!$C$6*(1+$E295)^5*$G295+'Sensitivity &amp; Scenarios'!$C$11*'Sensitivity &amp; Scenarios'!$C$6*((1+$E295)^5-(1+$E295)^4))*(1+$D295)/($C295-$D295)/(1+$C295)^('Sensitivity &amp; Scenarios'!$C$18+4)</f>
        <v>72063.152351756071</v>
      </c>
      <c r="J295" s="209">
        <f>($H295+$I295-'Sensitivity &amp; Scenarios'!$C$15+'Sensitivity &amp; Scenarios'!$C$16)/'Sensitivity &amp; Scenarios'!$C$17</f>
        <v>2319.1730895832366</v>
      </c>
    </row>
    <row r="296" spans="2:10" x14ac:dyDescent="0.3">
      <c r="B296" s="127">
        <v>266</v>
      </c>
      <c r="C296" s="206">
        <f>$D$7+-0.153685*$E$7</f>
        <v>0.13601540943997797</v>
      </c>
      <c r="D296" s="206">
        <f>MIN($D$8+1.45405*$E$8,'Debt &amp; Cost of Capital'!$C$38)</f>
        <v>6.3724299999999998E-2</v>
      </c>
      <c r="E296" s="207">
        <f>$D$9+-0.456471*$E$9</f>
        <v>0.15352696770254634</v>
      </c>
      <c r="F296" s="207">
        <f>$D$10+1.132235*$E$10</f>
        <v>0.15858681999999991</v>
      </c>
      <c r="G296" s="208">
        <f>$F296*(1-'Sensitivity &amp; Scenarios'!$C$12)+'Sensitivity &amp; Scenarios'!$C$9*'Sensitivity &amp; Scenarios'!$C$12-'Sensitivity &amp; Scenarios'!$C$10</f>
        <v>8.7865935494464628E-2</v>
      </c>
      <c r="H296" s="209">
        <f>('Sensitivity &amp; Scenarios'!$C$6*(1+$E296)^1*$G296+'Sensitivity &amp; Scenarios'!$C$11*'Sensitivity &amp; Scenarios'!$C$6*((1+$E296)^1-(1+$E296)^0))*'Sensitivity &amp; Scenarios'!$C$18/(1+$C296)^'Sensitivity &amp; Scenarios'!$C$18+('Sensitivity &amp; Scenarios'!$C$6*(1+$E296)^2*$G296+'Sensitivity &amp; Scenarios'!$C$11*'Sensitivity &amp; Scenarios'!$C$6*((1+$E296)^2-(1+$E296)^1))/(1+$C296)^('Sensitivity &amp; Scenarios'!$C$18+1)+('Sensitivity &amp; Scenarios'!$C$6*(1+$E296)^3*$G296+'Sensitivity &amp; Scenarios'!$C$11*'Sensitivity &amp; Scenarios'!$C$6*((1+$E296)^3-(1+$E296)^2))/(1+$C296)^('Sensitivity &amp; Scenarios'!$C$18+2)+('Sensitivity &amp; Scenarios'!$C$6*(1+$E296)^4*$G296+'Sensitivity &amp; Scenarios'!$C$11*'Sensitivity &amp; Scenarios'!$C$6*((1+$E296)^4-(1+$E296)^3))/(1+$C296)^('Sensitivity &amp; Scenarios'!$C$18+3)+('Sensitivity &amp; Scenarios'!$C$6*(1+$E296)^5*$G296+'Sensitivity &amp; Scenarios'!$C$11*'Sensitivity &amp; Scenarios'!$C$6*((1+$E296)^5-(1+$E296)^4))/(1+$C296)^('Sensitivity &amp; Scenarios'!$C$18+4)</f>
        <v>24694.210453090673</v>
      </c>
      <c r="I296" s="209">
        <f>('Sensitivity &amp; Scenarios'!$C$6*(1+$E296)^5*$G296+'Sensitivity &amp; Scenarios'!$C$11*'Sensitivity &amp; Scenarios'!$C$6*((1+$E296)^5-(1+$E296)^4))*(1+$D296)/($C296-$D296)/(1+$C296)^('Sensitivity &amp; Scenarios'!$C$18+4)</f>
        <v>80654.854293625496</v>
      </c>
      <c r="J296" s="209">
        <f>($H296+$I296-'Sensitivity &amp; Scenarios'!$C$15+'Sensitivity &amp; Scenarios'!$C$16)/'Sensitivity &amp; Scenarios'!$C$17</f>
        <v>2504.0300640356509</v>
      </c>
    </row>
    <row r="297" spans="2:10" x14ac:dyDescent="0.3">
      <c r="B297" s="127">
        <v>267</v>
      </c>
      <c r="C297" s="206">
        <f>$D$7+-0.644367*$E$7</f>
        <v>0.13110858943997797</v>
      </c>
      <c r="D297" s="206">
        <f>MIN($D$8+-0.060252*$E$8,'Debt &amp; Cost of Capital'!$C$38)</f>
        <v>5.4638487999999999E-2</v>
      </c>
      <c r="E297" s="207">
        <f>$D$9+-1.071963*$E$9</f>
        <v>0.13506220770254634</v>
      </c>
      <c r="F297" s="207">
        <f>$D$10+0.455024*$E$10</f>
        <v>0.15046028799999991</v>
      </c>
      <c r="G297" s="208">
        <f>$F297*(1-'Sensitivity &amp; Scenarios'!$C$12)+'Sensitivity &amp; Scenarios'!$C$9*'Sensitivity &amp; Scenarios'!$C$12-'Sensitivity &amp; Scenarios'!$C$10</f>
        <v>8.1784851598864644E-2</v>
      </c>
      <c r="H297" s="209">
        <f>('Sensitivity &amp; Scenarios'!$C$6*(1+$E297)^1*$G297+'Sensitivity &amp; Scenarios'!$C$11*'Sensitivity &amp; Scenarios'!$C$6*((1+$E297)^1-(1+$E297)^0))*'Sensitivity &amp; Scenarios'!$C$18/(1+$C297)^'Sensitivity &amp; Scenarios'!$C$18+('Sensitivity &amp; Scenarios'!$C$6*(1+$E297)^2*$G297+'Sensitivity &amp; Scenarios'!$C$11*'Sensitivity &amp; Scenarios'!$C$6*((1+$E297)^2-(1+$E297)^1))/(1+$C297)^('Sensitivity &amp; Scenarios'!$C$18+1)+('Sensitivity &amp; Scenarios'!$C$6*(1+$E297)^3*$G297+'Sensitivity &amp; Scenarios'!$C$11*'Sensitivity &amp; Scenarios'!$C$6*((1+$E297)^3-(1+$E297)^2))/(1+$C297)^('Sensitivity &amp; Scenarios'!$C$18+2)+('Sensitivity &amp; Scenarios'!$C$6*(1+$E297)^4*$G297+'Sensitivity &amp; Scenarios'!$C$11*'Sensitivity &amp; Scenarios'!$C$6*((1+$E297)^4-(1+$E297)^3))/(1+$C297)^('Sensitivity &amp; Scenarios'!$C$18+3)+('Sensitivity &amp; Scenarios'!$C$6*(1+$E297)^5*$G297+'Sensitivity &amp; Scenarios'!$C$11*'Sensitivity &amp; Scenarios'!$C$6*((1+$E297)^5-(1+$E297)^4))/(1+$C297)^('Sensitivity &amp; Scenarios'!$C$18+4)</f>
        <v>21979.442025483098</v>
      </c>
      <c r="I297" s="209">
        <f>('Sensitivity &amp; Scenarios'!$C$6*(1+$E297)^5*$G297+'Sensitivity &amp; Scenarios'!$C$11*'Sensitivity &amp; Scenarios'!$C$6*((1+$E297)^5-(1+$E297)^4))*(1+$D297)/($C297-$D297)/(1+$C297)^('Sensitivity &amp; Scenarios'!$C$18+4)</f>
        <v>65851.190657629224</v>
      </c>
      <c r="J297" s="209">
        <f>($H297+$I297-'Sensitivity &amp; Scenarios'!$C$15+'Sensitivity &amp; Scenarios'!$C$16)/'Sensitivity &amp; Scenarios'!$C$17</f>
        <v>2135.2885058872725</v>
      </c>
    </row>
    <row r="298" spans="2:10" x14ac:dyDescent="0.3">
      <c r="B298" s="127">
        <v>268</v>
      </c>
      <c r="C298" s="206">
        <f>$D$7+1.445126*$E$7</f>
        <v>0.15200351943997797</v>
      </c>
      <c r="D298" s="206">
        <f>MIN($D$8+-0.077356*$E$8,'Debt &amp; Cost of Capital'!$C$38)</f>
        <v>5.4535864000000003E-2</v>
      </c>
      <c r="E298" s="207">
        <f>$D$9+-0.196886*$E$9</f>
        <v>0.16131451770254635</v>
      </c>
      <c r="F298" s="207">
        <f>$D$10+-1.114617*$E$10</f>
        <v>0.1316245959999999</v>
      </c>
      <c r="G298" s="208">
        <f>$F298*(1-'Sensitivity &amp; Scenarios'!$C$12)+'Sensitivity &amp; Scenarios'!$C$9*'Sensitivity &amp; Scenarios'!$C$12-'Sensitivity &amp; Scenarios'!$C$10</f>
        <v>6.7690103275264632E-2</v>
      </c>
      <c r="H298" s="209">
        <f>('Sensitivity &amp; Scenarios'!$C$6*(1+$E298)^1*$G298+'Sensitivity &amp; Scenarios'!$C$11*'Sensitivity &amp; Scenarios'!$C$6*((1+$E298)^1-(1+$E298)^0))*'Sensitivity &amp; Scenarios'!$C$18/(1+$C298)^'Sensitivity &amp; Scenarios'!$C$18+('Sensitivity &amp; Scenarios'!$C$6*(1+$E298)^2*$G298+'Sensitivity &amp; Scenarios'!$C$11*'Sensitivity &amp; Scenarios'!$C$6*((1+$E298)^2-(1+$E298)^1))/(1+$C298)^('Sensitivity &amp; Scenarios'!$C$18+1)+('Sensitivity &amp; Scenarios'!$C$6*(1+$E298)^3*$G298+'Sensitivity &amp; Scenarios'!$C$11*'Sensitivity &amp; Scenarios'!$C$6*((1+$E298)^3-(1+$E298)^2))/(1+$C298)^('Sensitivity &amp; Scenarios'!$C$18+2)+('Sensitivity &amp; Scenarios'!$C$6*(1+$E298)^4*$G298+'Sensitivity &amp; Scenarios'!$C$11*'Sensitivity &amp; Scenarios'!$C$6*((1+$E298)^4-(1+$E298)^3))/(1+$C298)^('Sensitivity &amp; Scenarios'!$C$18+3)+('Sensitivity &amp; Scenarios'!$C$6*(1+$E298)^5*$G298+'Sensitivity &amp; Scenarios'!$C$11*'Sensitivity &amp; Scenarios'!$C$6*((1+$E298)^5-(1+$E298)^4))/(1+$C298)^('Sensitivity &amp; Scenarios'!$C$18+4)</f>
        <v>19632.950467078164</v>
      </c>
      <c r="I298" s="209">
        <f>('Sensitivity &amp; Scenarios'!$C$6*(1+$E298)^5*$G298+'Sensitivity &amp; Scenarios'!$C$11*'Sensitivity &amp; Scenarios'!$C$6*((1+$E298)^5-(1+$E298)^4))*(1+$D298)/($C298-$D298)/(1+$C298)^('Sensitivity &amp; Scenarios'!$C$18+4)</f>
        <v>46531.616048846379</v>
      </c>
      <c r="J298" s="209">
        <f>($H298+$I298-'Sensitivity &amp; Scenarios'!$C$15+'Sensitivity &amp; Scenarios'!$C$16)/'Sensitivity &amp; Scenarios'!$C$17</f>
        <v>1679.2443251964141</v>
      </c>
    </row>
    <row r="299" spans="2:10" x14ac:dyDescent="0.3">
      <c r="B299" s="127">
        <v>269</v>
      </c>
      <c r="C299" s="206">
        <f>$D$7+-0.229293*$E$7</f>
        <v>0.13525932943997798</v>
      </c>
      <c r="D299" s="206">
        <f>MIN($D$8+-1.592794*$E$8,'Debt &amp; Cost of Capital'!$C$38)</f>
        <v>4.5443235999999998E-2</v>
      </c>
      <c r="E299" s="207">
        <f>$D$9+-0.912878*$E$9</f>
        <v>0.13983475770254633</v>
      </c>
      <c r="F299" s="207">
        <f>$D$10+0.226786*$E$10</f>
        <v>0.1477214319999999</v>
      </c>
      <c r="G299" s="208">
        <f>$F299*(1-'Sensitivity &amp; Scenarios'!$C$12)+'Sensitivity &amp; Scenarios'!$C$9*'Sensitivity &amp; Scenarios'!$C$12-'Sensitivity &amp; Scenarios'!$C$10</f>
        <v>7.9735365654064638E-2</v>
      </c>
      <c r="H299" s="209">
        <f>('Sensitivity &amp; Scenarios'!$C$6*(1+$E299)^1*$G299+'Sensitivity &amp; Scenarios'!$C$11*'Sensitivity &amp; Scenarios'!$C$6*((1+$E299)^1-(1+$E299)^0))*'Sensitivity &amp; Scenarios'!$C$18/(1+$C299)^'Sensitivity &amp; Scenarios'!$C$18+('Sensitivity &amp; Scenarios'!$C$6*(1+$E299)^2*$G299+'Sensitivity &amp; Scenarios'!$C$11*'Sensitivity &amp; Scenarios'!$C$6*((1+$E299)^2-(1+$E299)^1))/(1+$C299)^('Sensitivity &amp; Scenarios'!$C$18+1)+('Sensitivity &amp; Scenarios'!$C$6*(1+$E299)^3*$G299+'Sensitivity &amp; Scenarios'!$C$11*'Sensitivity &amp; Scenarios'!$C$6*((1+$E299)^3-(1+$E299)^2))/(1+$C299)^('Sensitivity &amp; Scenarios'!$C$18+2)+('Sensitivity &amp; Scenarios'!$C$6*(1+$E299)^4*$G299+'Sensitivity &amp; Scenarios'!$C$11*'Sensitivity &amp; Scenarios'!$C$6*((1+$E299)^4-(1+$E299)^3))/(1+$C299)^('Sensitivity &amp; Scenarios'!$C$18+3)+('Sensitivity &amp; Scenarios'!$C$6*(1+$E299)^5*$G299+'Sensitivity &amp; Scenarios'!$C$11*'Sensitivity &amp; Scenarios'!$C$6*((1+$E299)^5-(1+$E299)^4))/(1+$C299)^('Sensitivity &amp; Scenarios'!$C$18+4)</f>
        <v>21664.221481582936</v>
      </c>
      <c r="I299" s="209">
        <f>('Sensitivity &amp; Scenarios'!$C$6*(1+$E299)^5*$G299+'Sensitivity &amp; Scenarios'!$C$11*'Sensitivity &amp; Scenarios'!$C$6*((1+$E299)^5-(1+$E299)^4))*(1+$D299)/($C299-$D299)/(1+$C299)^('Sensitivity &amp; Scenarios'!$C$18+4)</f>
        <v>54833.888724950128</v>
      </c>
      <c r="J299" s="209">
        <f>($H299+$I299-'Sensitivity &amp; Scenarios'!$C$15+'Sensitivity &amp; Scenarios'!$C$16)/'Sensitivity &amp; Scenarios'!$C$17</f>
        <v>1896.7527750299921</v>
      </c>
    </row>
    <row r="300" spans="2:10" x14ac:dyDescent="0.3">
      <c r="B300" s="127">
        <v>270</v>
      </c>
      <c r="C300" s="206">
        <f>$D$7+1.319013*$E$7</f>
        <v>0.15074238943997798</v>
      </c>
      <c r="D300" s="206">
        <f>MIN($D$8+2.809211*$E$8,'Debt &amp; Cost of Capital'!$C$38)</f>
        <v>6.7799999999999999E-2</v>
      </c>
      <c r="E300" s="207">
        <f>$D$9+-0.586585*$E$9</f>
        <v>0.14962354770254635</v>
      </c>
      <c r="F300" s="207">
        <f>$D$10+1.4353*$E$10</f>
        <v>0.16222359999999991</v>
      </c>
      <c r="G300" s="208">
        <f>$F300*(1-'Sensitivity &amp; Scenarios'!$C$12)+'Sensitivity &amp; Scenarios'!$C$9*'Sensitivity &amp; Scenarios'!$C$12-'Sensitivity &amp; Scenarios'!$C$10</f>
        <v>9.058733796846466E-2</v>
      </c>
      <c r="H300" s="209">
        <f>('Sensitivity &amp; Scenarios'!$C$6*(1+$E300)^1*$G300+'Sensitivity &amp; Scenarios'!$C$11*'Sensitivity &amp; Scenarios'!$C$6*((1+$E300)^1-(1+$E300)^0))*'Sensitivity &amp; Scenarios'!$C$18/(1+$C300)^'Sensitivity &amp; Scenarios'!$C$18+('Sensitivity &amp; Scenarios'!$C$6*(1+$E300)^2*$G300+'Sensitivity &amp; Scenarios'!$C$11*'Sensitivity &amp; Scenarios'!$C$6*((1+$E300)^2-(1+$E300)^1))/(1+$C300)^('Sensitivity &amp; Scenarios'!$C$18+1)+('Sensitivity &amp; Scenarios'!$C$6*(1+$E300)^3*$G300+'Sensitivity &amp; Scenarios'!$C$11*'Sensitivity &amp; Scenarios'!$C$6*((1+$E300)^3-(1+$E300)^2))/(1+$C300)^('Sensitivity &amp; Scenarios'!$C$18+2)+('Sensitivity &amp; Scenarios'!$C$6*(1+$E300)^4*$G300+'Sensitivity &amp; Scenarios'!$C$11*'Sensitivity &amp; Scenarios'!$C$6*((1+$E300)^4-(1+$E300)^3))/(1+$C300)^('Sensitivity &amp; Scenarios'!$C$18+3)+('Sensitivity &amp; Scenarios'!$C$6*(1+$E300)^5*$G300+'Sensitivity &amp; Scenarios'!$C$11*'Sensitivity &amp; Scenarios'!$C$6*((1+$E300)^5-(1+$E300)^4))/(1+$C300)^('Sensitivity &amp; Scenarios'!$C$18+4)</f>
        <v>24114.611095770051</v>
      </c>
      <c r="I300" s="209">
        <f>('Sensitivity &amp; Scenarios'!$C$6*(1+$E300)^5*$G300+'Sensitivity &amp; Scenarios'!$C$11*'Sensitivity &amp; Scenarios'!$C$6*((1+$E300)^5-(1+$E300)^4))*(1+$D300)/($C300-$D300)/(1+$C300)^('Sensitivity &amp; Scenarios'!$C$18+4)</f>
        <v>66890.517066615314</v>
      </c>
      <c r="J300" s="209">
        <f>($H300+$I300-'Sensitivity &amp; Scenarios'!$C$15+'Sensitivity &amp; Scenarios'!$C$16)/'Sensitivity &amp; Scenarios'!$C$17</f>
        <v>2202.1077511891444</v>
      </c>
    </row>
    <row r="301" spans="2:10" x14ac:dyDescent="0.3">
      <c r="B301" s="127">
        <v>271</v>
      </c>
      <c r="C301" s="206">
        <f>$D$7+0.243752*$E$7</f>
        <v>0.13998977943997798</v>
      </c>
      <c r="D301" s="206">
        <f>MIN($D$8+-0.151248*$E$8,'Debt &amp; Cost of Capital'!$C$38)</f>
        <v>5.4092512000000002E-2</v>
      </c>
      <c r="E301" s="207">
        <f>$D$9+0.432594*$E$9</f>
        <v>0.18019891770254634</v>
      </c>
      <c r="F301" s="207">
        <f>$D$10+0.061916*$E$10</f>
        <v>0.1457429919999999</v>
      </c>
      <c r="G301" s="208">
        <f>$F301*(1-'Sensitivity &amp; Scenarios'!$C$12)+'Sensitivity &amp; Scenarios'!$C$9*'Sensitivity &amp; Scenarios'!$C$12-'Sensitivity &amp; Scenarios'!$C$10</f>
        <v>7.8254899002064629E-2</v>
      </c>
      <c r="H301" s="209">
        <f>('Sensitivity &amp; Scenarios'!$C$6*(1+$E301)^1*$G301+'Sensitivity &amp; Scenarios'!$C$11*'Sensitivity &amp; Scenarios'!$C$6*((1+$E301)^1-(1+$E301)^0))*'Sensitivity &amp; Scenarios'!$C$18/(1+$C301)^'Sensitivity &amp; Scenarios'!$C$18+('Sensitivity &amp; Scenarios'!$C$6*(1+$E301)^2*$G301+'Sensitivity &amp; Scenarios'!$C$11*'Sensitivity &amp; Scenarios'!$C$6*((1+$E301)^2-(1+$E301)^1))/(1+$C301)^('Sensitivity &amp; Scenarios'!$C$18+1)+('Sensitivity &amp; Scenarios'!$C$6*(1+$E301)^3*$G301+'Sensitivity &amp; Scenarios'!$C$11*'Sensitivity &amp; Scenarios'!$C$6*((1+$E301)^3-(1+$E301)^2))/(1+$C301)^('Sensitivity &amp; Scenarios'!$C$18+2)+('Sensitivity &amp; Scenarios'!$C$6*(1+$E301)^4*$G301+'Sensitivity &amp; Scenarios'!$C$11*'Sensitivity &amp; Scenarios'!$C$6*((1+$E301)^4-(1+$E301)^3))/(1+$C301)^('Sensitivity &amp; Scenarios'!$C$18+3)+('Sensitivity &amp; Scenarios'!$C$6*(1+$E301)^5*$G301+'Sensitivity &amp; Scenarios'!$C$11*'Sensitivity &amp; Scenarios'!$C$6*((1+$E301)^5-(1+$E301)^4))/(1+$C301)^('Sensitivity &amp; Scenarios'!$C$18+4)</f>
        <v>24395.018521908551</v>
      </c>
      <c r="I301" s="209">
        <f>('Sensitivity &amp; Scenarios'!$C$6*(1+$E301)^5*$G301+'Sensitivity &amp; Scenarios'!$C$11*'Sensitivity &amp; Scenarios'!$C$6*((1+$E301)^5-(1+$E301)^4))*(1+$D301)/($C301-$D301)/(1+$C301)^('Sensitivity &amp; Scenarios'!$C$18+4)</f>
        <v>68801.7182258869</v>
      </c>
      <c r="J301" s="209">
        <f>($H301+$I301-'Sensitivity &amp; Scenarios'!$C$15+'Sensitivity &amp; Scenarios'!$C$16)/'Sensitivity &amp; Scenarios'!$C$17</f>
        <v>2248.2384301050079</v>
      </c>
    </row>
    <row r="302" spans="2:10" x14ac:dyDescent="0.3">
      <c r="B302" s="127">
        <v>272</v>
      </c>
      <c r="C302" s="206">
        <f>$D$7+0.110396*$E$7</f>
        <v>0.13865621943997797</v>
      </c>
      <c r="D302" s="206">
        <f>MIN($D$8+-0.408333*$E$8,'Debt &amp; Cost of Capital'!$C$38)</f>
        <v>5.2550001999999998E-2</v>
      </c>
      <c r="E302" s="207">
        <f>$D$9+-1.39811*$E$9</f>
        <v>0.12527779770254635</v>
      </c>
      <c r="F302" s="207">
        <f>$D$10+-1.543625*$E$10</f>
        <v>0.12647649999999991</v>
      </c>
      <c r="G302" s="208">
        <f>$F302*(1-'Sensitivity &amp; Scenarios'!$C$12)+'Sensitivity &amp; Scenarios'!$C$9*'Sensitivity &amp; Scenarios'!$C$12-'Sensitivity &amp; Scenarios'!$C$10</f>
        <v>6.3837783038464643E-2</v>
      </c>
      <c r="H302" s="209">
        <f>('Sensitivity &amp; Scenarios'!$C$6*(1+$E302)^1*$G302+'Sensitivity &amp; Scenarios'!$C$11*'Sensitivity &amp; Scenarios'!$C$6*((1+$E302)^1-(1+$E302)^0))*'Sensitivity &amp; Scenarios'!$C$18/(1+$C302)^'Sensitivity &amp; Scenarios'!$C$18+('Sensitivity &amp; Scenarios'!$C$6*(1+$E302)^2*$G302+'Sensitivity &amp; Scenarios'!$C$11*'Sensitivity &amp; Scenarios'!$C$6*((1+$E302)^2-(1+$E302)^1))/(1+$C302)^('Sensitivity &amp; Scenarios'!$C$18+1)+('Sensitivity &amp; Scenarios'!$C$6*(1+$E302)^3*$G302+'Sensitivity &amp; Scenarios'!$C$11*'Sensitivity &amp; Scenarios'!$C$6*((1+$E302)^3-(1+$E302)^2))/(1+$C302)^('Sensitivity &amp; Scenarios'!$C$18+2)+('Sensitivity &amp; Scenarios'!$C$6*(1+$E302)^4*$G302+'Sensitivity &amp; Scenarios'!$C$11*'Sensitivity &amp; Scenarios'!$C$6*((1+$E302)^4-(1+$E302)^3))/(1+$C302)^('Sensitivity &amp; Scenarios'!$C$18+3)+('Sensitivity &amp; Scenarios'!$C$6*(1+$E302)^5*$G302+'Sensitivity &amp; Scenarios'!$C$11*'Sensitivity &amp; Scenarios'!$C$6*((1+$E302)^5-(1+$E302)^4))/(1+$C302)^('Sensitivity &amp; Scenarios'!$C$18+4)</f>
        <v>16837.459463734445</v>
      </c>
      <c r="I302" s="209">
        <f>('Sensitivity &amp; Scenarios'!$C$6*(1+$E302)^5*$G302+'Sensitivity &amp; Scenarios'!$C$11*'Sensitivity &amp; Scenarios'!$C$6*((1+$E302)^5-(1+$E302)^4))*(1+$D302)/($C302-$D302)/(1+$C302)^('Sensitivity &amp; Scenarios'!$C$18+4)</f>
        <v>43463.697221695467</v>
      </c>
      <c r="J302" s="209">
        <f>($H302+$I302-'Sensitivity &amp; Scenarios'!$C$15+'Sensitivity &amp; Scenarios'!$C$16)/'Sensitivity &amp; Scenarios'!$C$17</f>
        <v>1555.8267231467976</v>
      </c>
    </row>
    <row r="303" spans="2:10" x14ac:dyDescent="0.3">
      <c r="B303" s="127">
        <v>273</v>
      </c>
      <c r="C303" s="206">
        <f>$D$7+0.653245*$E$7</f>
        <v>0.14408470943997798</v>
      </c>
      <c r="D303" s="206">
        <f>MIN($D$8+-0.2767*$E$8,'Debt &amp; Cost of Capital'!$C$38)</f>
        <v>5.33398E-2</v>
      </c>
      <c r="E303" s="207">
        <f>$D$9+-0.596089*$E$9</f>
        <v>0.14933842770254635</v>
      </c>
      <c r="F303" s="207">
        <f>$D$10+0.008506*$E$10</f>
        <v>0.14510207199999992</v>
      </c>
      <c r="G303" s="208">
        <f>$F303*(1-'Sensitivity &amp; Scenarios'!$C$12)+'Sensitivity &amp; Scenarios'!$C$9*'Sensitivity &amp; Scenarios'!$C$12-'Sensitivity &amp; Scenarios'!$C$10</f>
        <v>7.7775298566064646E-2</v>
      </c>
      <c r="H303" s="209">
        <f>('Sensitivity &amp; Scenarios'!$C$6*(1+$E303)^1*$G303+'Sensitivity &amp; Scenarios'!$C$11*'Sensitivity &amp; Scenarios'!$C$6*((1+$E303)^1-(1+$E303)^0))*'Sensitivity &amp; Scenarios'!$C$18/(1+$C303)^'Sensitivity &amp; Scenarios'!$C$18+('Sensitivity &amp; Scenarios'!$C$6*(1+$E303)^2*$G303+'Sensitivity &amp; Scenarios'!$C$11*'Sensitivity &amp; Scenarios'!$C$6*((1+$E303)^2-(1+$E303)^1))/(1+$C303)^('Sensitivity &amp; Scenarios'!$C$18+1)+('Sensitivity &amp; Scenarios'!$C$6*(1+$E303)^3*$G303+'Sensitivity &amp; Scenarios'!$C$11*'Sensitivity &amp; Scenarios'!$C$6*((1+$E303)^3-(1+$E303)^2))/(1+$C303)^('Sensitivity &amp; Scenarios'!$C$18+2)+('Sensitivity &amp; Scenarios'!$C$6*(1+$E303)^4*$G303+'Sensitivity &amp; Scenarios'!$C$11*'Sensitivity &amp; Scenarios'!$C$6*((1+$E303)^4-(1+$E303)^3))/(1+$C303)^('Sensitivity &amp; Scenarios'!$C$18+3)+('Sensitivity &amp; Scenarios'!$C$6*(1+$E303)^5*$G303+'Sensitivity &amp; Scenarios'!$C$11*'Sensitivity &amp; Scenarios'!$C$6*((1+$E303)^5-(1+$E303)^4))/(1+$C303)^('Sensitivity &amp; Scenarios'!$C$18+4)</f>
        <v>21493.126227703018</v>
      </c>
      <c r="I303" s="209">
        <f>('Sensitivity &amp; Scenarios'!$C$6*(1+$E303)^5*$G303+'Sensitivity &amp; Scenarios'!$C$11*'Sensitivity &amp; Scenarios'!$C$6*((1+$E303)^5-(1+$E303)^4))*(1+$D303)/($C303-$D303)/(1+$C303)^('Sensitivity &amp; Scenarios'!$C$18+4)</f>
        <v>54306.390247358562</v>
      </c>
      <c r="J303" s="209">
        <f>($H303+$I303-'Sensitivity &amp; Scenarios'!$C$15+'Sensitivity &amp; Scenarios'!$C$16)/'Sensitivity &amp; Scenarios'!$C$17</f>
        <v>1882.0482318311363</v>
      </c>
    </row>
    <row r="304" spans="2:10" x14ac:dyDescent="0.3">
      <c r="B304" s="127">
        <v>274</v>
      </c>
      <c r="C304" s="206">
        <f>$D$7+0.794932*$E$7</f>
        <v>0.14550157943997799</v>
      </c>
      <c r="D304" s="206">
        <f>MIN($D$8+0.180364*$E$8,'Debt &amp; Cost of Capital'!$C$38)</f>
        <v>5.6082184E-2</v>
      </c>
      <c r="E304" s="207">
        <f>$D$9+-0.656055*$E$9</f>
        <v>0.14753944770254634</v>
      </c>
      <c r="F304" s="207">
        <f>$D$10+1.226293*$E$10</f>
        <v>0.15971551599999992</v>
      </c>
      <c r="G304" s="208">
        <f>$F304*(1-'Sensitivity &amp; Scenarios'!$C$12)+'Sensitivity &amp; Scenarios'!$C$9*'Sensitivity &amp; Scenarios'!$C$12-'Sensitivity &amp; Scenarios'!$C$10</f>
        <v>8.871053871126465E-2</v>
      </c>
      <c r="H304" s="209">
        <f>('Sensitivity &amp; Scenarios'!$C$6*(1+$E304)^1*$G304+'Sensitivity &amp; Scenarios'!$C$11*'Sensitivity &amp; Scenarios'!$C$6*((1+$E304)^1-(1+$E304)^0))*'Sensitivity &amp; Scenarios'!$C$18/(1+$C304)^'Sensitivity &amp; Scenarios'!$C$18+('Sensitivity &amp; Scenarios'!$C$6*(1+$E304)^2*$G304+'Sensitivity &amp; Scenarios'!$C$11*'Sensitivity &amp; Scenarios'!$C$6*((1+$E304)^2-(1+$E304)^1))/(1+$C304)^('Sensitivity &amp; Scenarios'!$C$18+1)+('Sensitivity &amp; Scenarios'!$C$6*(1+$E304)^3*$G304+'Sensitivity &amp; Scenarios'!$C$11*'Sensitivity &amp; Scenarios'!$C$6*((1+$E304)^3-(1+$E304)^2))/(1+$C304)^('Sensitivity &amp; Scenarios'!$C$18+2)+('Sensitivity &amp; Scenarios'!$C$6*(1+$E304)^4*$G304+'Sensitivity &amp; Scenarios'!$C$11*'Sensitivity &amp; Scenarios'!$C$6*((1+$E304)^4-(1+$E304)^3))/(1+$C304)^('Sensitivity &amp; Scenarios'!$C$18+3)+('Sensitivity &amp; Scenarios'!$C$6*(1+$E304)^5*$G304+'Sensitivity &amp; Scenarios'!$C$11*'Sensitivity &amp; Scenarios'!$C$6*((1+$E304)^5-(1+$E304)^4))/(1+$C304)^('Sensitivity &amp; Scenarios'!$C$18+4)</f>
        <v>23809.622620399794</v>
      </c>
      <c r="I304" s="209">
        <f>('Sensitivity &amp; Scenarios'!$C$6*(1+$E304)^5*$G304+'Sensitivity &amp; Scenarios'!$C$11*'Sensitivity &amp; Scenarios'!$C$6*((1+$E304)^5-(1+$E304)^4))*(1+$D304)/($C304-$D304)/(1+$C304)^('Sensitivity &amp; Scenarios'!$C$18+4)</f>
        <v>60895.897003428421</v>
      </c>
      <c r="J304" s="209">
        <f>($H304+$I304-'Sensitivity &amp; Scenarios'!$C$15+'Sensitivity &amp; Scenarios'!$C$16)/'Sensitivity &amp; Scenarios'!$C$17</f>
        <v>2069.5087000983513</v>
      </c>
    </row>
    <row r="305" spans="2:10" x14ac:dyDescent="0.3">
      <c r="B305" s="127">
        <v>275</v>
      </c>
      <c r="C305" s="206">
        <f>$D$7+1.579186*$E$7</f>
        <v>0.15334411943997797</v>
      </c>
      <c r="D305" s="206">
        <f>MIN($D$8+0.494557*$E$8,'Debt &amp; Cost of Capital'!$C$38)</f>
        <v>5.7967341999999998E-2</v>
      </c>
      <c r="E305" s="207">
        <f>$D$9+0.973664*$E$9</f>
        <v>0.19643101770254634</v>
      </c>
      <c r="F305" s="207">
        <f>$D$10+1.24196*$E$10</f>
        <v>0.15990351999999991</v>
      </c>
      <c r="G305" s="208">
        <f>$F305*(1-'Sensitivity &amp; Scenarios'!$C$12)+'Sensitivity &amp; Scenarios'!$C$9*'Sensitivity &amp; Scenarios'!$C$12-'Sensitivity &amp; Scenarios'!$C$10</f>
        <v>8.8851222104464639E-2</v>
      </c>
      <c r="H305" s="209">
        <f>('Sensitivity &amp; Scenarios'!$C$6*(1+$E305)^1*$G305+'Sensitivity &amp; Scenarios'!$C$11*'Sensitivity &amp; Scenarios'!$C$6*((1+$E305)^1-(1+$E305)^0))*'Sensitivity &amp; Scenarios'!$C$18/(1+$C305)^'Sensitivity &amp; Scenarios'!$C$18+('Sensitivity &amp; Scenarios'!$C$6*(1+$E305)^2*$G305+'Sensitivity &amp; Scenarios'!$C$11*'Sensitivity &amp; Scenarios'!$C$6*((1+$E305)^2-(1+$E305)^1))/(1+$C305)^('Sensitivity &amp; Scenarios'!$C$18+1)+('Sensitivity &amp; Scenarios'!$C$6*(1+$E305)^3*$G305+'Sensitivity &amp; Scenarios'!$C$11*'Sensitivity &amp; Scenarios'!$C$6*((1+$E305)^3-(1+$E305)^2))/(1+$C305)^('Sensitivity &amp; Scenarios'!$C$18+2)+('Sensitivity &amp; Scenarios'!$C$6*(1+$E305)^4*$G305+'Sensitivity &amp; Scenarios'!$C$11*'Sensitivity &amp; Scenarios'!$C$6*((1+$E305)^4-(1+$E305)^3))/(1+$C305)^('Sensitivity &amp; Scenarios'!$C$18+3)+('Sensitivity &amp; Scenarios'!$C$6*(1+$E305)^5*$G305+'Sensitivity &amp; Scenarios'!$C$11*'Sensitivity &amp; Scenarios'!$C$6*((1+$E305)^5-(1+$E305)^4))/(1+$C305)^('Sensitivity &amp; Scenarios'!$C$18+4)</f>
        <v>27736.147385283006</v>
      </c>
      <c r="I305" s="209">
        <f>('Sensitivity &amp; Scenarios'!$C$6*(1+$E305)^5*$G305+'Sensitivity &amp; Scenarios'!$C$11*'Sensitivity &amp; Scenarios'!$C$6*((1+$E305)^5-(1+$E305)^4))*(1+$D305)/($C305-$D305)/(1+$C305)^('Sensitivity &amp; Scenarios'!$C$18+4)</f>
        <v>70962.419079831918</v>
      </c>
      <c r="J305" s="209">
        <f>($H305+$I305-'Sensitivity &amp; Scenarios'!$C$15+'Sensitivity &amp; Scenarios'!$C$16)/'Sensitivity &amp; Scenarios'!$C$17</f>
        <v>2364.0452132272458</v>
      </c>
    </row>
    <row r="306" spans="2:10" x14ac:dyDescent="0.3">
      <c r="B306" s="127">
        <v>276</v>
      </c>
      <c r="C306" s="206">
        <f>$D$7+1.130099*$E$7</f>
        <v>0.14885324943997799</v>
      </c>
      <c r="D306" s="206">
        <f>MIN($D$8+0.614099*$E$8,'Debt &amp; Cost of Capital'!$C$38)</f>
        <v>5.8684594E-2</v>
      </c>
      <c r="E306" s="207">
        <f>$D$9+0.598347*$E$9</f>
        <v>0.18517150770254634</v>
      </c>
      <c r="F306" s="207">
        <f>$D$10+0.519661*$E$10</f>
        <v>0.15123593199999991</v>
      </c>
      <c r="G306" s="208">
        <f>$F306*(1-'Sensitivity &amp; Scenarios'!$C$12)+'Sensitivity &amp; Scenarios'!$C$9*'Sensitivity &amp; Scenarios'!$C$12-'Sensitivity &amp; Scenarios'!$C$10</f>
        <v>8.236526600406463E-2</v>
      </c>
      <c r="H306" s="209">
        <f>('Sensitivity &amp; Scenarios'!$C$6*(1+$E306)^1*$G306+'Sensitivity &amp; Scenarios'!$C$11*'Sensitivity &amp; Scenarios'!$C$6*((1+$E306)^1-(1+$E306)^0))*'Sensitivity &amp; Scenarios'!$C$18/(1+$C306)^'Sensitivity &amp; Scenarios'!$C$18+('Sensitivity &amp; Scenarios'!$C$6*(1+$E306)^2*$G306+'Sensitivity &amp; Scenarios'!$C$11*'Sensitivity &amp; Scenarios'!$C$6*((1+$E306)^2-(1+$E306)^1))/(1+$C306)^('Sensitivity &amp; Scenarios'!$C$18+1)+('Sensitivity &amp; Scenarios'!$C$6*(1+$E306)^3*$G306+'Sensitivity &amp; Scenarios'!$C$11*'Sensitivity &amp; Scenarios'!$C$6*((1+$E306)^3-(1+$E306)^2))/(1+$C306)^('Sensitivity &amp; Scenarios'!$C$18+2)+('Sensitivity &amp; Scenarios'!$C$6*(1+$E306)^4*$G306+'Sensitivity &amp; Scenarios'!$C$11*'Sensitivity &amp; Scenarios'!$C$6*((1+$E306)^4-(1+$E306)^3))/(1+$C306)^('Sensitivity &amp; Scenarios'!$C$18+3)+('Sensitivity &amp; Scenarios'!$C$6*(1+$E306)^5*$G306+'Sensitivity &amp; Scenarios'!$C$11*'Sensitivity &amp; Scenarios'!$C$6*((1+$E306)^5-(1+$E306)^4))/(1+$C306)^('Sensitivity &amp; Scenarios'!$C$18+4)</f>
        <v>25332.797281297127</v>
      </c>
      <c r="I306" s="209">
        <f>('Sensitivity &amp; Scenarios'!$C$6*(1+$E306)^5*$G306+'Sensitivity &amp; Scenarios'!$C$11*'Sensitivity &amp; Scenarios'!$C$6*((1+$E306)^5-(1+$E306)^4))*(1+$D306)/($C306-$D306)/(1+$C306)^('Sensitivity &amp; Scenarios'!$C$18+4)</f>
        <v>67928.653956528113</v>
      </c>
      <c r="J306" s="209">
        <f>($H306+$I306-'Sensitivity &amp; Scenarios'!$C$15+'Sensitivity &amp; Scenarios'!$C$16)/'Sensitivity &amp; Scenarios'!$C$17</f>
        <v>2249.6005909309156</v>
      </c>
    </row>
    <row r="307" spans="2:10" x14ac:dyDescent="0.3">
      <c r="B307" s="127">
        <v>277</v>
      </c>
      <c r="C307" s="206">
        <f>$D$7+-1.097338*$E$7</f>
        <v>0.12657887943997798</v>
      </c>
      <c r="D307" s="206">
        <f>MIN($D$8+0.700723*$E$8,'Debt &amp; Cost of Capital'!$C$38)</f>
        <v>5.9204338000000002E-2</v>
      </c>
      <c r="E307" s="207">
        <f>$D$9+-1.355814*$E$9</f>
        <v>0.12654667770254635</v>
      </c>
      <c r="F307" s="207">
        <f>$D$10+-0.794599*$E$10</f>
        <v>0.13546481199999991</v>
      </c>
      <c r="G307" s="208">
        <f>$F307*(1-'Sensitivity &amp; Scenarios'!$C$12)+'Sensitivity &amp; Scenarios'!$C$9*'Sensitivity &amp; Scenarios'!$C$12-'Sensitivity &amp; Scenarios'!$C$10</f>
        <v>7.0563736908064639E-2</v>
      </c>
      <c r="H307" s="209">
        <f>('Sensitivity &amp; Scenarios'!$C$6*(1+$E307)^1*$G307+'Sensitivity &amp; Scenarios'!$C$11*'Sensitivity &amp; Scenarios'!$C$6*((1+$E307)^1-(1+$E307)^0))*'Sensitivity &amp; Scenarios'!$C$18/(1+$C307)^'Sensitivity &amp; Scenarios'!$C$18+('Sensitivity &amp; Scenarios'!$C$6*(1+$E307)^2*$G307+'Sensitivity &amp; Scenarios'!$C$11*'Sensitivity &amp; Scenarios'!$C$6*((1+$E307)^2-(1+$E307)^1))/(1+$C307)^('Sensitivity &amp; Scenarios'!$C$18+1)+('Sensitivity &amp; Scenarios'!$C$6*(1+$E307)^3*$G307+'Sensitivity &amp; Scenarios'!$C$11*'Sensitivity &amp; Scenarios'!$C$6*((1+$E307)^3-(1+$E307)^2))/(1+$C307)^('Sensitivity &amp; Scenarios'!$C$18+2)+('Sensitivity &amp; Scenarios'!$C$6*(1+$E307)^4*$G307+'Sensitivity &amp; Scenarios'!$C$11*'Sensitivity &amp; Scenarios'!$C$6*((1+$E307)^4-(1+$E307)^3))/(1+$C307)^('Sensitivity &amp; Scenarios'!$C$18+3)+('Sensitivity &amp; Scenarios'!$C$6*(1+$E307)^5*$G307+'Sensitivity &amp; Scenarios'!$C$11*'Sensitivity &amp; Scenarios'!$C$6*((1+$E307)^5-(1+$E307)^4))/(1+$C307)^('Sensitivity &amp; Scenarios'!$C$18+4)</f>
        <v>18969.696297882045</v>
      </c>
      <c r="I307" s="209">
        <f>('Sensitivity &amp; Scenarios'!$C$6*(1+$E307)^5*$G307+'Sensitivity &amp; Scenarios'!$C$11*'Sensitivity &amp; Scenarios'!$C$6*((1+$E307)^5-(1+$E307)^4))*(1+$D307)/($C307-$D307)/(1+$C307)^('Sensitivity &amp; Scenarios'!$C$18+4)</f>
        <v>64368.101869393402</v>
      </c>
      <c r="J307" s="209">
        <f>($H307+$I307-'Sensitivity &amp; Scenarios'!$C$15+'Sensitivity &amp; Scenarios'!$C$16)/'Sensitivity &amp; Scenarios'!$C$17</f>
        <v>2040.7198370784674</v>
      </c>
    </row>
    <row r="308" spans="2:10" x14ac:dyDescent="0.3">
      <c r="B308" s="127">
        <v>278</v>
      </c>
      <c r="C308" s="206">
        <f>$D$7+1.303565*$E$7</f>
        <v>0.15058790943997799</v>
      </c>
      <c r="D308" s="206">
        <f>MIN($D$8+0.84022*$E$8,'Debt &amp; Cost of Capital'!$C$38)</f>
        <v>6.0041320000000002E-2</v>
      </c>
      <c r="E308" s="207">
        <f>$D$9+1.487398*$E$9</f>
        <v>0.21184303770254634</v>
      </c>
      <c r="F308" s="207">
        <f>$D$10+-0.271674*$E$10</f>
        <v>0.14173991199999991</v>
      </c>
      <c r="G308" s="208">
        <f>$F308*(1-'Sensitivity &amp; Scenarios'!$C$12)+'Sensitivity &amp; Scenarios'!$C$9*'Sensitivity &amp; Scenarios'!$C$12-'Sensitivity &amp; Scenarios'!$C$10</f>
        <v>7.5259394238064645E-2</v>
      </c>
      <c r="H308" s="209">
        <f>('Sensitivity &amp; Scenarios'!$C$6*(1+$E308)^1*$G308+'Sensitivity &amp; Scenarios'!$C$11*'Sensitivity &amp; Scenarios'!$C$6*((1+$E308)^1-(1+$E308)^0))*'Sensitivity &amp; Scenarios'!$C$18/(1+$C308)^'Sensitivity &amp; Scenarios'!$C$18+('Sensitivity &amp; Scenarios'!$C$6*(1+$E308)^2*$G308+'Sensitivity &amp; Scenarios'!$C$11*'Sensitivity &amp; Scenarios'!$C$6*((1+$E308)^2-(1+$E308)^1))/(1+$C308)^('Sensitivity &amp; Scenarios'!$C$18+1)+('Sensitivity &amp; Scenarios'!$C$6*(1+$E308)^3*$G308+'Sensitivity &amp; Scenarios'!$C$11*'Sensitivity &amp; Scenarios'!$C$6*((1+$E308)^3-(1+$E308)^2))/(1+$C308)^('Sensitivity &amp; Scenarios'!$C$18+2)+('Sensitivity &amp; Scenarios'!$C$6*(1+$E308)^4*$G308+'Sensitivity &amp; Scenarios'!$C$11*'Sensitivity &amp; Scenarios'!$C$6*((1+$E308)^4-(1+$E308)^3))/(1+$C308)^('Sensitivity &amp; Scenarios'!$C$18+3)+('Sensitivity &amp; Scenarios'!$C$6*(1+$E308)^5*$G308+'Sensitivity &amp; Scenarios'!$C$11*'Sensitivity &amp; Scenarios'!$C$6*((1+$E308)^5-(1+$E308)^4))/(1+$C308)^('Sensitivity &amp; Scenarios'!$C$18+4)</f>
        <v>25726.98022261036</v>
      </c>
      <c r="I308" s="209">
        <f>('Sensitivity &amp; Scenarios'!$C$6*(1+$E308)^5*$G308+'Sensitivity &amp; Scenarios'!$C$11*'Sensitivity &amp; Scenarios'!$C$6*((1+$E308)^5-(1+$E308)^4))*(1+$D308)/($C308-$D308)/(1+$C308)^('Sensitivity &amp; Scenarios'!$C$18+4)</f>
        <v>71353.199705900901</v>
      </c>
      <c r="J308" s="209">
        <f>($H308+$I308-'Sensitivity &amp; Scenarios'!$C$15+'Sensitivity &amp; Scenarios'!$C$16)/'Sensitivity &amp; Scenarios'!$C$17</f>
        <v>2329.9801570037826</v>
      </c>
    </row>
    <row r="309" spans="2:10" x14ac:dyDescent="0.3">
      <c r="B309" s="127">
        <v>279</v>
      </c>
      <c r="C309" s="206">
        <f>$D$7+-1.152249*$E$7</f>
        <v>0.12602976943997798</v>
      </c>
      <c r="D309" s="206">
        <f>MIN($D$8+-0.240437*$E$8,'Debt &amp; Cost of Capital'!$C$38)</f>
        <v>5.3557378000000003E-2</v>
      </c>
      <c r="E309" s="207">
        <f>$D$9+0.102031*$E$9</f>
        <v>0.17028202770254633</v>
      </c>
      <c r="F309" s="207">
        <f>$D$10+0.078989*$E$10</f>
        <v>0.1459478679999999</v>
      </c>
      <c r="G309" s="208">
        <f>$F309*(1-'Sensitivity &amp; Scenarios'!$C$12)+'Sensitivity &amp; Scenarios'!$C$9*'Sensitivity &amp; Scenarios'!$C$12-'Sensitivity &amp; Scenarios'!$C$10</f>
        <v>7.8408207712864622E-2</v>
      </c>
      <c r="H309" s="209">
        <f>('Sensitivity &amp; Scenarios'!$C$6*(1+$E309)^1*$G309+'Sensitivity &amp; Scenarios'!$C$11*'Sensitivity &amp; Scenarios'!$C$6*((1+$E309)^1-(1+$E309)^0))*'Sensitivity &amp; Scenarios'!$C$18/(1+$C309)^'Sensitivity &amp; Scenarios'!$C$18+('Sensitivity &amp; Scenarios'!$C$6*(1+$E309)^2*$G309+'Sensitivity &amp; Scenarios'!$C$11*'Sensitivity &amp; Scenarios'!$C$6*((1+$E309)^2-(1+$E309)^1))/(1+$C309)^('Sensitivity &amp; Scenarios'!$C$18+1)+('Sensitivity &amp; Scenarios'!$C$6*(1+$E309)^3*$G309+'Sensitivity &amp; Scenarios'!$C$11*'Sensitivity &amp; Scenarios'!$C$6*((1+$E309)^3-(1+$E309)^2))/(1+$C309)^('Sensitivity &amp; Scenarios'!$C$18+2)+('Sensitivity &amp; Scenarios'!$C$6*(1+$E309)^4*$G309+'Sensitivity &amp; Scenarios'!$C$11*'Sensitivity &amp; Scenarios'!$C$6*((1+$E309)^4-(1+$E309)^3))/(1+$C309)^('Sensitivity &amp; Scenarios'!$C$18+3)+('Sensitivity &amp; Scenarios'!$C$6*(1+$E309)^5*$G309+'Sensitivity &amp; Scenarios'!$C$11*'Sensitivity &amp; Scenarios'!$C$6*((1+$E309)^5-(1+$E309)^4))/(1+$C309)^('Sensitivity &amp; Scenarios'!$C$18+4)</f>
        <v>24426.257644147929</v>
      </c>
      <c r="I309" s="209">
        <f>('Sensitivity &amp; Scenarios'!$C$6*(1+$E309)^5*$G309+'Sensitivity &amp; Scenarios'!$C$11*'Sensitivity &amp; Scenarios'!$C$6*((1+$E309)^5-(1+$E309)^4))*(1+$D309)/($C309-$D309)/(1+$C309)^('Sensitivity &amp; Scenarios'!$C$18+4)</f>
        <v>82174.112332865232</v>
      </c>
      <c r="J309" s="209">
        <f>($H309+$I309-'Sensitivity &amp; Scenarios'!$C$15+'Sensitivity &amp; Scenarios'!$C$16)/'Sensitivity &amp; Scenarios'!$C$17</f>
        <v>2530.3685079479651</v>
      </c>
    </row>
    <row r="310" spans="2:10" x14ac:dyDescent="0.3">
      <c r="B310" s="127">
        <v>280</v>
      </c>
      <c r="C310" s="206">
        <f>$D$7+1.13368*$E$7</f>
        <v>0.14888905943997799</v>
      </c>
      <c r="D310" s="206">
        <f>MIN($D$8+-0.36127*$E$8,'Debt &amp; Cost of Capital'!$C$38)</f>
        <v>5.2832379999999998E-2</v>
      </c>
      <c r="E310" s="207">
        <f>$D$9+0.352034*$E$9</f>
        <v>0.17778211770254634</v>
      </c>
      <c r="F310" s="207">
        <f>$D$10+-0.988627*$E$10</f>
        <v>0.13313647599999989</v>
      </c>
      <c r="G310" s="208">
        <f>$F310*(1-'Sensitivity &amp; Scenarios'!$C$12)+'Sensitivity &amp; Scenarios'!$C$9*'Sensitivity &amp; Scenarios'!$C$12-'Sensitivity &amp; Scenarios'!$C$10</f>
        <v>6.8821443079264633E-2</v>
      </c>
      <c r="H310" s="209">
        <f>('Sensitivity &amp; Scenarios'!$C$6*(1+$E310)^1*$G310+'Sensitivity &amp; Scenarios'!$C$11*'Sensitivity &amp; Scenarios'!$C$6*((1+$E310)^1-(1+$E310)^0))*'Sensitivity &amp; Scenarios'!$C$18/(1+$C310)^'Sensitivity &amp; Scenarios'!$C$18+('Sensitivity &amp; Scenarios'!$C$6*(1+$E310)^2*$G310+'Sensitivity &amp; Scenarios'!$C$11*'Sensitivity &amp; Scenarios'!$C$6*((1+$E310)^2-(1+$E310)^1))/(1+$C310)^('Sensitivity &amp; Scenarios'!$C$18+1)+('Sensitivity &amp; Scenarios'!$C$6*(1+$E310)^3*$G310+'Sensitivity &amp; Scenarios'!$C$11*'Sensitivity &amp; Scenarios'!$C$6*((1+$E310)^3-(1+$E310)^2))/(1+$C310)^('Sensitivity &amp; Scenarios'!$C$18+2)+('Sensitivity &amp; Scenarios'!$C$6*(1+$E310)^4*$G310+'Sensitivity &amp; Scenarios'!$C$11*'Sensitivity &amp; Scenarios'!$C$6*((1+$E310)^4-(1+$E310)^3))/(1+$C310)^('Sensitivity &amp; Scenarios'!$C$18+3)+('Sensitivity &amp; Scenarios'!$C$6*(1+$E310)^5*$G310+'Sensitivity &amp; Scenarios'!$C$11*'Sensitivity &amp; Scenarios'!$C$6*((1+$E310)^5-(1+$E310)^4))/(1+$C310)^('Sensitivity &amp; Scenarios'!$C$18+4)</f>
        <v>21304.280393766199</v>
      </c>
      <c r="I310" s="209">
        <f>('Sensitivity &amp; Scenarios'!$C$6*(1+$E310)^5*$G310+'Sensitivity &amp; Scenarios'!$C$11*'Sensitivity &amp; Scenarios'!$C$6*((1+$E310)^5-(1+$E310)^4))*(1+$D310)/($C310-$D310)/(1+$C310)^('Sensitivity &amp; Scenarios'!$C$18+4)</f>
        <v>52731.352213629078</v>
      </c>
      <c r="J310" s="209">
        <f>($H310+$I310-'Sensitivity &amp; Scenarios'!$C$15+'Sensitivity &amp; Scenarios'!$C$16)/'Sensitivity &amp; Scenarios'!$C$17</f>
        <v>1844.9206348296125</v>
      </c>
    </row>
    <row r="311" spans="2:10" x14ac:dyDescent="0.3">
      <c r="B311" s="127">
        <v>281</v>
      </c>
      <c r="C311" s="206">
        <f>$D$7+0.450317*$E$7</f>
        <v>0.14205542943997798</v>
      </c>
      <c r="D311" s="206">
        <f>MIN($D$8+0.003109*$E$8,'Debt &amp; Cost of Capital'!$C$38)</f>
        <v>5.5018654E-2</v>
      </c>
      <c r="E311" s="207">
        <f>$D$9+-0.749813*$E$9</f>
        <v>0.14472670770254634</v>
      </c>
      <c r="F311" s="207">
        <f>$D$10+-0.235829*$E$10</f>
        <v>0.14217005199999991</v>
      </c>
      <c r="G311" s="208">
        <f>$F311*(1-'Sensitivity &amp; Scenarios'!$C$12)+'Sensitivity &amp; Scenarios'!$C$9*'Sensitivity &amp; Scenarios'!$C$12-'Sensitivity &amp; Scenarios'!$C$10</f>
        <v>7.5581268000064636E-2</v>
      </c>
      <c r="H311" s="209">
        <f>('Sensitivity &amp; Scenarios'!$C$6*(1+$E311)^1*$G311+'Sensitivity &amp; Scenarios'!$C$11*'Sensitivity &amp; Scenarios'!$C$6*((1+$E311)^1-(1+$E311)^0))*'Sensitivity &amp; Scenarios'!$C$18/(1+$C311)^'Sensitivity &amp; Scenarios'!$C$18+('Sensitivity &amp; Scenarios'!$C$6*(1+$E311)^2*$G311+'Sensitivity &amp; Scenarios'!$C$11*'Sensitivity &amp; Scenarios'!$C$6*((1+$E311)^2-(1+$E311)^1))/(1+$C311)^('Sensitivity &amp; Scenarios'!$C$18+1)+('Sensitivity &amp; Scenarios'!$C$6*(1+$E311)^3*$G311+'Sensitivity &amp; Scenarios'!$C$11*'Sensitivity &amp; Scenarios'!$C$6*((1+$E311)^3-(1+$E311)^2))/(1+$C311)^('Sensitivity &amp; Scenarios'!$C$18+2)+('Sensitivity &amp; Scenarios'!$C$6*(1+$E311)^4*$G311+'Sensitivity &amp; Scenarios'!$C$11*'Sensitivity &amp; Scenarios'!$C$6*((1+$E311)^4-(1+$E311)^3))/(1+$C311)^('Sensitivity &amp; Scenarios'!$C$18+3)+('Sensitivity &amp; Scenarios'!$C$6*(1+$E311)^5*$G311+'Sensitivity &amp; Scenarios'!$C$11*'Sensitivity &amp; Scenarios'!$C$6*((1+$E311)^5-(1+$E311)^4))/(1+$C311)^('Sensitivity &amp; Scenarios'!$C$18+4)</f>
        <v>20729.487245654633</v>
      </c>
      <c r="I311" s="209">
        <f>('Sensitivity &amp; Scenarios'!$C$6*(1+$E311)^5*$G311+'Sensitivity &amp; Scenarios'!$C$11*'Sensitivity &amp; Scenarios'!$C$6*((1+$E311)^5-(1+$E311)^4))*(1+$D311)/($C311-$D311)/(1+$C311)^('Sensitivity &amp; Scenarios'!$C$18+4)</f>
        <v>54470.513554916441</v>
      </c>
      <c r="J311" s="209">
        <f>($H311+$I311-'Sensitivity &amp; Scenarios'!$C$15+'Sensitivity &amp; Scenarios'!$C$16)/'Sensitivity &amp; Scenarios'!$C$17</f>
        <v>1869.4291604928233</v>
      </c>
    </row>
    <row r="312" spans="2:10" x14ac:dyDescent="0.3">
      <c r="B312" s="127">
        <v>282</v>
      </c>
      <c r="C312" s="206">
        <f>$D$7+-0.184176*$E$7</f>
        <v>0.13571049943997798</v>
      </c>
      <c r="D312" s="206">
        <f>MIN($D$8+-0.270155*$E$8,'Debt &amp; Cost of Capital'!$C$38)</f>
        <v>5.3379070000000001E-2</v>
      </c>
      <c r="E312" s="207">
        <f>$D$9+1.771341*$E$9</f>
        <v>0.22036132770254635</v>
      </c>
      <c r="F312" s="207">
        <f>$D$10+-0.098446*$E$10</f>
        <v>0.14381864799999991</v>
      </c>
      <c r="G312" s="208">
        <f>$F312*(1-'Sensitivity &amp; Scenarios'!$C$12)+'Sensitivity &amp; Scenarios'!$C$9*'Sensitivity &amp; Scenarios'!$C$12-'Sensitivity &amp; Scenarios'!$C$10</f>
        <v>7.6814912386864637E-2</v>
      </c>
      <c r="H312" s="209">
        <f>('Sensitivity &amp; Scenarios'!$C$6*(1+$E312)^1*$G312+'Sensitivity &amp; Scenarios'!$C$11*'Sensitivity &amp; Scenarios'!$C$6*((1+$E312)^1-(1+$E312)^0))*'Sensitivity &amp; Scenarios'!$C$18/(1+$C312)^'Sensitivity &amp; Scenarios'!$C$18+('Sensitivity &amp; Scenarios'!$C$6*(1+$E312)^2*$G312+'Sensitivity &amp; Scenarios'!$C$11*'Sensitivity &amp; Scenarios'!$C$6*((1+$E312)^2-(1+$E312)^1))/(1+$C312)^('Sensitivity &amp; Scenarios'!$C$18+1)+('Sensitivity &amp; Scenarios'!$C$6*(1+$E312)^3*$G312+'Sensitivity &amp; Scenarios'!$C$11*'Sensitivity &amp; Scenarios'!$C$6*((1+$E312)^3-(1+$E312)^2))/(1+$C312)^('Sensitivity &amp; Scenarios'!$C$18+2)+('Sensitivity &amp; Scenarios'!$C$6*(1+$E312)^4*$G312+'Sensitivity &amp; Scenarios'!$C$11*'Sensitivity &amp; Scenarios'!$C$6*((1+$E312)^4-(1+$E312)^3))/(1+$C312)^('Sensitivity &amp; Scenarios'!$C$18+3)+('Sensitivity &amp; Scenarios'!$C$6*(1+$E312)^5*$G312+'Sensitivity &amp; Scenarios'!$C$11*'Sensitivity &amp; Scenarios'!$C$6*((1+$E312)^5-(1+$E312)^4))/(1+$C312)^('Sensitivity &amp; Scenarios'!$C$18+4)</f>
        <v>27970.048887121018</v>
      </c>
      <c r="I312" s="209">
        <f>('Sensitivity &amp; Scenarios'!$C$6*(1+$E312)^5*$G312+'Sensitivity &amp; Scenarios'!$C$11*'Sensitivity &amp; Scenarios'!$C$6*((1+$E312)^5-(1+$E312)^4))*(1+$D312)/($C312-$D312)/(1+$C312)^('Sensitivity &amp; Scenarios'!$C$18+4)</f>
        <v>87765.704244090899</v>
      </c>
      <c r="J312" s="209">
        <f>($H312+$I312-'Sensitivity &amp; Scenarios'!$C$15+'Sensitivity &amp; Scenarios'!$C$16)/'Sensitivity &amp; Scenarios'!$C$17</f>
        <v>2722.6571446439548</v>
      </c>
    </row>
    <row r="313" spans="2:10" x14ac:dyDescent="0.3">
      <c r="B313" s="127">
        <v>283</v>
      </c>
      <c r="C313" s="206">
        <f>$D$7+-0.243896*$E$7</f>
        <v>0.13511329943997799</v>
      </c>
      <c r="D313" s="206">
        <f>MIN($D$8+-2.097451*$E$8,'Debt &amp; Cost of Capital'!$C$38)</f>
        <v>4.2415293999999999E-2</v>
      </c>
      <c r="E313" s="207">
        <f>$D$9+-0.894207*$E$9</f>
        <v>0.14039488770254635</v>
      </c>
      <c r="F313" s="207">
        <f>$D$10+-0.263073*$E$10</f>
        <v>0.1418431239999999</v>
      </c>
      <c r="G313" s="208">
        <f>$F313*(1-'Sensitivity &amp; Scenarios'!$C$12)+'Sensitivity &amp; Scenarios'!$C$9*'Sensitivity &amp; Scenarios'!$C$12-'Sensitivity &amp; Scenarios'!$C$10</f>
        <v>7.533662777766463E-2</v>
      </c>
      <c r="H313" s="209">
        <f>('Sensitivity &amp; Scenarios'!$C$6*(1+$E313)^1*$G313+'Sensitivity &amp; Scenarios'!$C$11*'Sensitivity &amp; Scenarios'!$C$6*((1+$E313)^1-(1+$E313)^0))*'Sensitivity &amp; Scenarios'!$C$18/(1+$C313)^'Sensitivity &amp; Scenarios'!$C$18+('Sensitivity &amp; Scenarios'!$C$6*(1+$E313)^2*$G313+'Sensitivity &amp; Scenarios'!$C$11*'Sensitivity &amp; Scenarios'!$C$6*((1+$E313)^2-(1+$E313)^1))/(1+$C313)^('Sensitivity &amp; Scenarios'!$C$18+1)+('Sensitivity &amp; Scenarios'!$C$6*(1+$E313)^3*$G313+'Sensitivity &amp; Scenarios'!$C$11*'Sensitivity &amp; Scenarios'!$C$6*((1+$E313)^3-(1+$E313)^2))/(1+$C313)^('Sensitivity &amp; Scenarios'!$C$18+2)+('Sensitivity &amp; Scenarios'!$C$6*(1+$E313)^4*$G313+'Sensitivity &amp; Scenarios'!$C$11*'Sensitivity &amp; Scenarios'!$C$6*((1+$E313)^4-(1+$E313)^3))/(1+$C313)^('Sensitivity &amp; Scenarios'!$C$18+3)+('Sensitivity &amp; Scenarios'!$C$6*(1+$E313)^5*$G313+'Sensitivity &amp; Scenarios'!$C$11*'Sensitivity &amp; Scenarios'!$C$6*((1+$E313)^5-(1+$E313)^4))/(1+$C313)^('Sensitivity &amp; Scenarios'!$C$18+4)</f>
        <v>20692.6887617252</v>
      </c>
      <c r="I313" s="209">
        <f>('Sensitivity &amp; Scenarios'!$C$6*(1+$E313)^5*$G313+'Sensitivity &amp; Scenarios'!$C$11*'Sensitivity &amp; Scenarios'!$C$6*((1+$E313)^5-(1+$E313)^4))*(1+$D313)/($C313-$D313)/(1+$C313)^('Sensitivity &amp; Scenarios'!$C$18+4)</f>
        <v>50657.138394092057</v>
      </c>
      <c r="J313" s="209">
        <f>($H313+$I313-'Sensitivity &amp; Scenarios'!$C$15+'Sensitivity &amp; Scenarios'!$C$16)/'Sensitivity &amp; Scenarios'!$C$17</f>
        <v>1788.3877166150953</v>
      </c>
    </row>
    <row r="314" spans="2:10" x14ac:dyDescent="0.3">
      <c r="B314" s="127">
        <v>284</v>
      </c>
      <c r="C314" s="206">
        <f>$D$7+-0.685853*$E$7</f>
        <v>0.13069372943997798</v>
      </c>
      <c r="D314" s="206">
        <f>MIN($D$8+1.381708*$E$8,'Debt &amp; Cost of Capital'!$C$38)</f>
        <v>6.3290247999999993E-2</v>
      </c>
      <c r="E314" s="207">
        <f>$D$9+-0.164938*$E$9</f>
        <v>0.16227295770254635</v>
      </c>
      <c r="F314" s="207">
        <f>$D$10+1.288444*$E$10</f>
        <v>0.1604613279999999</v>
      </c>
      <c r="G314" s="208">
        <f>$F314*(1-'Sensitivity &amp; Scenarios'!$C$12)+'Sensitivity &amp; Scenarios'!$C$9*'Sensitivity &amp; Scenarios'!$C$12-'Sensitivity &amp; Scenarios'!$C$10</f>
        <v>8.9268629830864629E-2</v>
      </c>
      <c r="H314" s="209">
        <f>('Sensitivity &amp; Scenarios'!$C$6*(1+$E314)^1*$G314+'Sensitivity &amp; Scenarios'!$C$11*'Sensitivity &amp; Scenarios'!$C$6*((1+$E314)^1-(1+$E314)^0))*'Sensitivity &amp; Scenarios'!$C$18/(1+$C314)^'Sensitivity &amp; Scenarios'!$C$18+('Sensitivity &amp; Scenarios'!$C$6*(1+$E314)^2*$G314+'Sensitivity &amp; Scenarios'!$C$11*'Sensitivity &amp; Scenarios'!$C$6*((1+$E314)^2-(1+$E314)^1))/(1+$C314)^('Sensitivity &amp; Scenarios'!$C$18+1)+('Sensitivity &amp; Scenarios'!$C$6*(1+$E314)^3*$G314+'Sensitivity &amp; Scenarios'!$C$11*'Sensitivity &amp; Scenarios'!$C$6*((1+$E314)^3-(1+$E314)^2))/(1+$C314)^('Sensitivity &amp; Scenarios'!$C$18+2)+('Sensitivity &amp; Scenarios'!$C$6*(1+$E314)^4*$G314+'Sensitivity &amp; Scenarios'!$C$11*'Sensitivity &amp; Scenarios'!$C$6*((1+$E314)^4-(1+$E314)^3))/(1+$C314)^('Sensitivity &amp; Scenarios'!$C$18+3)+('Sensitivity &amp; Scenarios'!$C$6*(1+$E314)^5*$G314+'Sensitivity &amp; Scenarios'!$C$11*'Sensitivity &amp; Scenarios'!$C$6*((1+$E314)^5-(1+$E314)^4))/(1+$C314)^('Sensitivity &amp; Scenarios'!$C$18+4)</f>
        <v>26166.553288507894</v>
      </c>
      <c r="I314" s="209">
        <f>('Sensitivity &amp; Scenarios'!$C$6*(1+$E314)^5*$G314+'Sensitivity &amp; Scenarios'!$C$11*'Sensitivity &amp; Scenarios'!$C$6*((1+$E314)^5-(1+$E314)^4))*(1+$D314)/($C314-$D314)/(1+$C314)^('Sensitivity &amp; Scenarios'!$C$18+4)</f>
        <v>93669.17460839104</v>
      </c>
      <c r="J314" s="209">
        <f>($H314+$I314-'Sensitivity &amp; Scenarios'!$C$15+'Sensitivity &amp; Scenarios'!$C$16)/'Sensitivity &amp; Scenarios'!$C$17</f>
        <v>2808.9565964430362</v>
      </c>
    </row>
    <row r="315" spans="2:10" x14ac:dyDescent="0.3">
      <c r="B315" s="127">
        <v>285</v>
      </c>
      <c r="C315" s="206">
        <f>$D$7+0.061705*$E$7</f>
        <v>0.13816930943997799</v>
      </c>
      <c r="D315" s="206">
        <f>MIN($D$8+0.037228*$E$8,'Debt &amp; Cost of Capital'!$C$38)</f>
        <v>5.5223368000000002E-2</v>
      </c>
      <c r="E315" s="207">
        <f>$D$9+-0.088796*$E$9</f>
        <v>0.16455721770254633</v>
      </c>
      <c r="F315" s="207">
        <f>$D$10+0.003796*$E$10</f>
        <v>0.14504555199999991</v>
      </c>
      <c r="G315" s="208">
        <f>$F315*(1-'Sensitivity &amp; Scenarios'!$C$12)+'Sensitivity &amp; Scenarios'!$C$9*'Sensitivity &amp; Scenarios'!$C$12-'Sensitivity &amp; Scenarios'!$C$10</f>
        <v>7.7733004650064635E-2</v>
      </c>
      <c r="H315" s="209">
        <f>('Sensitivity &amp; Scenarios'!$C$6*(1+$E315)^1*$G315+'Sensitivity &amp; Scenarios'!$C$11*'Sensitivity &amp; Scenarios'!$C$6*((1+$E315)^1-(1+$E315)^0))*'Sensitivity &amp; Scenarios'!$C$18/(1+$C315)^'Sensitivity &amp; Scenarios'!$C$18+('Sensitivity &amp; Scenarios'!$C$6*(1+$E315)^2*$G315+'Sensitivity &amp; Scenarios'!$C$11*'Sensitivity &amp; Scenarios'!$C$6*((1+$E315)^2-(1+$E315)^1))/(1+$C315)^('Sensitivity &amp; Scenarios'!$C$18+1)+('Sensitivity &amp; Scenarios'!$C$6*(1+$E315)^3*$G315+'Sensitivity &amp; Scenarios'!$C$11*'Sensitivity &amp; Scenarios'!$C$6*((1+$E315)^3-(1+$E315)^2))/(1+$C315)^('Sensitivity &amp; Scenarios'!$C$18+2)+('Sensitivity &amp; Scenarios'!$C$6*(1+$E315)^4*$G315+'Sensitivity &amp; Scenarios'!$C$11*'Sensitivity &amp; Scenarios'!$C$6*((1+$E315)^4-(1+$E315)^3))/(1+$C315)^('Sensitivity &amp; Scenarios'!$C$18+3)+('Sensitivity &amp; Scenarios'!$C$6*(1+$E315)^5*$G315+'Sensitivity &amp; Scenarios'!$C$11*'Sensitivity &amp; Scenarios'!$C$6*((1+$E315)^5-(1+$E315)^4))/(1+$C315)^('Sensitivity &amp; Scenarios'!$C$18+4)</f>
        <v>23040.392738806324</v>
      </c>
      <c r="I315" s="209">
        <f>('Sensitivity &amp; Scenarios'!$C$6*(1+$E315)^5*$G315+'Sensitivity &amp; Scenarios'!$C$11*'Sensitivity &amp; Scenarios'!$C$6*((1+$E315)^5-(1+$E315)^4))*(1+$D315)/($C315-$D315)/(1+$C315)^('Sensitivity &amp; Scenarios'!$C$18+4)</f>
        <v>65964.727827948547</v>
      </c>
      <c r="J315" s="209">
        <f>($H315+$I315-'Sensitivity &amp; Scenarios'!$C$15+'Sensitivity &amp; Scenarios'!$C$16)/'Sensitivity &amp; Scenarios'!$C$17</f>
        <v>2160.0100386516406</v>
      </c>
    </row>
    <row r="316" spans="2:10" x14ac:dyDescent="0.3">
      <c r="B316" s="127">
        <v>286</v>
      </c>
      <c r="C316" s="206">
        <f>$D$7+1.718795*$E$7</f>
        <v>0.15474020943997799</v>
      </c>
      <c r="D316" s="206">
        <f>MIN($D$8+-2.319611*$E$8,'Debt &amp; Cost of Capital'!$C$38)</f>
        <v>4.1082333999999998E-2</v>
      </c>
      <c r="E316" s="207">
        <f>$D$9+-2.001546*$E$9</f>
        <v>0.10717471770254636</v>
      </c>
      <c r="F316" s="207">
        <f>$D$10+-0.543171*$E$10</f>
        <v>0.13848194799999991</v>
      </c>
      <c r="G316" s="208">
        <f>$F316*(1-'Sensitivity &amp; Scenarios'!$C$12)+'Sensitivity &amp; Scenarios'!$C$9*'Sensitivity &amp; Scenarios'!$C$12-'Sensitivity &amp; Scenarios'!$C$10</f>
        <v>7.2821459776864633E-2</v>
      </c>
      <c r="H316" s="209">
        <f>('Sensitivity &amp; Scenarios'!$C$6*(1+$E316)^1*$G316+'Sensitivity &amp; Scenarios'!$C$11*'Sensitivity &amp; Scenarios'!$C$6*((1+$E316)^1-(1+$E316)^0))*'Sensitivity &amp; Scenarios'!$C$18/(1+$C316)^'Sensitivity &amp; Scenarios'!$C$18+('Sensitivity &amp; Scenarios'!$C$6*(1+$E316)^2*$G316+'Sensitivity &amp; Scenarios'!$C$11*'Sensitivity &amp; Scenarios'!$C$6*((1+$E316)^2-(1+$E316)^1))/(1+$C316)^('Sensitivity &amp; Scenarios'!$C$18+1)+('Sensitivity &amp; Scenarios'!$C$6*(1+$E316)^3*$G316+'Sensitivity &amp; Scenarios'!$C$11*'Sensitivity &amp; Scenarios'!$C$6*((1+$E316)^3-(1+$E316)^2))/(1+$C316)^('Sensitivity &amp; Scenarios'!$C$18+2)+('Sensitivity &amp; Scenarios'!$C$6*(1+$E316)^4*$G316+'Sensitivity &amp; Scenarios'!$C$11*'Sensitivity &amp; Scenarios'!$C$6*((1+$E316)^4-(1+$E316)^3))/(1+$C316)^('Sensitivity &amp; Scenarios'!$C$18+3)+('Sensitivity &amp; Scenarios'!$C$6*(1+$E316)^5*$G316+'Sensitivity &amp; Scenarios'!$C$11*'Sensitivity &amp; Scenarios'!$C$6*((1+$E316)^5-(1+$E316)^4))/(1+$C316)^('Sensitivity &amp; Scenarios'!$C$18+4)</f>
        <v>16900.6256060587</v>
      </c>
      <c r="I316" s="209">
        <f>('Sensitivity &amp; Scenarios'!$C$6*(1+$E316)^5*$G316+'Sensitivity &amp; Scenarios'!$C$11*'Sensitivity &amp; Scenarios'!$C$6*((1+$E316)^5-(1+$E316)^4))*(1+$D316)/($C316-$D316)/(1+$C316)^('Sensitivity &amp; Scenarios'!$C$18+4)</f>
        <v>30874.337608682443</v>
      </c>
      <c r="J316" s="209">
        <f>($H316+$I316-'Sensitivity &amp; Scenarios'!$C$15+'Sensitivity &amp; Scenarios'!$C$16)/'Sensitivity &amp; Scenarios'!$C$17</f>
        <v>1292.165678523628</v>
      </c>
    </row>
    <row r="317" spans="2:10" x14ac:dyDescent="0.3">
      <c r="B317" s="127">
        <v>287</v>
      </c>
      <c r="C317" s="206">
        <f>$D$7+0.014528*$E$7</f>
        <v>0.13769753943997798</v>
      </c>
      <c r="D317" s="206">
        <f>MIN($D$8+0.690104*$E$8,'Debt &amp; Cost of Capital'!$C$38)</f>
        <v>5.9140624000000003E-2</v>
      </c>
      <c r="E317" s="207">
        <f>$D$9+0.473087*$E$9</f>
        <v>0.18141370770254633</v>
      </c>
      <c r="F317" s="207">
        <f>$D$10+-0.384246*$E$10</f>
        <v>0.14038904799999991</v>
      </c>
      <c r="G317" s="208">
        <f>$F317*(1-'Sensitivity &amp; Scenarios'!$C$12)+'Sensitivity &amp; Scenarios'!$C$9*'Sensitivity &amp; Scenarios'!$C$12-'Sensitivity &amp; Scenarios'!$C$10</f>
        <v>7.4248542706864637E-2</v>
      </c>
      <c r="H317" s="209">
        <f>('Sensitivity &amp; Scenarios'!$C$6*(1+$E317)^1*$G317+'Sensitivity &amp; Scenarios'!$C$11*'Sensitivity &amp; Scenarios'!$C$6*((1+$E317)^1-(1+$E317)^0))*'Sensitivity &amp; Scenarios'!$C$18/(1+$C317)^'Sensitivity &amp; Scenarios'!$C$18+('Sensitivity &amp; Scenarios'!$C$6*(1+$E317)^2*$G317+'Sensitivity &amp; Scenarios'!$C$11*'Sensitivity &amp; Scenarios'!$C$6*((1+$E317)^2-(1+$E317)^1))/(1+$C317)^('Sensitivity &amp; Scenarios'!$C$18+1)+('Sensitivity &amp; Scenarios'!$C$6*(1+$E317)^3*$G317+'Sensitivity &amp; Scenarios'!$C$11*'Sensitivity &amp; Scenarios'!$C$6*((1+$E317)^3-(1+$E317)^2))/(1+$C317)^('Sensitivity &amp; Scenarios'!$C$18+2)+('Sensitivity &amp; Scenarios'!$C$6*(1+$E317)^4*$G317+'Sensitivity &amp; Scenarios'!$C$11*'Sensitivity &amp; Scenarios'!$C$6*((1+$E317)^4-(1+$E317)^3))/(1+$C317)^('Sensitivity &amp; Scenarios'!$C$18+3)+('Sensitivity &amp; Scenarios'!$C$6*(1+$E317)^5*$G317+'Sensitivity &amp; Scenarios'!$C$11*'Sensitivity &amp; Scenarios'!$C$6*((1+$E317)^5-(1+$E317)^4))/(1+$C317)^('Sensitivity &amp; Scenarios'!$C$18+4)</f>
        <v>23604.425954792943</v>
      </c>
      <c r="I317" s="209">
        <f>('Sensitivity &amp; Scenarios'!$C$6*(1+$E317)^5*$G317+'Sensitivity &amp; Scenarios'!$C$11*'Sensitivity &amp; Scenarios'!$C$6*((1+$E317)^5-(1+$E317)^4))*(1+$D317)/($C317-$D317)/(1+$C317)^('Sensitivity &amp; Scenarios'!$C$18+4)</f>
        <v>73537.242180484245</v>
      </c>
      <c r="J317" s="209">
        <f>($H317+$I317-'Sensitivity &amp; Scenarios'!$C$15+'Sensitivity &amp; Scenarios'!$C$16)/'Sensitivity &amp; Scenarios'!$C$17</f>
        <v>2331.2744085148934</v>
      </c>
    </row>
    <row r="318" spans="2:10" x14ac:dyDescent="0.3">
      <c r="B318" s="127">
        <v>288</v>
      </c>
      <c r="C318" s="206">
        <f>$D$7+1.019044*$E$7</f>
        <v>0.14774269943997798</v>
      </c>
      <c r="D318" s="206">
        <f>MIN($D$8+1.030195*$E$8,'Debt &amp; Cost of Capital'!$C$38)</f>
        <v>6.118117E-2</v>
      </c>
      <c r="E318" s="207">
        <f>$D$9+0.184058*$E$9</f>
        <v>0.17274283770254634</v>
      </c>
      <c r="F318" s="207">
        <f>$D$10+0.962658*$E$10</f>
        <v>0.15655189599999991</v>
      </c>
      <c r="G318" s="208">
        <f>$F318*(1-'Sensitivity &amp; Scenarios'!$C$12)+'Sensitivity &amp; Scenarios'!$C$9*'Sensitivity &amp; Scenarios'!$C$12-'Sensitivity &amp; Scenarios'!$C$10</f>
        <v>8.6343201865264646E-2</v>
      </c>
      <c r="H318" s="209">
        <f>('Sensitivity &amp; Scenarios'!$C$6*(1+$E318)^1*$G318+'Sensitivity &amp; Scenarios'!$C$11*'Sensitivity &amp; Scenarios'!$C$6*((1+$E318)^1-(1+$E318)^0))*'Sensitivity &amp; Scenarios'!$C$18/(1+$C318)^'Sensitivity &amp; Scenarios'!$C$18+('Sensitivity &amp; Scenarios'!$C$6*(1+$E318)^2*$G318+'Sensitivity &amp; Scenarios'!$C$11*'Sensitivity &amp; Scenarios'!$C$6*((1+$E318)^2-(1+$E318)^1))/(1+$C318)^('Sensitivity &amp; Scenarios'!$C$18+1)+('Sensitivity &amp; Scenarios'!$C$6*(1+$E318)^3*$G318+'Sensitivity &amp; Scenarios'!$C$11*'Sensitivity &amp; Scenarios'!$C$6*((1+$E318)^3-(1+$E318)^2))/(1+$C318)^('Sensitivity &amp; Scenarios'!$C$18+2)+('Sensitivity &amp; Scenarios'!$C$6*(1+$E318)^4*$G318+'Sensitivity &amp; Scenarios'!$C$11*'Sensitivity &amp; Scenarios'!$C$6*((1+$E318)^4-(1+$E318)^3))/(1+$C318)^('Sensitivity &amp; Scenarios'!$C$18+3)+('Sensitivity &amp; Scenarios'!$C$6*(1+$E318)^5*$G318+'Sensitivity &amp; Scenarios'!$C$11*'Sensitivity &amp; Scenarios'!$C$6*((1+$E318)^5-(1+$E318)^4))/(1+$C318)^('Sensitivity &amp; Scenarios'!$C$18+4)</f>
        <v>25296.838127629446</v>
      </c>
      <c r="I318" s="209">
        <f>('Sensitivity &amp; Scenarios'!$C$6*(1+$E318)^5*$G318+'Sensitivity &amp; Scenarios'!$C$11*'Sensitivity &amp; Scenarios'!$C$6*((1+$E318)^5-(1+$E318)^4))*(1+$D318)/($C318-$D318)/(1+$C318)^('Sensitivity &amp; Scenarios'!$C$18+4)</f>
        <v>69619.436525483165</v>
      </c>
      <c r="J318" s="209">
        <f>($H318+$I318-'Sensitivity &amp; Scenarios'!$C$15+'Sensitivity &amp; Scenarios'!$C$16)/'Sensitivity &amp; Scenarios'!$C$17</f>
        <v>2284.4325988639334</v>
      </c>
    </row>
    <row r="319" spans="2:10" x14ac:dyDescent="0.3">
      <c r="B319" s="127">
        <v>289</v>
      </c>
      <c r="C319" s="206">
        <f>$D$7+0.272645*$E$7</f>
        <v>0.14027870943997797</v>
      </c>
      <c r="D319" s="206">
        <f>MIN($D$8+-0.561483*$E$8,'Debt &amp; Cost of Capital'!$C$38)</f>
        <v>5.1631101999999998E-2</v>
      </c>
      <c r="E319" s="207">
        <f>$D$9+0.697817*$E$9</f>
        <v>0.18815560770254633</v>
      </c>
      <c r="F319" s="207">
        <f>$D$10+0.110613*$E$10</f>
        <v>0.14632735599999991</v>
      </c>
      <c r="G319" s="208">
        <f>$F319*(1-'Sensitivity &amp; Scenarios'!$C$12)+'Sensitivity &amp; Scenarios'!$C$9*'Sensitivity &amp; Scenarios'!$C$12-'Sensitivity &amp; Scenarios'!$C$10</f>
        <v>7.8692178583264633E-2</v>
      </c>
      <c r="H319" s="209">
        <f>('Sensitivity &amp; Scenarios'!$C$6*(1+$E319)^1*$G319+'Sensitivity &amp; Scenarios'!$C$11*'Sensitivity &amp; Scenarios'!$C$6*((1+$E319)^1-(1+$E319)^0))*'Sensitivity &amp; Scenarios'!$C$18/(1+$C319)^'Sensitivity &amp; Scenarios'!$C$18+('Sensitivity &amp; Scenarios'!$C$6*(1+$E319)^2*$G319+'Sensitivity &amp; Scenarios'!$C$11*'Sensitivity &amp; Scenarios'!$C$6*((1+$E319)^2-(1+$E319)^1))/(1+$C319)^('Sensitivity &amp; Scenarios'!$C$18+1)+('Sensitivity &amp; Scenarios'!$C$6*(1+$E319)^3*$G319+'Sensitivity &amp; Scenarios'!$C$11*'Sensitivity &amp; Scenarios'!$C$6*((1+$E319)^3-(1+$E319)^2))/(1+$C319)^('Sensitivity &amp; Scenarios'!$C$18+2)+('Sensitivity &amp; Scenarios'!$C$6*(1+$E319)^4*$G319+'Sensitivity &amp; Scenarios'!$C$11*'Sensitivity &amp; Scenarios'!$C$6*((1+$E319)^4-(1+$E319)^3))/(1+$C319)^('Sensitivity &amp; Scenarios'!$C$18+3)+('Sensitivity &amp; Scenarios'!$C$6*(1+$E319)^5*$G319+'Sensitivity &amp; Scenarios'!$C$11*'Sensitivity &amp; Scenarios'!$C$6*((1+$E319)^5-(1+$E319)^4))/(1+$C319)^('Sensitivity &amp; Scenarios'!$C$18+4)</f>
        <v>25189.898770157804</v>
      </c>
      <c r="I319" s="209">
        <f>('Sensitivity &amp; Scenarios'!$C$6*(1+$E319)^5*$G319+'Sensitivity &amp; Scenarios'!$C$11*'Sensitivity &amp; Scenarios'!$C$6*((1+$E319)^5-(1+$E319)^4))*(1+$D319)/($C319-$D319)/(1+$C319)^('Sensitivity &amp; Scenarios'!$C$18+4)</f>
        <v>69470.420075194546</v>
      </c>
      <c r="J319" s="209">
        <f>($H319+$I319-'Sensitivity &amp; Scenarios'!$C$15+'Sensitivity &amp; Scenarios'!$C$16)/'Sensitivity &amp; Scenarios'!$C$17</f>
        <v>2279.0450423161797</v>
      </c>
    </row>
    <row r="320" spans="2:10" x14ac:dyDescent="0.3">
      <c r="B320" s="127">
        <v>290</v>
      </c>
      <c r="C320" s="206">
        <f>$D$7+0.00134*$E$7</f>
        <v>0.13756565943997798</v>
      </c>
      <c r="D320" s="206">
        <f>MIN($D$8+1.472954*$E$8,'Debt &amp; Cost of Capital'!$C$38)</f>
        <v>6.3837723999999998E-2</v>
      </c>
      <c r="E320" s="207">
        <f>$D$9+-2.450872*$E$9</f>
        <v>9.3694937702546346E-2</v>
      </c>
      <c r="F320" s="207">
        <f>$D$10+-1.417684*$E$10</f>
        <v>0.12798779199999991</v>
      </c>
      <c r="G320" s="208">
        <f>$F320*(1-'Sensitivity &amp; Scenarios'!$C$12)+'Sensitivity &amp; Scenarios'!$C$9*'Sensitivity &amp; Scenarios'!$C$12-'Sensitivity &amp; Scenarios'!$C$10</f>
        <v>6.496868284206464E-2</v>
      </c>
      <c r="H320" s="209">
        <f>('Sensitivity &amp; Scenarios'!$C$6*(1+$E320)^1*$G320+'Sensitivity &amp; Scenarios'!$C$11*'Sensitivity &amp; Scenarios'!$C$6*((1+$E320)^1-(1+$E320)^0))*'Sensitivity &amp; Scenarios'!$C$18/(1+$C320)^'Sensitivity &amp; Scenarios'!$C$18+('Sensitivity &amp; Scenarios'!$C$6*(1+$E320)^2*$G320+'Sensitivity &amp; Scenarios'!$C$11*'Sensitivity &amp; Scenarios'!$C$6*((1+$E320)^2-(1+$E320)^1))/(1+$C320)^('Sensitivity &amp; Scenarios'!$C$18+1)+('Sensitivity &amp; Scenarios'!$C$6*(1+$E320)^3*$G320+'Sensitivity &amp; Scenarios'!$C$11*'Sensitivity &amp; Scenarios'!$C$6*((1+$E320)^3-(1+$E320)^2))/(1+$C320)^('Sensitivity &amp; Scenarios'!$C$18+2)+('Sensitivity &amp; Scenarios'!$C$6*(1+$E320)^4*$G320+'Sensitivity &amp; Scenarios'!$C$11*'Sensitivity &amp; Scenarios'!$C$6*((1+$E320)^4-(1+$E320)^3))/(1+$C320)^('Sensitivity &amp; Scenarios'!$C$18+3)+('Sensitivity &amp; Scenarios'!$C$6*(1+$E320)^5*$G320+'Sensitivity &amp; Scenarios'!$C$11*'Sensitivity &amp; Scenarios'!$C$6*((1+$E320)^5-(1+$E320)^4))/(1+$C320)^('Sensitivity &amp; Scenarios'!$C$18+4)</f>
        <v>15106.960656329247</v>
      </c>
      <c r="I320" s="209">
        <f>('Sensitivity &amp; Scenarios'!$C$6*(1+$E320)^5*$G320+'Sensitivity &amp; Scenarios'!$C$11*'Sensitivity &amp; Scenarios'!$C$6*((1+$E320)^5-(1+$E320)^4))*(1+$D320)/($C320-$D320)/(1+$C320)^('Sensitivity &amp; Scenarios'!$C$18+4)</f>
        <v>43702.388772069193</v>
      </c>
      <c r="J320" s="209">
        <f>($H320+$I320-'Sensitivity &amp; Scenarios'!$C$15+'Sensitivity &amp; Scenarios'!$C$16)/'Sensitivity &amp; Scenarios'!$C$17</f>
        <v>1524.426005866984</v>
      </c>
    </row>
    <row r="321" spans="2:10" x14ac:dyDescent="0.3">
      <c r="B321" s="127">
        <v>291</v>
      </c>
      <c r="C321" s="206">
        <f>$D$7+-1.18707*$E$7</f>
        <v>0.12568155943997797</v>
      </c>
      <c r="D321" s="206">
        <f>MIN($D$8+-0.363261*$E$8,'Debt &amp; Cost of Capital'!$C$38)</f>
        <v>5.2820433999999999E-2</v>
      </c>
      <c r="E321" s="207">
        <f>$D$9+-0.254608*$E$9</f>
        <v>0.15958285770254635</v>
      </c>
      <c r="F321" s="207">
        <f>$D$10+-1.507326*$E$10</f>
        <v>0.1269120879999999</v>
      </c>
      <c r="G321" s="208">
        <f>$F321*(1-'Sensitivity &amp; Scenarios'!$C$12)+'Sensitivity &amp; Scenarios'!$C$9*'Sensitivity &amp; Scenarios'!$C$12-'Sensitivity &amp; Scenarios'!$C$10</f>
        <v>6.4163733538864634E-2</v>
      </c>
      <c r="H321" s="209">
        <f>('Sensitivity &amp; Scenarios'!$C$6*(1+$E321)^1*$G321+'Sensitivity &amp; Scenarios'!$C$11*'Sensitivity &amp; Scenarios'!$C$6*((1+$E321)^1-(1+$E321)^0))*'Sensitivity &amp; Scenarios'!$C$18/(1+$C321)^'Sensitivity &amp; Scenarios'!$C$18+('Sensitivity &amp; Scenarios'!$C$6*(1+$E321)^2*$G321+'Sensitivity &amp; Scenarios'!$C$11*'Sensitivity &amp; Scenarios'!$C$6*((1+$E321)^2-(1+$E321)^1))/(1+$C321)^('Sensitivity &amp; Scenarios'!$C$18+1)+('Sensitivity &amp; Scenarios'!$C$6*(1+$E321)^3*$G321+'Sensitivity &amp; Scenarios'!$C$11*'Sensitivity &amp; Scenarios'!$C$6*((1+$E321)^3-(1+$E321)^2))/(1+$C321)^('Sensitivity &amp; Scenarios'!$C$18+2)+('Sensitivity &amp; Scenarios'!$C$6*(1+$E321)^4*$G321+'Sensitivity &amp; Scenarios'!$C$11*'Sensitivity &amp; Scenarios'!$C$6*((1+$E321)^4-(1+$E321)^3))/(1+$C321)^('Sensitivity &amp; Scenarios'!$C$18+3)+('Sensitivity &amp; Scenarios'!$C$6*(1+$E321)^5*$G321+'Sensitivity &amp; Scenarios'!$C$11*'Sensitivity &amp; Scenarios'!$C$6*((1+$E321)^5-(1+$E321)^4))/(1+$C321)^('Sensitivity &amp; Scenarios'!$C$18+4)</f>
        <v>19936.286802540017</v>
      </c>
      <c r="I321" s="209">
        <f>('Sensitivity &amp; Scenarios'!$C$6*(1+$E321)^5*$G321+'Sensitivity &amp; Scenarios'!$C$11*'Sensitivity &amp; Scenarios'!$C$6*((1+$E321)^5-(1+$E321)^4))*(1+$D321)/($C321-$D321)/(1+$C321)^('Sensitivity &amp; Scenarios'!$C$18+4)</f>
        <v>65619.872558022282</v>
      </c>
      <c r="J321" s="209">
        <f>($H321+$I321-'Sensitivity &amp; Scenarios'!$C$15+'Sensitivity &amp; Scenarios'!$C$16)/'Sensitivity &amp; Scenarios'!$C$17</f>
        <v>2087.4136256537572</v>
      </c>
    </row>
    <row r="322" spans="2:10" x14ac:dyDescent="0.3">
      <c r="B322" s="127">
        <v>292</v>
      </c>
      <c r="C322" s="206">
        <f>$D$7+-0.985158*$E$7</f>
        <v>0.12770067943997798</v>
      </c>
      <c r="D322" s="206">
        <f>MIN($D$8+-0.860842*$E$8,'Debt &amp; Cost of Capital'!$C$38)</f>
        <v>4.9834948000000004E-2</v>
      </c>
      <c r="E322" s="207">
        <f>$D$9+2.457424*$E$9</f>
        <v>0.24094381770254636</v>
      </c>
      <c r="F322" s="207">
        <f>$D$10+1.801742*$E$10</f>
        <v>0.1666209039999999</v>
      </c>
      <c r="G322" s="208">
        <f>$F322*(1-'Sensitivity &amp; Scenarios'!$C$12)+'Sensitivity &amp; Scenarios'!$C$9*'Sensitivity &amp; Scenarios'!$C$12-'Sensitivity &amp; Scenarios'!$C$10</f>
        <v>9.3877840551664649E-2</v>
      </c>
      <c r="H322" s="209">
        <f>('Sensitivity &amp; Scenarios'!$C$6*(1+$E322)^1*$G322+'Sensitivity &amp; Scenarios'!$C$11*'Sensitivity &amp; Scenarios'!$C$6*((1+$E322)^1-(1+$E322)^0))*'Sensitivity &amp; Scenarios'!$C$18/(1+$C322)^'Sensitivity &amp; Scenarios'!$C$18+('Sensitivity &amp; Scenarios'!$C$6*(1+$E322)^2*$G322+'Sensitivity &amp; Scenarios'!$C$11*'Sensitivity &amp; Scenarios'!$C$6*((1+$E322)^2-(1+$E322)^1))/(1+$C322)^('Sensitivity &amp; Scenarios'!$C$18+1)+('Sensitivity &amp; Scenarios'!$C$6*(1+$E322)^3*$G322+'Sensitivity &amp; Scenarios'!$C$11*'Sensitivity &amp; Scenarios'!$C$6*((1+$E322)^3-(1+$E322)^2))/(1+$C322)^('Sensitivity &amp; Scenarios'!$C$18+2)+('Sensitivity &amp; Scenarios'!$C$6*(1+$E322)^4*$G322+'Sensitivity &amp; Scenarios'!$C$11*'Sensitivity &amp; Scenarios'!$C$6*((1+$E322)^4-(1+$E322)^3))/(1+$C322)^('Sensitivity &amp; Scenarios'!$C$18+3)+('Sensitivity &amp; Scenarios'!$C$6*(1+$E322)^5*$G322+'Sensitivity &amp; Scenarios'!$C$11*'Sensitivity &amp; Scenarios'!$C$6*((1+$E322)^5-(1+$E322)^4))/(1+$C322)^('Sensitivity &amp; Scenarios'!$C$18+4)</f>
        <v>35977.991136296798</v>
      </c>
      <c r="I322" s="209">
        <f>('Sensitivity &amp; Scenarios'!$C$6*(1+$E322)^5*$G322+'Sensitivity &amp; Scenarios'!$C$11*'Sensitivity &amp; Scenarios'!$C$6*((1+$E322)^5-(1+$E322)^4))*(1+$D322)/($C322-$D322)/(1+$C322)^('Sensitivity &amp; Scenarios'!$C$18+4)</f>
        <v>123851.14159132857</v>
      </c>
      <c r="J322" s="209">
        <f>($H322+$I322-'Sensitivity &amp; Scenarios'!$C$15+'Sensitivity &amp; Scenarios'!$C$16)/'Sensitivity &amp; Scenarios'!$C$17</f>
        <v>3650.7688293756664</v>
      </c>
    </row>
    <row r="323" spans="2:10" x14ac:dyDescent="0.3">
      <c r="B323" s="127">
        <v>293</v>
      </c>
      <c r="C323" s="206">
        <f>$D$7+-0.411749*$E$7</f>
        <v>0.13343476943997798</v>
      </c>
      <c r="D323" s="206">
        <f>MIN($D$8+-0.363583*$E$8,'Debt &amp; Cost of Capital'!$C$38)</f>
        <v>5.2818502000000003E-2</v>
      </c>
      <c r="E323" s="207">
        <f>$D$9+-1.149204*$E$9</f>
        <v>0.13274497770254634</v>
      </c>
      <c r="F323" s="207">
        <f>$D$10+-1.90813*$E$10</f>
        <v>0.12210243999999991</v>
      </c>
      <c r="G323" s="208">
        <f>$F323*(1-'Sensitivity &amp; Scenarios'!$C$12)+'Sensitivity &amp; Scenarios'!$C$9*'Sensitivity &amp; Scenarios'!$C$12-'Sensitivity &amp; Scenarios'!$C$10</f>
        <v>6.0564673940464636E-2</v>
      </c>
      <c r="H323" s="209">
        <f>('Sensitivity &amp; Scenarios'!$C$6*(1+$E323)^1*$G323+'Sensitivity &amp; Scenarios'!$C$11*'Sensitivity &amp; Scenarios'!$C$6*((1+$E323)^1-(1+$E323)^0))*'Sensitivity &amp; Scenarios'!$C$18/(1+$C323)^'Sensitivity &amp; Scenarios'!$C$18+('Sensitivity &amp; Scenarios'!$C$6*(1+$E323)^2*$G323+'Sensitivity &amp; Scenarios'!$C$11*'Sensitivity &amp; Scenarios'!$C$6*((1+$E323)^2-(1+$E323)^1))/(1+$C323)^('Sensitivity &amp; Scenarios'!$C$18+1)+('Sensitivity &amp; Scenarios'!$C$6*(1+$E323)^3*$G323+'Sensitivity &amp; Scenarios'!$C$11*'Sensitivity &amp; Scenarios'!$C$6*((1+$E323)^3-(1+$E323)^2))/(1+$C323)^('Sensitivity &amp; Scenarios'!$C$18+2)+('Sensitivity &amp; Scenarios'!$C$6*(1+$E323)^4*$G323+'Sensitivity &amp; Scenarios'!$C$11*'Sensitivity &amp; Scenarios'!$C$6*((1+$E323)^4-(1+$E323)^3))/(1+$C323)^('Sensitivity &amp; Scenarios'!$C$18+3)+('Sensitivity &amp; Scenarios'!$C$6*(1+$E323)^5*$G323+'Sensitivity &amp; Scenarios'!$C$11*'Sensitivity &amp; Scenarios'!$C$6*((1+$E323)^5-(1+$E323)^4))/(1+$C323)^('Sensitivity &amp; Scenarios'!$C$18+4)</f>
        <v>16811.080021287184</v>
      </c>
      <c r="I323" s="209">
        <f>('Sensitivity &amp; Scenarios'!$C$6*(1+$E323)^5*$G323+'Sensitivity &amp; Scenarios'!$C$11*'Sensitivity &amp; Scenarios'!$C$6*((1+$E323)^5-(1+$E323)^4))*(1+$D323)/($C323-$D323)/(1+$C323)^('Sensitivity &amp; Scenarios'!$C$18+4)</f>
        <v>47335.686326351068</v>
      </c>
      <c r="J323" s="209">
        <f>($H323+$I323-'Sensitivity &amp; Scenarios'!$C$15+'Sensitivity &amp; Scenarios'!$C$16)/'Sensitivity &amp; Scenarios'!$C$17</f>
        <v>1636.7721007767543</v>
      </c>
    </row>
    <row r="324" spans="2:10" x14ac:dyDescent="0.3">
      <c r="B324" s="127">
        <v>294</v>
      </c>
      <c r="C324" s="206">
        <f>$D$7+-0.11688*$E$7</f>
        <v>0.13638345943997798</v>
      </c>
      <c r="D324" s="206">
        <f>MIN($D$8+-0.997852*$E$8,'Debt &amp; Cost of Capital'!$C$38)</f>
        <v>4.9012887999999998E-2</v>
      </c>
      <c r="E324" s="207">
        <f>$D$9+-0.084851*$E$9</f>
        <v>0.16467556770254635</v>
      </c>
      <c r="F324" s="207">
        <f>$D$10+-1.600206*$E$10</f>
        <v>0.12579752799999991</v>
      </c>
      <c r="G324" s="208">
        <f>$F324*(1-'Sensitivity &amp; Scenarios'!$C$12)+'Sensitivity &amp; Scenarios'!$C$9*'Sensitivity &amp; Scenarios'!$C$12-'Sensitivity &amp; Scenarios'!$C$10</f>
        <v>6.3329708290864636E-2</v>
      </c>
      <c r="H324" s="209">
        <f>('Sensitivity &amp; Scenarios'!$C$6*(1+$E324)^1*$G324+'Sensitivity &amp; Scenarios'!$C$11*'Sensitivity &amp; Scenarios'!$C$6*((1+$E324)^1-(1+$E324)^0))*'Sensitivity &amp; Scenarios'!$C$18/(1+$C324)^'Sensitivity &amp; Scenarios'!$C$18+('Sensitivity &amp; Scenarios'!$C$6*(1+$E324)^2*$G324+'Sensitivity &amp; Scenarios'!$C$11*'Sensitivity &amp; Scenarios'!$C$6*((1+$E324)^2-(1+$E324)^1))/(1+$C324)^('Sensitivity &amp; Scenarios'!$C$18+1)+('Sensitivity &amp; Scenarios'!$C$6*(1+$E324)^3*$G324+'Sensitivity &amp; Scenarios'!$C$11*'Sensitivity &amp; Scenarios'!$C$6*((1+$E324)^3-(1+$E324)^2))/(1+$C324)^('Sensitivity &amp; Scenarios'!$C$18+2)+('Sensitivity &amp; Scenarios'!$C$6*(1+$E324)^4*$G324+'Sensitivity &amp; Scenarios'!$C$11*'Sensitivity &amp; Scenarios'!$C$6*((1+$E324)^4-(1+$E324)^3))/(1+$C324)^('Sensitivity &amp; Scenarios'!$C$18+3)+('Sensitivity &amp; Scenarios'!$C$6*(1+$E324)^5*$G324+'Sensitivity &amp; Scenarios'!$C$11*'Sensitivity &amp; Scenarios'!$C$6*((1+$E324)^5-(1+$E324)^4))/(1+$C324)^('Sensitivity &amp; Scenarios'!$C$18+4)</f>
        <v>19578.267465435976</v>
      </c>
      <c r="I324" s="209">
        <f>('Sensitivity &amp; Scenarios'!$C$6*(1+$E324)^5*$G324+'Sensitivity &amp; Scenarios'!$C$11*'Sensitivity &amp; Scenarios'!$C$6*((1+$E324)^5-(1+$E324)^4))*(1+$D324)/($C324-$D324)/(1+$C324)^('Sensitivity &amp; Scenarios'!$C$18+4)</f>
        <v>53060.139851321888</v>
      </c>
      <c r="J324" s="209">
        <f>($H324+$I324-'Sensitivity &amp; Scenarios'!$C$15+'Sensitivity &amp; Scenarios'!$C$16)/'Sensitivity &amp; Scenarios'!$C$17</f>
        <v>1815.5107522052215</v>
      </c>
    </row>
    <row r="325" spans="2:10" x14ac:dyDescent="0.3">
      <c r="B325" s="127">
        <v>295</v>
      </c>
      <c r="C325" s="206">
        <f>$D$7+-0.761974*$E$7</f>
        <v>0.12993251943997797</v>
      </c>
      <c r="D325" s="206">
        <f>MIN($D$8+0.148627*$E$8,'Debt &amp; Cost of Capital'!$C$38)</f>
        <v>5.5891761999999998E-2</v>
      </c>
      <c r="E325" s="207">
        <f>$D$9+0.36621*$E$9</f>
        <v>0.17820739770254634</v>
      </c>
      <c r="F325" s="207">
        <f>$D$10+0.417472*$E$10</f>
        <v>0.1500096639999999</v>
      </c>
      <c r="G325" s="208">
        <f>$F325*(1-'Sensitivity &amp; Scenarios'!$C$12)+'Sensitivity &amp; Scenarios'!$C$9*'Sensitivity &amp; Scenarios'!$C$12-'Sensitivity &amp; Scenarios'!$C$10</f>
        <v>8.1447649659664639E-2</v>
      </c>
      <c r="H325" s="209">
        <f>('Sensitivity &amp; Scenarios'!$C$6*(1+$E325)^1*$G325+'Sensitivity &amp; Scenarios'!$C$11*'Sensitivity &amp; Scenarios'!$C$6*((1+$E325)^1-(1+$E325)^0))*'Sensitivity &amp; Scenarios'!$C$18/(1+$C325)^'Sensitivity &amp; Scenarios'!$C$18+('Sensitivity &amp; Scenarios'!$C$6*(1+$E325)^2*$G325+'Sensitivity &amp; Scenarios'!$C$11*'Sensitivity &amp; Scenarios'!$C$6*((1+$E325)^2-(1+$E325)^1))/(1+$C325)^('Sensitivity &amp; Scenarios'!$C$18+1)+('Sensitivity &amp; Scenarios'!$C$6*(1+$E325)^3*$G325+'Sensitivity &amp; Scenarios'!$C$11*'Sensitivity &amp; Scenarios'!$C$6*((1+$E325)^3-(1+$E325)^2))/(1+$C325)^('Sensitivity &amp; Scenarios'!$C$18+2)+('Sensitivity &amp; Scenarios'!$C$6*(1+$E325)^4*$G325+'Sensitivity &amp; Scenarios'!$C$11*'Sensitivity &amp; Scenarios'!$C$6*((1+$E325)^4-(1+$E325)^3))/(1+$C325)^('Sensitivity &amp; Scenarios'!$C$18+3)+('Sensitivity &amp; Scenarios'!$C$6*(1+$E325)^5*$G325+'Sensitivity &amp; Scenarios'!$C$11*'Sensitivity &amp; Scenarios'!$C$6*((1+$E325)^5-(1+$E325)^4))/(1+$C325)^('Sensitivity &amp; Scenarios'!$C$18+4)</f>
        <v>25679.942815315117</v>
      </c>
      <c r="I325" s="209">
        <f>('Sensitivity &amp; Scenarios'!$C$6*(1+$E325)^5*$G325+'Sensitivity &amp; Scenarios'!$C$11*'Sensitivity &amp; Scenarios'!$C$6*((1+$E325)^5-(1+$E325)^4))*(1+$D325)/($C325-$D325)/(1+$C325)^('Sensitivity &amp; Scenarios'!$C$18+4)</f>
        <v>85243.616579706009</v>
      </c>
      <c r="J325" s="209">
        <f>($H325+$I325-'Sensitivity &amp; Scenarios'!$C$15+'Sensitivity &amp; Scenarios'!$C$16)/'Sensitivity &amp; Scenarios'!$C$17</f>
        <v>2621.3663550371925</v>
      </c>
    </row>
    <row r="326" spans="2:10" x14ac:dyDescent="0.3">
      <c r="B326" s="127">
        <v>296</v>
      </c>
      <c r="C326" s="206">
        <f>$D$7+-1.320489*$E$7</f>
        <v>0.12434736943997798</v>
      </c>
      <c r="D326" s="206">
        <f>MIN($D$8+0.854686*$E$8,'Debt &amp; Cost of Capital'!$C$38)</f>
        <v>6.0128116000000002E-2</v>
      </c>
      <c r="E326" s="207">
        <f>$D$9+-0.800212*$E$9</f>
        <v>0.14321473770254634</v>
      </c>
      <c r="F326" s="207">
        <f>$D$10+0.632858*$E$10</f>
        <v>0.15259429599999991</v>
      </c>
      <c r="G326" s="208">
        <f>$F326*(1-'Sensitivity &amp; Scenarios'!$C$12)+'Sensitivity &amp; Scenarios'!$C$9*'Sensitivity &amp; Scenarios'!$C$12-'Sensitivity &amp; Scenarios'!$C$10</f>
        <v>8.3381729785264633E-2</v>
      </c>
      <c r="H326" s="209">
        <f>('Sensitivity &amp; Scenarios'!$C$6*(1+$E326)^1*$G326+'Sensitivity &amp; Scenarios'!$C$11*'Sensitivity &amp; Scenarios'!$C$6*((1+$E326)^1-(1+$E326)^0))*'Sensitivity &amp; Scenarios'!$C$18/(1+$C326)^'Sensitivity &amp; Scenarios'!$C$18+('Sensitivity &amp; Scenarios'!$C$6*(1+$E326)^2*$G326+'Sensitivity &amp; Scenarios'!$C$11*'Sensitivity &amp; Scenarios'!$C$6*((1+$E326)^2-(1+$E326)^1))/(1+$C326)^('Sensitivity &amp; Scenarios'!$C$18+1)+('Sensitivity &amp; Scenarios'!$C$6*(1+$E326)^3*$G326+'Sensitivity &amp; Scenarios'!$C$11*'Sensitivity &amp; Scenarios'!$C$6*((1+$E326)^3-(1+$E326)^2))/(1+$C326)^('Sensitivity &amp; Scenarios'!$C$18+2)+('Sensitivity &amp; Scenarios'!$C$6*(1+$E326)^4*$G326+'Sensitivity &amp; Scenarios'!$C$11*'Sensitivity &amp; Scenarios'!$C$6*((1+$E326)^4-(1+$E326)^3))/(1+$C326)^('Sensitivity &amp; Scenarios'!$C$18+3)+('Sensitivity &amp; Scenarios'!$C$6*(1+$E326)^5*$G326+'Sensitivity &amp; Scenarios'!$C$11*'Sensitivity &amp; Scenarios'!$C$6*((1+$E326)^5-(1+$E326)^4))/(1+$C326)^('Sensitivity &amp; Scenarios'!$C$18+4)</f>
        <v>23418.297437937526</v>
      </c>
      <c r="I326" s="209">
        <f>('Sensitivity &amp; Scenarios'!$C$6*(1+$E326)^5*$G326+'Sensitivity &amp; Scenarios'!$C$11*'Sensitivity &amp; Scenarios'!$C$6*((1+$E326)^5-(1+$E326)^4))*(1+$D326)/($C326-$D326)/(1+$C326)^('Sensitivity &amp; Scenarios'!$C$18+4)</f>
        <v>86019.657992834429</v>
      </c>
      <c r="J326" s="209">
        <f>($H326+$I326-'Sensitivity &amp; Scenarios'!$C$15+'Sensitivity &amp; Scenarios'!$C$16)/'Sensitivity &amp; Scenarios'!$C$17</f>
        <v>2590.0962094796596</v>
      </c>
    </row>
    <row r="327" spans="2:10" x14ac:dyDescent="0.3">
      <c r="B327" s="127">
        <v>297</v>
      </c>
      <c r="C327" s="206">
        <f>$D$7+-0.010639*$E$7</f>
        <v>0.13744586943997797</v>
      </c>
      <c r="D327" s="206">
        <f>MIN($D$8+-1.376387*$E$8,'Debt &amp; Cost of Capital'!$C$38)</f>
        <v>4.6741678000000002E-2</v>
      </c>
      <c r="E327" s="207">
        <f>$D$9+-0.316198*$E$9</f>
        <v>0.15773515770254634</v>
      </c>
      <c r="F327" s="207">
        <f>$D$10+0.365364*$E$10</f>
        <v>0.14938436799999991</v>
      </c>
      <c r="G327" s="208">
        <f>$F327*(1-'Sensitivity &amp; Scenarios'!$C$12)+'Sensitivity &amp; Scenarios'!$C$9*'Sensitivity &amp; Scenarios'!$C$12-'Sensitivity &amp; Scenarios'!$C$10</f>
        <v>8.0979740662864633E-2</v>
      </c>
      <c r="H327" s="209">
        <f>('Sensitivity &amp; Scenarios'!$C$6*(1+$E327)^1*$G327+'Sensitivity &amp; Scenarios'!$C$11*'Sensitivity &amp; Scenarios'!$C$6*((1+$E327)^1-(1+$E327)^0))*'Sensitivity &amp; Scenarios'!$C$18/(1+$C327)^'Sensitivity &amp; Scenarios'!$C$18+('Sensitivity &amp; Scenarios'!$C$6*(1+$E327)^2*$G327+'Sensitivity &amp; Scenarios'!$C$11*'Sensitivity &amp; Scenarios'!$C$6*((1+$E327)^2-(1+$E327)^1))/(1+$C327)^('Sensitivity &amp; Scenarios'!$C$18+1)+('Sensitivity &amp; Scenarios'!$C$6*(1+$E327)^3*$G327+'Sensitivity &amp; Scenarios'!$C$11*'Sensitivity &amp; Scenarios'!$C$6*((1+$E327)^3-(1+$E327)^2))/(1+$C327)^('Sensitivity &amp; Scenarios'!$C$18+2)+('Sensitivity &amp; Scenarios'!$C$6*(1+$E327)^4*$G327+'Sensitivity &amp; Scenarios'!$C$11*'Sensitivity &amp; Scenarios'!$C$6*((1+$E327)^4-(1+$E327)^3))/(1+$C327)^('Sensitivity &amp; Scenarios'!$C$18+3)+('Sensitivity &amp; Scenarios'!$C$6*(1+$E327)^5*$G327+'Sensitivity &amp; Scenarios'!$C$11*'Sensitivity &amp; Scenarios'!$C$6*((1+$E327)^5-(1+$E327)^4))/(1+$C327)^('Sensitivity &amp; Scenarios'!$C$18+4)</f>
        <v>23305.891444577021</v>
      </c>
      <c r="I327" s="209">
        <f>('Sensitivity &amp; Scenarios'!$C$6*(1+$E327)^5*$G327+'Sensitivity &amp; Scenarios'!$C$11*'Sensitivity &amp; Scenarios'!$C$6*((1+$E327)^5-(1+$E327)^4))*(1+$D327)/($C327-$D327)/(1+$C327)^('Sensitivity &amp; Scenarios'!$C$18+4)</f>
        <v>59957.563581086826</v>
      </c>
      <c r="J327" s="209">
        <f>($H327+$I327-'Sensitivity &amp; Scenarios'!$C$15+'Sensitivity &amp; Scenarios'!$C$16)/'Sensitivity &amp; Scenarios'!$C$17</f>
        <v>2039.1550049190605</v>
      </c>
    </row>
    <row r="328" spans="2:10" x14ac:dyDescent="0.3">
      <c r="B328" s="127">
        <v>298</v>
      </c>
      <c r="C328" s="206">
        <f>$D$7+0.612965*$E$7</f>
        <v>0.143681909439978</v>
      </c>
      <c r="D328" s="206">
        <f>MIN($D$8+-0.140988*$E$8,'Debt &amp; Cost of Capital'!$C$38)</f>
        <v>5.4154071999999998E-2</v>
      </c>
      <c r="E328" s="207">
        <f>$D$9+1.531779*$E$9</f>
        <v>0.21317446770254633</v>
      </c>
      <c r="F328" s="207">
        <f>$D$10+1.007511*$E$10</f>
        <v>0.15709013199999991</v>
      </c>
      <c r="G328" s="208">
        <f>$F328*(1-'Sensitivity &amp; Scenarios'!$C$12)+'Sensitivity &amp; Scenarios'!$C$9*'Sensitivity &amp; Scenarios'!$C$12-'Sensitivity &amp; Scenarios'!$C$10</f>
        <v>8.6745963864064635E-2</v>
      </c>
      <c r="H328" s="209">
        <f>('Sensitivity &amp; Scenarios'!$C$6*(1+$E328)^1*$G328+'Sensitivity &amp; Scenarios'!$C$11*'Sensitivity &amp; Scenarios'!$C$6*((1+$E328)^1-(1+$E328)^0))*'Sensitivity &amp; Scenarios'!$C$18/(1+$C328)^'Sensitivity &amp; Scenarios'!$C$18+('Sensitivity &amp; Scenarios'!$C$6*(1+$E328)^2*$G328+'Sensitivity &amp; Scenarios'!$C$11*'Sensitivity &amp; Scenarios'!$C$6*((1+$E328)^2-(1+$E328)^1))/(1+$C328)^('Sensitivity &amp; Scenarios'!$C$18+1)+('Sensitivity &amp; Scenarios'!$C$6*(1+$E328)^3*$G328+'Sensitivity &amp; Scenarios'!$C$11*'Sensitivity &amp; Scenarios'!$C$6*((1+$E328)^3-(1+$E328)^2))/(1+$C328)^('Sensitivity &amp; Scenarios'!$C$18+2)+('Sensitivity &amp; Scenarios'!$C$6*(1+$E328)^4*$G328+'Sensitivity &amp; Scenarios'!$C$11*'Sensitivity &amp; Scenarios'!$C$6*((1+$E328)^4-(1+$E328)^3))/(1+$C328)^('Sensitivity &amp; Scenarios'!$C$18+3)+('Sensitivity &amp; Scenarios'!$C$6*(1+$E328)^5*$G328+'Sensitivity &amp; Scenarios'!$C$11*'Sensitivity &amp; Scenarios'!$C$6*((1+$E328)^5-(1+$E328)^4))/(1+$C328)^('Sensitivity &amp; Scenarios'!$C$18+4)</f>
        <v>29494.144324956811</v>
      </c>
      <c r="I328" s="209">
        <f>('Sensitivity &amp; Scenarios'!$C$6*(1+$E328)^5*$G328+'Sensitivity &amp; Scenarios'!$C$11*'Sensitivity &amp; Scenarios'!$C$6*((1+$E328)^5-(1+$E328)^4))*(1+$D328)/($C328-$D328)/(1+$C328)^('Sensitivity &amp; Scenarios'!$C$18+4)</f>
        <v>83298.827260145437</v>
      </c>
      <c r="J328" s="209">
        <f>($H328+$I328-'Sensitivity &amp; Scenarios'!$C$15+'Sensitivity &amp; Scenarios'!$C$16)/'Sensitivity &amp; Scenarios'!$C$17</f>
        <v>2660.7151940936415</v>
      </c>
    </row>
    <row r="329" spans="2:10" x14ac:dyDescent="0.3">
      <c r="B329" s="127">
        <v>299</v>
      </c>
      <c r="C329" s="206">
        <f>$D$7+-0.256654*$E$7</f>
        <v>0.13498571943997797</v>
      </c>
      <c r="D329" s="206">
        <f>MIN($D$8+0.750122*$E$8,'Debt &amp; Cost of Capital'!$C$38)</f>
        <v>5.9500732000000001E-2</v>
      </c>
      <c r="E329" s="207">
        <f>$D$9+1.933793*$E$9</f>
        <v>0.22523488770254635</v>
      </c>
      <c r="F329" s="207">
        <f>$D$10+1.960485*$E$10</f>
        <v>0.16852581999999991</v>
      </c>
      <c r="G329" s="208">
        <f>$F329*(1-'Sensitivity &amp; Scenarios'!$C$12)+'Sensitivity &amp; Scenarios'!$C$9*'Sensitivity &amp; Scenarios'!$C$12-'Sensitivity &amp; Scenarios'!$C$10</f>
        <v>9.5303289194464624E-2</v>
      </c>
      <c r="H329" s="209">
        <f>('Sensitivity &amp; Scenarios'!$C$6*(1+$E329)^1*$G329+'Sensitivity &amp; Scenarios'!$C$11*'Sensitivity &amp; Scenarios'!$C$6*((1+$E329)^1-(1+$E329)^0))*'Sensitivity &amp; Scenarios'!$C$18/(1+$C329)^'Sensitivity &amp; Scenarios'!$C$18+('Sensitivity &amp; Scenarios'!$C$6*(1+$E329)^2*$G329+'Sensitivity &amp; Scenarios'!$C$11*'Sensitivity &amp; Scenarios'!$C$6*((1+$E329)^2-(1+$E329)^1))/(1+$C329)^('Sensitivity &amp; Scenarios'!$C$18+1)+('Sensitivity &amp; Scenarios'!$C$6*(1+$E329)^3*$G329+'Sensitivity &amp; Scenarios'!$C$11*'Sensitivity &amp; Scenarios'!$C$6*((1+$E329)^3-(1+$E329)^2))/(1+$C329)^('Sensitivity &amp; Scenarios'!$C$18+2)+('Sensitivity &amp; Scenarios'!$C$6*(1+$E329)^4*$G329+'Sensitivity &amp; Scenarios'!$C$11*'Sensitivity &amp; Scenarios'!$C$6*((1+$E329)^4-(1+$E329)^3))/(1+$C329)^('Sensitivity &amp; Scenarios'!$C$18+3)+('Sensitivity &amp; Scenarios'!$C$6*(1+$E329)^5*$G329+'Sensitivity &amp; Scenarios'!$C$11*'Sensitivity &amp; Scenarios'!$C$6*((1+$E329)^5-(1+$E329)^4))/(1+$C329)^('Sensitivity &amp; Scenarios'!$C$18+4)</f>
        <v>33927.452202117871</v>
      </c>
      <c r="I329" s="209">
        <f>('Sensitivity &amp; Scenarios'!$C$6*(1+$E329)^5*$G329+'Sensitivity &amp; Scenarios'!$C$11*'Sensitivity &amp; Scenarios'!$C$6*((1+$E329)^5-(1+$E329)^4))*(1+$D329)/($C329-$D329)/(1+$C329)^('Sensitivity &amp; Scenarios'!$C$18+4)</f>
        <v>117715.52317335362</v>
      </c>
      <c r="J329" s="209">
        <f>($H329+$I329-'Sensitivity &amp; Scenarios'!$C$15+'Sensitivity &amp; Scenarios'!$C$16)/'Sensitivity &amp; Scenarios'!$C$17</f>
        <v>3478.4602342730036</v>
      </c>
    </row>
    <row r="330" spans="2:10" x14ac:dyDescent="0.3">
      <c r="B330" s="127">
        <v>300</v>
      </c>
      <c r="C330" s="206">
        <f>$D$7+-1.228*$E$7</f>
        <v>0.125272259439978</v>
      </c>
      <c r="D330" s="206">
        <f>MIN($D$8+-0.926533*$E$8,'Debt &amp; Cost of Capital'!$C$38)</f>
        <v>4.9440801999999999E-2</v>
      </c>
      <c r="E330" s="207">
        <f>$D$9+1.484919*$E$9</f>
        <v>0.21176866770254635</v>
      </c>
      <c r="F330" s="207">
        <f>$D$10+-1.058281*$E$10</f>
        <v>0.13230062799999992</v>
      </c>
      <c r="G330" s="208">
        <f>$F330*(1-'Sensitivity &amp; Scenarios'!$C$12)+'Sensitivity &amp; Scenarios'!$C$9*'Sensitivity &amp; Scenarios'!$C$12-'Sensitivity &amp; Scenarios'!$C$10</f>
        <v>6.8195978020864648E-2</v>
      </c>
      <c r="H330" s="209">
        <f>('Sensitivity &amp; Scenarios'!$C$6*(1+$E330)^1*$G330+'Sensitivity &amp; Scenarios'!$C$11*'Sensitivity &amp; Scenarios'!$C$6*((1+$E330)^1-(1+$E330)^0))*'Sensitivity &amp; Scenarios'!$C$18/(1+$C330)^'Sensitivity &amp; Scenarios'!$C$18+('Sensitivity &amp; Scenarios'!$C$6*(1+$E330)^2*$G330+'Sensitivity &amp; Scenarios'!$C$11*'Sensitivity &amp; Scenarios'!$C$6*((1+$E330)^2-(1+$E330)^1))/(1+$C330)^('Sensitivity &amp; Scenarios'!$C$18+1)+('Sensitivity &amp; Scenarios'!$C$6*(1+$E330)^3*$G330+'Sensitivity &amp; Scenarios'!$C$11*'Sensitivity &amp; Scenarios'!$C$6*((1+$E330)^3-(1+$E330)^2))/(1+$C330)^('Sensitivity &amp; Scenarios'!$C$18+2)+('Sensitivity &amp; Scenarios'!$C$6*(1+$E330)^4*$G330+'Sensitivity &amp; Scenarios'!$C$11*'Sensitivity &amp; Scenarios'!$C$6*((1+$E330)^4-(1+$E330)^3))/(1+$C330)^('Sensitivity &amp; Scenarios'!$C$18+3)+('Sensitivity &amp; Scenarios'!$C$6*(1+$E330)^5*$G330+'Sensitivity &amp; Scenarios'!$C$11*'Sensitivity &amp; Scenarios'!$C$6*((1+$E330)^5-(1+$E330)^4))/(1+$C330)^('Sensitivity &amp; Scenarios'!$C$18+4)</f>
        <v>25386.370372101042</v>
      </c>
      <c r="I330" s="209">
        <f>('Sensitivity &amp; Scenarios'!$C$6*(1+$E330)^5*$G330+'Sensitivity &amp; Scenarios'!$C$11*'Sensitivity &amp; Scenarios'!$C$6*((1+$E330)^5-(1+$E330)^4))*(1+$D330)/($C330-$D330)/(1+$C330)^('Sensitivity &amp; Scenarios'!$C$18+4)</f>
        <v>86483.097100252868</v>
      </c>
      <c r="J330" s="209">
        <f>($H330+$I330-'Sensitivity &amp; Scenarios'!$C$15+'Sensitivity &amp; Scenarios'!$C$16)/'Sensitivity &amp; Scenarios'!$C$17</f>
        <v>2641.2765625851316</v>
      </c>
    </row>
    <row r="331" spans="2:10" x14ac:dyDescent="0.3">
      <c r="B331" s="127">
        <v>301</v>
      </c>
      <c r="C331" s="206">
        <f>$D$7+-1.322541*$E$7</f>
        <v>0.12432684943997799</v>
      </c>
      <c r="D331" s="206">
        <f>MIN($D$8+-0.486194*$E$8,'Debt &amp; Cost of Capital'!$C$38)</f>
        <v>5.2082836E-2</v>
      </c>
      <c r="E331" s="207">
        <f>$D$9+0.420227*$E$9</f>
        <v>0.17982790770254634</v>
      </c>
      <c r="F331" s="207">
        <f>$D$10+-0.102397*$E$10</f>
        <v>0.14377123599999991</v>
      </c>
      <c r="G331" s="208">
        <f>$F331*(1-'Sensitivity &amp; Scenarios'!$C$12)+'Sensitivity &amp; Scenarios'!$C$9*'Sensitivity &amp; Scenarios'!$C$12-'Sensitivity &amp; Scenarios'!$C$10</f>
        <v>7.6779433987264639E-2</v>
      </c>
      <c r="H331" s="209">
        <f>('Sensitivity &amp; Scenarios'!$C$6*(1+$E331)^1*$G331+'Sensitivity &amp; Scenarios'!$C$11*'Sensitivity &amp; Scenarios'!$C$6*((1+$E331)^1-(1+$E331)^0))*'Sensitivity &amp; Scenarios'!$C$18/(1+$C331)^'Sensitivity &amp; Scenarios'!$C$18+('Sensitivity &amp; Scenarios'!$C$6*(1+$E331)^2*$G331+'Sensitivity &amp; Scenarios'!$C$11*'Sensitivity &amp; Scenarios'!$C$6*((1+$E331)^2-(1+$E331)^1))/(1+$C331)^('Sensitivity &amp; Scenarios'!$C$18+1)+('Sensitivity &amp; Scenarios'!$C$6*(1+$E331)^3*$G331+'Sensitivity &amp; Scenarios'!$C$11*'Sensitivity &amp; Scenarios'!$C$6*((1+$E331)^3-(1+$E331)^2))/(1+$C331)^('Sensitivity &amp; Scenarios'!$C$18+2)+('Sensitivity &amp; Scenarios'!$C$6*(1+$E331)^4*$G331+'Sensitivity &amp; Scenarios'!$C$11*'Sensitivity &amp; Scenarios'!$C$6*((1+$E331)^4-(1+$E331)^3))/(1+$C331)^('Sensitivity &amp; Scenarios'!$C$18+3)+('Sensitivity &amp; Scenarios'!$C$6*(1+$E331)^5*$G331+'Sensitivity &amp; Scenarios'!$C$11*'Sensitivity &amp; Scenarios'!$C$6*((1+$E331)^5-(1+$E331)^4))/(1+$C331)^('Sensitivity &amp; Scenarios'!$C$18+4)</f>
        <v>24954.639114688216</v>
      </c>
      <c r="I331" s="209">
        <f>('Sensitivity &amp; Scenarios'!$C$6*(1+$E331)^5*$G331+'Sensitivity &amp; Scenarios'!$C$11*'Sensitivity &amp; Scenarios'!$C$6*((1+$E331)^5-(1+$E331)^4))*(1+$D331)/($C331-$D331)/(1+$C331)^('Sensitivity &amp; Scenarios'!$C$18+4)</f>
        <v>85540.31181822138</v>
      </c>
      <c r="J331" s="209">
        <f>($H331+$I331-'Sensitivity &amp; Scenarios'!$C$15+'Sensitivity &amp; Scenarios'!$C$16)/'Sensitivity &amp; Scenarios'!$C$17</f>
        <v>2612.3446713853236</v>
      </c>
    </row>
    <row r="332" spans="2:10" x14ac:dyDescent="0.3">
      <c r="B332" s="127">
        <v>302</v>
      </c>
      <c r="C332" s="206">
        <f>$D$7+-0.650564*$E$7</f>
        <v>0.13104661943997797</v>
      </c>
      <c r="D332" s="206">
        <f>MIN($D$8+-0.674212*$E$8,'Debt &amp; Cost of Capital'!$C$38)</f>
        <v>5.0954727999999998E-2</v>
      </c>
      <c r="E332" s="207">
        <f>$D$9+-0.712337*$E$9</f>
        <v>0.14585098770254634</v>
      </c>
      <c r="F332" s="207">
        <f>$D$10+-0.87951*$E$10</f>
        <v>0.13444587999999991</v>
      </c>
      <c r="G332" s="208">
        <f>$F332*(1-'Sensitivity &amp; Scenarios'!$C$12)+'Sensitivity &amp; Scenarios'!$C$9*'Sensitivity &amp; Scenarios'!$C$12-'Sensitivity &amp; Scenarios'!$C$10</f>
        <v>6.9801270092464632E-2</v>
      </c>
      <c r="H332" s="209">
        <f>('Sensitivity &amp; Scenarios'!$C$6*(1+$E332)^1*$G332+'Sensitivity &amp; Scenarios'!$C$11*'Sensitivity &amp; Scenarios'!$C$6*((1+$E332)^1-(1+$E332)^0))*'Sensitivity &amp; Scenarios'!$C$18/(1+$C332)^'Sensitivity &amp; Scenarios'!$C$18+('Sensitivity &amp; Scenarios'!$C$6*(1+$E332)^2*$G332+'Sensitivity &amp; Scenarios'!$C$11*'Sensitivity &amp; Scenarios'!$C$6*((1+$E332)^2-(1+$E332)^1))/(1+$C332)^('Sensitivity &amp; Scenarios'!$C$18+1)+('Sensitivity &amp; Scenarios'!$C$6*(1+$E332)^3*$G332+'Sensitivity &amp; Scenarios'!$C$11*'Sensitivity &amp; Scenarios'!$C$6*((1+$E332)^3-(1+$E332)^2))/(1+$C332)^('Sensitivity &amp; Scenarios'!$C$18+2)+('Sensitivity &amp; Scenarios'!$C$6*(1+$E332)^4*$G332+'Sensitivity &amp; Scenarios'!$C$11*'Sensitivity &amp; Scenarios'!$C$6*((1+$E332)^4-(1+$E332)^3))/(1+$C332)^('Sensitivity &amp; Scenarios'!$C$18+3)+('Sensitivity &amp; Scenarios'!$C$6*(1+$E332)^5*$G332+'Sensitivity &amp; Scenarios'!$C$11*'Sensitivity &amp; Scenarios'!$C$6*((1+$E332)^5-(1+$E332)^4))/(1+$C332)^('Sensitivity &amp; Scenarios'!$C$18+4)</f>
        <v>20009.359927998878</v>
      </c>
      <c r="I332" s="209">
        <f>('Sensitivity &amp; Scenarios'!$C$6*(1+$E332)^5*$G332+'Sensitivity &amp; Scenarios'!$C$11*'Sensitivity &amp; Scenarios'!$C$6*((1+$E332)^5-(1+$E332)^4))*(1+$D332)/($C332-$D332)/(1+$C332)^('Sensitivity &amp; Scenarios'!$C$18+4)</f>
        <v>58037.868334754297</v>
      </c>
      <c r="J332" s="209">
        <f>($H332+$I332-'Sensitivity &amp; Scenarios'!$C$15+'Sensitivity &amp; Scenarios'!$C$16)/'Sensitivity &amp; Scenarios'!$C$17</f>
        <v>1929.359814503186</v>
      </c>
    </row>
    <row r="333" spans="2:10" x14ac:dyDescent="0.3">
      <c r="B333" s="127">
        <v>303</v>
      </c>
      <c r="C333" s="206">
        <f>$D$7+2.281633*$E$7</f>
        <v>0.16036858943997798</v>
      </c>
      <c r="D333" s="206">
        <f>MIN($D$8+0.297511*$E$8,'Debt &amp; Cost of Capital'!$C$38)</f>
        <v>5.6785066000000002E-2</v>
      </c>
      <c r="E333" s="207">
        <f>$D$9+0.886759*$E$9</f>
        <v>0.19382386770254634</v>
      </c>
      <c r="F333" s="207">
        <f>$D$10+-0.489077*$E$10</f>
        <v>0.13913107599999991</v>
      </c>
      <c r="G333" s="208">
        <f>$F333*(1-'Sensitivity &amp; Scenarios'!$C$12)+'Sensitivity &amp; Scenarios'!$C$9*'Sensitivity &amp; Scenarios'!$C$12-'Sensitivity &amp; Scenarios'!$C$10</f>
        <v>7.3307202259264639E-2</v>
      </c>
      <c r="H333" s="209">
        <f>('Sensitivity &amp; Scenarios'!$C$6*(1+$E333)^1*$G333+'Sensitivity &amp; Scenarios'!$C$11*'Sensitivity &amp; Scenarios'!$C$6*((1+$E333)^1-(1+$E333)^0))*'Sensitivity &amp; Scenarios'!$C$18/(1+$C333)^'Sensitivity &amp; Scenarios'!$C$18+('Sensitivity &amp; Scenarios'!$C$6*(1+$E333)^2*$G333+'Sensitivity &amp; Scenarios'!$C$11*'Sensitivity &amp; Scenarios'!$C$6*((1+$E333)^2-(1+$E333)^1))/(1+$C333)^('Sensitivity &amp; Scenarios'!$C$18+1)+('Sensitivity &amp; Scenarios'!$C$6*(1+$E333)^3*$G333+'Sensitivity &amp; Scenarios'!$C$11*'Sensitivity &amp; Scenarios'!$C$6*((1+$E333)^3-(1+$E333)^2))/(1+$C333)^('Sensitivity &amp; Scenarios'!$C$18+2)+('Sensitivity &amp; Scenarios'!$C$6*(1+$E333)^4*$G333+'Sensitivity &amp; Scenarios'!$C$11*'Sensitivity &amp; Scenarios'!$C$6*((1+$E333)^4-(1+$E333)^3))/(1+$C333)^('Sensitivity &amp; Scenarios'!$C$18+3)+('Sensitivity &amp; Scenarios'!$C$6*(1+$E333)^5*$G333+'Sensitivity &amp; Scenarios'!$C$11*'Sensitivity &amp; Scenarios'!$C$6*((1+$E333)^5-(1+$E333)^4))/(1+$C333)^('Sensitivity &amp; Scenarios'!$C$18+4)</f>
        <v>23083.034194581018</v>
      </c>
      <c r="I333" s="209">
        <f>('Sensitivity &amp; Scenarios'!$C$6*(1+$E333)^5*$G333+'Sensitivity &amp; Scenarios'!$C$11*'Sensitivity &amp; Scenarios'!$C$6*((1+$E333)^5-(1+$E333)^4))*(1+$D333)/($C333-$D333)/(1+$C333)^('Sensitivity &amp; Scenarios'!$C$18+4)</f>
        <v>53524.436161386897</v>
      </c>
      <c r="J333" s="209">
        <f>($H333+$I333-'Sensitivity &amp; Scenarios'!$C$15+'Sensitivity &amp; Scenarios'!$C$16)/'Sensitivity &amp; Scenarios'!$C$17</f>
        <v>1899.054672354795</v>
      </c>
    </row>
    <row r="334" spans="2:10" x14ac:dyDescent="0.3">
      <c r="B334" s="127">
        <v>304</v>
      </c>
      <c r="C334" s="206">
        <f>$D$7+-0.185957*$E$7</f>
        <v>0.13569268943997798</v>
      </c>
      <c r="D334" s="206">
        <f>MIN($D$8+-0.713554*$E$8,'Debt &amp; Cost of Capital'!$C$38)</f>
        <v>5.0718675999999997E-2</v>
      </c>
      <c r="E334" s="207">
        <f>$D$9+-2.651708*$E$9</f>
        <v>8.766985770254633E-2</v>
      </c>
      <c r="F334" s="207">
        <f>$D$10+-1.378009*$E$10</f>
        <v>0.12846389199999991</v>
      </c>
      <c r="G334" s="208">
        <f>$F334*(1-'Sensitivity &amp; Scenarios'!$C$12)+'Sensitivity &amp; Scenarios'!$C$9*'Sensitivity &amp; Scenarios'!$C$12-'Sensitivity &amp; Scenarios'!$C$10</f>
        <v>6.5324948472064645E-2</v>
      </c>
      <c r="H334" s="209">
        <f>('Sensitivity &amp; Scenarios'!$C$6*(1+$E334)^1*$G334+'Sensitivity &amp; Scenarios'!$C$11*'Sensitivity &amp; Scenarios'!$C$6*((1+$E334)^1-(1+$E334)^0))*'Sensitivity &amp; Scenarios'!$C$18/(1+$C334)^'Sensitivity &amp; Scenarios'!$C$18+('Sensitivity &amp; Scenarios'!$C$6*(1+$E334)^2*$G334+'Sensitivity &amp; Scenarios'!$C$11*'Sensitivity &amp; Scenarios'!$C$6*((1+$E334)^2-(1+$E334)^1))/(1+$C334)^('Sensitivity &amp; Scenarios'!$C$18+1)+('Sensitivity &amp; Scenarios'!$C$6*(1+$E334)^3*$G334+'Sensitivity &amp; Scenarios'!$C$11*'Sensitivity &amp; Scenarios'!$C$6*((1+$E334)^3-(1+$E334)^2))/(1+$C334)^('Sensitivity &amp; Scenarios'!$C$18+2)+('Sensitivity &amp; Scenarios'!$C$6*(1+$E334)^4*$G334+'Sensitivity &amp; Scenarios'!$C$11*'Sensitivity &amp; Scenarios'!$C$6*((1+$E334)^4-(1+$E334)^3))/(1+$C334)^('Sensitivity &amp; Scenarios'!$C$18+3)+('Sensitivity &amp; Scenarios'!$C$6*(1+$E334)^5*$G334+'Sensitivity &amp; Scenarios'!$C$11*'Sensitivity &amp; Scenarios'!$C$6*((1+$E334)^5-(1+$E334)^4))/(1+$C334)^('Sensitivity &amp; Scenarios'!$C$18+4)</f>
        <v>14878.164456631421</v>
      </c>
      <c r="I334" s="209">
        <f>('Sensitivity &amp; Scenarios'!$C$6*(1+$E334)^5*$G334+'Sensitivity &amp; Scenarios'!$C$11*'Sensitivity &amp; Scenarios'!$C$6*((1+$E334)^5-(1+$E334)^4))*(1+$D334)/($C334-$D334)/(1+$C334)^('Sensitivity &amp; Scenarios'!$C$18+4)</f>
        <v>36610.686274726941</v>
      </c>
      <c r="J334" s="209">
        <f>($H334+$I334-'Sensitivity &amp; Scenarios'!$C$15+'Sensitivity &amp; Scenarios'!$C$16)/'Sensitivity &amp; Scenarios'!$C$17</f>
        <v>1370.3384661734103</v>
      </c>
    </row>
    <row r="335" spans="2:10" x14ac:dyDescent="0.3">
      <c r="B335" s="127">
        <v>305</v>
      </c>
      <c r="C335" s="206">
        <f>$D$7+-1.810619*$E$7</f>
        <v>0.11944606943997799</v>
      </c>
      <c r="D335" s="206">
        <f>MIN($D$8+-2.249784*$E$8,'Debt &amp; Cost of Capital'!$C$38)</f>
        <v>4.1501296E-2</v>
      </c>
      <c r="E335" s="207">
        <f>$D$9+-1.195359*$E$9</f>
        <v>0.13136032770254635</v>
      </c>
      <c r="F335" s="207">
        <f>$D$10+1.324956*$E$10</f>
        <v>0.1608994719999999</v>
      </c>
      <c r="G335" s="208">
        <f>$F335*(1-'Sensitivity &amp; Scenarios'!$C$12)+'Sensitivity &amp; Scenarios'!$C$9*'Sensitivity &amp; Scenarios'!$C$12-'Sensitivity &amp; Scenarios'!$C$10</f>
        <v>8.9596492986064633E-2</v>
      </c>
      <c r="H335" s="209">
        <f>('Sensitivity &amp; Scenarios'!$C$6*(1+$E335)^1*$G335+'Sensitivity &amp; Scenarios'!$C$11*'Sensitivity &amp; Scenarios'!$C$6*((1+$E335)^1-(1+$E335)^0))*'Sensitivity &amp; Scenarios'!$C$18/(1+$C335)^'Sensitivity &amp; Scenarios'!$C$18+('Sensitivity &amp; Scenarios'!$C$6*(1+$E335)^2*$G335+'Sensitivity &amp; Scenarios'!$C$11*'Sensitivity &amp; Scenarios'!$C$6*((1+$E335)^2-(1+$E335)^1))/(1+$C335)^('Sensitivity &amp; Scenarios'!$C$18+1)+('Sensitivity &amp; Scenarios'!$C$6*(1+$E335)^3*$G335+'Sensitivity &amp; Scenarios'!$C$11*'Sensitivity &amp; Scenarios'!$C$6*((1+$E335)^3-(1+$E335)^2))/(1+$C335)^('Sensitivity &amp; Scenarios'!$C$18+2)+('Sensitivity &amp; Scenarios'!$C$6*(1+$E335)^4*$G335+'Sensitivity &amp; Scenarios'!$C$11*'Sensitivity &amp; Scenarios'!$C$6*((1+$E335)^4-(1+$E335)^3))/(1+$C335)^('Sensitivity &amp; Scenarios'!$C$18+3)+('Sensitivity &amp; Scenarios'!$C$6*(1+$E335)^5*$G335+'Sensitivity &amp; Scenarios'!$C$11*'Sensitivity &amp; Scenarios'!$C$6*((1+$E335)^5-(1+$E335)^4))/(1+$C335)^('Sensitivity &amp; Scenarios'!$C$18+4)</f>
        <v>24163.435035349044</v>
      </c>
      <c r="I335" s="209">
        <f>('Sensitivity &amp; Scenarios'!$C$6*(1+$E335)^5*$G335+'Sensitivity &amp; Scenarios'!$C$11*'Sensitivity &amp; Scenarios'!$C$6*((1+$E335)^5-(1+$E335)^4))*(1+$D335)/($C335-$D335)/(1+$C335)^('Sensitivity &amp; Scenarios'!$C$18+4)</f>
        <v>71056.435342011682</v>
      </c>
      <c r="J335" s="209">
        <f>($H335+$I335-'Sensitivity &amp; Scenarios'!$C$15+'Sensitivity &amp; Scenarios'!$C$16)/'Sensitivity &amp; Scenarios'!$C$17</f>
        <v>2290.8229173581908</v>
      </c>
    </row>
    <row r="336" spans="2:10" x14ac:dyDescent="0.3">
      <c r="B336" s="127">
        <v>306</v>
      </c>
      <c r="C336" s="206">
        <f>$D$7+-0.044436*$E$7</f>
        <v>0.13710789943997798</v>
      </c>
      <c r="D336" s="206">
        <f>MIN($D$8+1.290564*$E$8,'Debt &amp; Cost of Capital'!$C$38)</f>
        <v>6.2743383999999999E-2</v>
      </c>
      <c r="E336" s="207">
        <f>$D$9+0.410983*$E$9</f>
        <v>0.17955058770254634</v>
      </c>
      <c r="F336" s="207">
        <f>$D$10+0.782559*$E$10</f>
        <v>0.1543907079999999</v>
      </c>
      <c r="G336" s="208">
        <f>$F336*(1-'Sensitivity &amp; Scenarios'!$C$12)+'Sensitivity &amp; Scenarios'!$C$9*'Sensitivity &amp; Scenarios'!$C$12-'Sensitivity &amp; Scenarios'!$C$10</f>
        <v>8.472598488486463E-2</v>
      </c>
      <c r="H336" s="209">
        <f>('Sensitivity &amp; Scenarios'!$C$6*(1+$E336)^1*$G336+'Sensitivity &amp; Scenarios'!$C$11*'Sensitivity &amp; Scenarios'!$C$6*((1+$E336)^1-(1+$E336)^0))*'Sensitivity &amp; Scenarios'!$C$18/(1+$C336)^'Sensitivity &amp; Scenarios'!$C$18+('Sensitivity &amp; Scenarios'!$C$6*(1+$E336)^2*$G336+'Sensitivity &amp; Scenarios'!$C$11*'Sensitivity &amp; Scenarios'!$C$6*((1+$E336)^2-(1+$E336)^1))/(1+$C336)^('Sensitivity &amp; Scenarios'!$C$18+1)+('Sensitivity &amp; Scenarios'!$C$6*(1+$E336)^3*$G336+'Sensitivity &amp; Scenarios'!$C$11*'Sensitivity &amp; Scenarios'!$C$6*((1+$E336)^3-(1+$E336)^2))/(1+$C336)^('Sensitivity &amp; Scenarios'!$C$18+2)+('Sensitivity &amp; Scenarios'!$C$6*(1+$E336)^4*$G336+'Sensitivity &amp; Scenarios'!$C$11*'Sensitivity &amp; Scenarios'!$C$6*((1+$E336)^4-(1+$E336)^3))/(1+$C336)^('Sensitivity &amp; Scenarios'!$C$18+3)+('Sensitivity &amp; Scenarios'!$C$6*(1+$E336)^5*$G336+'Sensitivity &amp; Scenarios'!$C$11*'Sensitivity &amp; Scenarios'!$C$6*((1+$E336)^5-(1+$E336)^4))/(1+$C336)^('Sensitivity &amp; Scenarios'!$C$18+4)</f>
        <v>26185.226372583566</v>
      </c>
      <c r="I336" s="209">
        <f>('Sensitivity &amp; Scenarios'!$C$6*(1+$E336)^5*$G336+'Sensitivity &amp; Scenarios'!$C$11*'Sensitivity &amp; Scenarios'!$C$6*((1+$E336)^5-(1+$E336)^4))*(1+$D336)/($C336-$D336)/(1+$C336)^('Sensitivity &amp; Scenarios'!$C$18+4)</f>
        <v>86307.202459799664</v>
      </c>
      <c r="J336" s="209">
        <f>($H336+$I336-'Sensitivity &amp; Scenarios'!$C$15+'Sensitivity &amp; Scenarios'!$C$16)/'Sensitivity &amp; Scenarios'!$C$17</f>
        <v>2654.3891369142402</v>
      </c>
    </row>
    <row r="337" spans="2:10" x14ac:dyDescent="0.3">
      <c r="B337" s="127">
        <v>307</v>
      </c>
      <c r="C337" s="206">
        <f>$D$7+-0.900897*$E$7</f>
        <v>0.12854328943997798</v>
      </c>
      <c r="D337" s="206">
        <f>MIN($D$8+0.523951*$E$8,'Debt &amp; Cost of Capital'!$C$38)</f>
        <v>5.8143706000000003E-2</v>
      </c>
      <c r="E337" s="207">
        <f>$D$9+0.728714*$E$9</f>
        <v>0.18908251770254633</v>
      </c>
      <c r="F337" s="207">
        <f>$D$10+-0.576647*$E$10</f>
        <v>0.13808023599999991</v>
      </c>
      <c r="G337" s="208">
        <f>$F337*(1-'Sensitivity &amp; Scenarios'!$C$12)+'Sensitivity &amp; Scenarios'!$C$9*'Sensitivity &amp; Scenarios'!$C$12-'Sensitivity &amp; Scenarios'!$C$10</f>
        <v>7.2520858687264642E-2</v>
      </c>
      <c r="H337" s="209">
        <f>('Sensitivity &amp; Scenarios'!$C$6*(1+$E337)^1*$G337+'Sensitivity &amp; Scenarios'!$C$11*'Sensitivity &amp; Scenarios'!$C$6*((1+$E337)^1-(1+$E337)^0))*'Sensitivity &amp; Scenarios'!$C$18/(1+$C337)^'Sensitivity &amp; Scenarios'!$C$18+('Sensitivity &amp; Scenarios'!$C$6*(1+$E337)^2*$G337+'Sensitivity &amp; Scenarios'!$C$11*'Sensitivity &amp; Scenarios'!$C$6*((1+$E337)^2-(1+$E337)^1))/(1+$C337)^('Sensitivity &amp; Scenarios'!$C$18+1)+('Sensitivity &amp; Scenarios'!$C$6*(1+$E337)^3*$G337+'Sensitivity &amp; Scenarios'!$C$11*'Sensitivity &amp; Scenarios'!$C$6*((1+$E337)^3-(1+$E337)^2))/(1+$C337)^('Sensitivity &amp; Scenarios'!$C$18+2)+('Sensitivity &amp; Scenarios'!$C$6*(1+$E337)^4*$G337+'Sensitivity &amp; Scenarios'!$C$11*'Sensitivity &amp; Scenarios'!$C$6*((1+$E337)^4-(1+$E337)^3))/(1+$C337)^('Sensitivity &amp; Scenarios'!$C$18+3)+('Sensitivity &amp; Scenarios'!$C$6*(1+$E337)^5*$G337+'Sensitivity &amp; Scenarios'!$C$11*'Sensitivity &amp; Scenarios'!$C$6*((1+$E337)^5-(1+$E337)^4))/(1+$C337)^('Sensitivity &amp; Scenarios'!$C$18+4)</f>
        <v>24365.320442016022</v>
      </c>
      <c r="I337" s="209">
        <f>('Sensitivity &amp; Scenarios'!$C$6*(1+$E337)^5*$G337+'Sensitivity &amp; Scenarios'!$C$11*'Sensitivity &amp; Scenarios'!$C$6*((1+$E337)^5-(1+$E337)^4))*(1+$D337)/($C337-$D337)/(1+$C337)^('Sensitivity &amp; Scenarios'!$C$18+4)</f>
        <v>86818.604614264681</v>
      </c>
      <c r="J337" s="209">
        <f>($H337+$I337-'Sensitivity &amp; Scenarios'!$C$15+'Sensitivity &amp; Scenarios'!$C$16)/'Sensitivity &amp; Scenarios'!$C$17</f>
        <v>2626.8467336048984</v>
      </c>
    </row>
    <row r="338" spans="2:10" x14ac:dyDescent="0.3">
      <c r="B338" s="127">
        <v>308</v>
      </c>
      <c r="C338" s="206">
        <f>$D$7+0.55954*$E$7</f>
        <v>0.14314765943997798</v>
      </c>
      <c r="D338" s="206">
        <f>MIN($D$8+0.566188*$E$8,'Debt &amp; Cost of Capital'!$C$38)</f>
        <v>5.8397128E-2</v>
      </c>
      <c r="E338" s="207">
        <f>$D$9+-0.549553*$E$9</f>
        <v>0.15073450770254634</v>
      </c>
      <c r="F338" s="207">
        <f>$D$10+-1.122768*$E$10</f>
        <v>0.1315267839999999</v>
      </c>
      <c r="G338" s="208">
        <f>$F338*(1-'Sensitivity &amp; Scenarios'!$C$12)+'Sensitivity &amp; Scenarios'!$C$9*'Sensitivity &amp; Scenarios'!$C$12-'Sensitivity &amp; Scenarios'!$C$10</f>
        <v>6.7616910555664628E-2</v>
      </c>
      <c r="H338" s="209">
        <f>('Sensitivity &amp; Scenarios'!$C$6*(1+$E338)^1*$G338+'Sensitivity &amp; Scenarios'!$C$11*'Sensitivity &amp; Scenarios'!$C$6*((1+$E338)^1-(1+$E338)^0))*'Sensitivity &amp; Scenarios'!$C$18/(1+$C338)^'Sensitivity &amp; Scenarios'!$C$18+('Sensitivity &amp; Scenarios'!$C$6*(1+$E338)^2*$G338+'Sensitivity &amp; Scenarios'!$C$11*'Sensitivity &amp; Scenarios'!$C$6*((1+$E338)^2-(1+$E338)^1))/(1+$C338)^('Sensitivity &amp; Scenarios'!$C$18+1)+('Sensitivity &amp; Scenarios'!$C$6*(1+$E338)^3*$G338+'Sensitivity &amp; Scenarios'!$C$11*'Sensitivity &amp; Scenarios'!$C$6*((1+$E338)^3-(1+$E338)^2))/(1+$C338)^('Sensitivity &amp; Scenarios'!$C$18+2)+('Sensitivity &amp; Scenarios'!$C$6*(1+$E338)^4*$G338+'Sensitivity &amp; Scenarios'!$C$11*'Sensitivity &amp; Scenarios'!$C$6*((1+$E338)^4-(1+$E338)^3))/(1+$C338)^('Sensitivity &amp; Scenarios'!$C$18+3)+('Sensitivity &amp; Scenarios'!$C$6*(1+$E338)^5*$G338+'Sensitivity &amp; Scenarios'!$C$11*'Sensitivity &amp; Scenarios'!$C$6*((1+$E338)^5-(1+$E338)^4))/(1+$C338)^('Sensitivity &amp; Scenarios'!$C$18+4)</f>
        <v>19266.749912744748</v>
      </c>
      <c r="I338" s="209">
        <f>('Sensitivity &amp; Scenarios'!$C$6*(1+$E338)^5*$G338+'Sensitivity &amp; Scenarios'!$C$11*'Sensitivity &amp; Scenarios'!$C$6*((1+$E338)^5-(1+$E338)^4))*(1+$D338)/($C338-$D338)/(1+$C338)^('Sensitivity &amp; Scenarios'!$C$18+4)</f>
        <v>52569.881326041417</v>
      </c>
      <c r="J338" s="209">
        <f>($H338+$I338-'Sensitivity &amp; Scenarios'!$C$15+'Sensitivity &amp; Scenarios'!$C$16)/'Sensitivity &amp; Scenarios'!$C$17</f>
        <v>1798.6343468737409</v>
      </c>
    </row>
    <row r="339" spans="2:10" x14ac:dyDescent="0.3">
      <c r="B339" s="127">
        <v>309</v>
      </c>
      <c r="C339" s="206">
        <f>$D$7+-1.184128*$E$7</f>
        <v>0.12571097943997797</v>
      </c>
      <c r="D339" s="206">
        <f>MIN($D$8+0.086506*$E$8,'Debt &amp; Cost of Capital'!$C$38)</f>
        <v>5.5519036000000001E-2</v>
      </c>
      <c r="E339" s="207">
        <f>$D$9+0.32701*$E$9</f>
        <v>0.17703139770254633</v>
      </c>
      <c r="F339" s="207">
        <f>$D$10+-0.792526*$E$10</f>
        <v>0.13548968799999991</v>
      </c>
      <c r="G339" s="208">
        <f>$F339*(1-'Sensitivity &amp; Scenarios'!$C$12)+'Sensitivity &amp; Scenarios'!$C$9*'Sensitivity &amp; Scenarios'!$C$12-'Sensitivity &amp; Scenarios'!$C$10</f>
        <v>7.0582351618864642E-2</v>
      </c>
      <c r="H339" s="209">
        <f>('Sensitivity &amp; Scenarios'!$C$6*(1+$E339)^1*$G339+'Sensitivity &amp; Scenarios'!$C$11*'Sensitivity &amp; Scenarios'!$C$6*((1+$E339)^1-(1+$E339)^0))*'Sensitivity &amp; Scenarios'!$C$18/(1+$C339)^'Sensitivity &amp; Scenarios'!$C$18+('Sensitivity &amp; Scenarios'!$C$6*(1+$E339)^2*$G339+'Sensitivity &amp; Scenarios'!$C$11*'Sensitivity &amp; Scenarios'!$C$6*((1+$E339)^2-(1+$E339)^1))/(1+$C339)^('Sensitivity &amp; Scenarios'!$C$18+1)+('Sensitivity &amp; Scenarios'!$C$6*(1+$E339)^3*$G339+'Sensitivity &amp; Scenarios'!$C$11*'Sensitivity &amp; Scenarios'!$C$6*((1+$E339)^3-(1+$E339)^2))/(1+$C339)^('Sensitivity &amp; Scenarios'!$C$18+2)+('Sensitivity &amp; Scenarios'!$C$6*(1+$E339)^4*$G339+'Sensitivity &amp; Scenarios'!$C$11*'Sensitivity &amp; Scenarios'!$C$6*((1+$E339)^4-(1+$E339)^3))/(1+$C339)^('Sensitivity &amp; Scenarios'!$C$18+3)+('Sensitivity &amp; Scenarios'!$C$6*(1+$E339)^5*$G339+'Sensitivity &amp; Scenarios'!$C$11*'Sensitivity &amp; Scenarios'!$C$6*((1+$E339)^5-(1+$E339)^4))/(1+$C339)^('Sensitivity &amp; Scenarios'!$C$18+4)</f>
        <v>22982.784836622923</v>
      </c>
      <c r="I339" s="209">
        <f>('Sensitivity &amp; Scenarios'!$C$6*(1+$E339)^5*$G339+'Sensitivity &amp; Scenarios'!$C$11*'Sensitivity &amp; Scenarios'!$C$6*((1+$E339)^5-(1+$E339)^4))*(1+$D339)/($C339-$D339)/(1+$C339)^('Sensitivity &amp; Scenarios'!$C$18+4)</f>
        <v>80835.553101379905</v>
      </c>
      <c r="J339" s="209">
        <f>($H339+$I339-'Sensitivity &amp; Scenarios'!$C$15+'Sensitivity &amp; Scenarios'!$C$16)/'Sensitivity &amp; Scenarios'!$C$17</f>
        <v>2471.8101378176457</v>
      </c>
    </row>
    <row r="340" spans="2:10" x14ac:dyDescent="0.3">
      <c r="B340" s="127">
        <v>310</v>
      </c>
      <c r="C340" s="206">
        <f>$D$7+0.026585*$E$7</f>
        <v>0.13781810943997799</v>
      </c>
      <c r="D340" s="206">
        <f>MIN($D$8+0.570537*$E$8,'Debt &amp; Cost of Capital'!$C$38)</f>
        <v>5.8423221999999997E-2</v>
      </c>
      <c r="E340" s="207">
        <f>$D$9+0.618191*$E$9</f>
        <v>0.18576682770254635</v>
      </c>
      <c r="F340" s="207">
        <f>$D$10+1.55188*$E$10</f>
        <v>0.16362255999999992</v>
      </c>
      <c r="G340" s="208">
        <f>$F340*(1-'Sensitivity &amp; Scenarios'!$C$12)+'Sensitivity &amp; Scenarios'!$C$9*'Sensitivity &amp; Scenarios'!$C$12-'Sensitivity &amp; Scenarios'!$C$10</f>
        <v>9.1634179736464649E-2</v>
      </c>
      <c r="H340" s="209">
        <f>('Sensitivity &amp; Scenarios'!$C$6*(1+$E340)^1*$G340+'Sensitivity &amp; Scenarios'!$C$11*'Sensitivity &amp; Scenarios'!$C$6*((1+$E340)^1-(1+$E340)^0))*'Sensitivity &amp; Scenarios'!$C$18/(1+$C340)^'Sensitivity &amp; Scenarios'!$C$18+('Sensitivity &amp; Scenarios'!$C$6*(1+$E340)^2*$G340+'Sensitivity &amp; Scenarios'!$C$11*'Sensitivity &amp; Scenarios'!$C$6*((1+$E340)^2-(1+$E340)^1))/(1+$C340)^('Sensitivity &amp; Scenarios'!$C$18+1)+('Sensitivity &amp; Scenarios'!$C$6*(1+$E340)^3*$G340+'Sensitivity &amp; Scenarios'!$C$11*'Sensitivity &amp; Scenarios'!$C$6*((1+$E340)^3-(1+$E340)^2))/(1+$C340)^('Sensitivity &amp; Scenarios'!$C$18+2)+('Sensitivity &amp; Scenarios'!$C$6*(1+$E340)^4*$G340+'Sensitivity &amp; Scenarios'!$C$11*'Sensitivity &amp; Scenarios'!$C$6*((1+$E340)^4-(1+$E340)^3))/(1+$C340)^('Sensitivity &amp; Scenarios'!$C$18+3)+('Sensitivity &amp; Scenarios'!$C$6*(1+$E340)^5*$G340+'Sensitivity &amp; Scenarios'!$C$11*'Sensitivity &amp; Scenarios'!$C$6*((1+$E340)^5-(1+$E340)^4))/(1+$C340)^('Sensitivity &amp; Scenarios'!$C$18+4)</f>
        <v>28523.982169901454</v>
      </c>
      <c r="I340" s="209">
        <f>('Sensitivity &amp; Scenarios'!$C$6*(1+$E340)^5*$G340+'Sensitivity &amp; Scenarios'!$C$11*'Sensitivity &amp; Scenarios'!$C$6*((1+$E340)^5-(1+$E340)^4))*(1+$D340)/($C340-$D340)/(1+$C340)^('Sensitivity &amp; Scenarios'!$C$18+4)</f>
        <v>88423.443373249756</v>
      </c>
      <c r="J340" s="209">
        <f>($H340+$I340-'Sensitivity &amp; Scenarios'!$C$15+'Sensitivity &amp; Scenarios'!$C$16)/'Sensitivity &amp; Scenarios'!$C$17</f>
        <v>2748.1613662273553</v>
      </c>
    </row>
    <row r="341" spans="2:10" x14ac:dyDescent="0.3">
      <c r="B341" s="127">
        <v>311</v>
      </c>
      <c r="C341" s="206">
        <f>$D$7+1.276981*$E$7</f>
        <v>0.15032206943997797</v>
      </c>
      <c r="D341" s="206">
        <f>MIN($D$8+-1.001291*$E$8,'Debt &amp; Cost of Capital'!$C$38)</f>
        <v>4.8992253999999999E-2</v>
      </c>
      <c r="E341" s="207">
        <f>$D$9+1.683586*$E$9</f>
        <v>0.21772867770254634</v>
      </c>
      <c r="F341" s="207">
        <f>$D$10+-0.530977*$E$10</f>
        <v>0.13862827599999991</v>
      </c>
      <c r="G341" s="208">
        <f>$F341*(1-'Sensitivity &amp; Scenarios'!$C$12)+'Sensitivity &amp; Scenarios'!$C$9*'Sensitivity &amp; Scenarios'!$C$12-'Sensitivity &amp; Scenarios'!$C$10</f>
        <v>7.2930957019264636E-2</v>
      </c>
      <c r="H341" s="209">
        <f>('Sensitivity &amp; Scenarios'!$C$6*(1+$E341)^1*$G341+'Sensitivity &amp; Scenarios'!$C$11*'Sensitivity &amp; Scenarios'!$C$6*((1+$E341)^1-(1+$E341)^0))*'Sensitivity &amp; Scenarios'!$C$18/(1+$C341)^'Sensitivity &amp; Scenarios'!$C$18+('Sensitivity &amp; Scenarios'!$C$6*(1+$E341)^2*$G341+'Sensitivity &amp; Scenarios'!$C$11*'Sensitivity &amp; Scenarios'!$C$6*((1+$E341)^2-(1+$E341)^1))/(1+$C341)^('Sensitivity &amp; Scenarios'!$C$18+1)+('Sensitivity &amp; Scenarios'!$C$6*(1+$E341)^3*$G341+'Sensitivity &amp; Scenarios'!$C$11*'Sensitivity &amp; Scenarios'!$C$6*((1+$E341)^3-(1+$E341)^2))/(1+$C341)^('Sensitivity &amp; Scenarios'!$C$18+2)+('Sensitivity &amp; Scenarios'!$C$6*(1+$E341)^4*$G341+'Sensitivity &amp; Scenarios'!$C$11*'Sensitivity &amp; Scenarios'!$C$6*((1+$E341)^4-(1+$E341)^3))/(1+$C341)^('Sensitivity &amp; Scenarios'!$C$18+3)+('Sensitivity &amp; Scenarios'!$C$6*(1+$E341)^5*$G341+'Sensitivity &amp; Scenarios'!$C$11*'Sensitivity &amp; Scenarios'!$C$6*((1+$E341)^5-(1+$E341)^4))/(1+$C341)^('Sensitivity &amp; Scenarios'!$C$18+4)</f>
        <v>25630.560788399554</v>
      </c>
      <c r="I341" s="209">
        <f>('Sensitivity &amp; Scenarios'!$C$6*(1+$E341)^5*$G341+'Sensitivity &amp; Scenarios'!$C$11*'Sensitivity &amp; Scenarios'!$C$6*((1+$E341)^5-(1+$E341)^4))*(1+$D341)/($C341-$D341)/(1+$C341)^('Sensitivity &amp; Scenarios'!$C$18+4)</f>
        <v>63417.608542018199</v>
      </c>
      <c r="J341" s="209">
        <f>($H341+$I341-'Sensitivity &amp; Scenarios'!$C$15+'Sensitivity &amp; Scenarios'!$C$16)/'Sensitivity &amp; Scenarios'!$C$17</f>
        <v>2160.9161624492376</v>
      </c>
    </row>
    <row r="342" spans="2:10" x14ac:dyDescent="0.3">
      <c r="B342" s="127">
        <v>312</v>
      </c>
      <c r="C342" s="206">
        <f>$D$7+1.044873*$E$7</f>
        <v>0.14800098943997797</v>
      </c>
      <c r="D342" s="206">
        <f>MIN($D$8+0.067987*$E$8,'Debt &amp; Cost of Capital'!$C$38)</f>
        <v>5.5407921999999998E-2</v>
      </c>
      <c r="E342" s="207">
        <f>$D$9+-0.412149*$E$9</f>
        <v>0.15485662770254635</v>
      </c>
      <c r="F342" s="207">
        <f>$D$10+-1.807697*$E$10</f>
        <v>0.1233076359999999</v>
      </c>
      <c r="G342" s="208">
        <f>$F342*(1-'Sensitivity &amp; Scenarios'!$C$12)+'Sensitivity &amp; Scenarios'!$C$9*'Sensitivity &amp; Scenarios'!$C$12-'Sensitivity &amp; Scenarios'!$C$10</f>
        <v>6.1466522107264637E-2</v>
      </c>
      <c r="H342" s="209">
        <f>('Sensitivity &amp; Scenarios'!$C$6*(1+$E342)^1*$G342+'Sensitivity &amp; Scenarios'!$C$11*'Sensitivity &amp; Scenarios'!$C$6*((1+$E342)^1-(1+$E342)^0))*'Sensitivity &amp; Scenarios'!$C$18/(1+$C342)^'Sensitivity &amp; Scenarios'!$C$18+('Sensitivity &amp; Scenarios'!$C$6*(1+$E342)^2*$G342+'Sensitivity &amp; Scenarios'!$C$11*'Sensitivity &amp; Scenarios'!$C$6*((1+$E342)^2-(1+$E342)^1))/(1+$C342)^('Sensitivity &amp; Scenarios'!$C$18+1)+('Sensitivity &amp; Scenarios'!$C$6*(1+$E342)^3*$G342+'Sensitivity &amp; Scenarios'!$C$11*'Sensitivity &amp; Scenarios'!$C$6*((1+$E342)^3-(1+$E342)^2))/(1+$C342)^('Sensitivity &amp; Scenarios'!$C$18+2)+('Sensitivity &amp; Scenarios'!$C$6*(1+$E342)^4*$G342+'Sensitivity &amp; Scenarios'!$C$11*'Sensitivity &amp; Scenarios'!$C$6*((1+$E342)^4-(1+$E342)^3))/(1+$C342)^('Sensitivity &amp; Scenarios'!$C$18+3)+('Sensitivity &amp; Scenarios'!$C$6*(1+$E342)^5*$G342+'Sensitivity &amp; Scenarios'!$C$11*'Sensitivity &amp; Scenarios'!$C$6*((1+$E342)^5-(1+$E342)^4))/(1+$C342)^('Sensitivity &amp; Scenarios'!$C$18+4)</f>
        <v>17892.595991264549</v>
      </c>
      <c r="I342" s="209">
        <f>('Sensitivity &amp; Scenarios'!$C$6*(1+$E342)^5*$G342+'Sensitivity &amp; Scenarios'!$C$11*'Sensitivity &amp; Scenarios'!$C$6*((1+$E342)^5-(1+$E342)^4))*(1+$D342)/($C342-$D342)/(1+$C342)^('Sensitivity &amp; Scenarios'!$C$18+4)</f>
        <v>44505.359594722024</v>
      </c>
      <c r="J342" s="209">
        <f>($H342+$I342-'Sensitivity &amp; Scenarios'!$C$15+'Sensitivity &amp; Scenarios'!$C$16)/'Sensitivity &amp; Scenarios'!$C$17</f>
        <v>1599.9617742123216</v>
      </c>
    </row>
    <row r="343" spans="2:10" x14ac:dyDescent="0.3">
      <c r="B343" s="127">
        <v>313</v>
      </c>
      <c r="C343" s="206">
        <f>$D$7+-0.171565*$E$7</f>
        <v>0.13583660943997797</v>
      </c>
      <c r="D343" s="206">
        <f>MIN($D$8+-1.559383*$E$8,'Debt &amp; Cost of Capital'!$C$38)</f>
        <v>4.5643702000000001E-2</v>
      </c>
      <c r="E343" s="207">
        <f>$D$9+0.967299*$E$9</f>
        <v>0.19624006770254634</v>
      </c>
      <c r="F343" s="207">
        <f>$D$10+1.516793*$E$10</f>
        <v>0.16320151599999991</v>
      </c>
      <c r="G343" s="208">
        <f>$F343*(1-'Sensitivity &amp; Scenarios'!$C$12)+'Sensitivity &amp; Scenarios'!$C$9*'Sensitivity &amp; Scenarios'!$C$12-'Sensitivity &amp; Scenarios'!$C$10</f>
        <v>9.131911251126465E-2</v>
      </c>
      <c r="H343" s="209">
        <f>('Sensitivity &amp; Scenarios'!$C$6*(1+$E343)^1*$G343+'Sensitivity &amp; Scenarios'!$C$11*'Sensitivity &amp; Scenarios'!$C$6*((1+$E343)^1-(1+$E343)^0))*'Sensitivity &amp; Scenarios'!$C$18/(1+$C343)^'Sensitivity &amp; Scenarios'!$C$18+('Sensitivity &amp; Scenarios'!$C$6*(1+$E343)^2*$G343+'Sensitivity &amp; Scenarios'!$C$11*'Sensitivity &amp; Scenarios'!$C$6*((1+$E343)^2-(1+$E343)^1))/(1+$C343)^('Sensitivity &amp; Scenarios'!$C$18+1)+('Sensitivity &amp; Scenarios'!$C$6*(1+$E343)^3*$G343+'Sensitivity &amp; Scenarios'!$C$11*'Sensitivity &amp; Scenarios'!$C$6*((1+$E343)^3-(1+$E343)^2))/(1+$C343)^('Sensitivity &amp; Scenarios'!$C$18+2)+('Sensitivity &amp; Scenarios'!$C$6*(1+$E343)^4*$G343+'Sensitivity &amp; Scenarios'!$C$11*'Sensitivity &amp; Scenarios'!$C$6*((1+$E343)^4-(1+$E343)^3))/(1+$C343)^('Sensitivity &amp; Scenarios'!$C$18+3)+('Sensitivity &amp; Scenarios'!$C$6*(1+$E343)^5*$G343+'Sensitivity &amp; Scenarios'!$C$11*'Sensitivity &amp; Scenarios'!$C$6*((1+$E343)^5-(1+$E343)^4))/(1+$C343)^('Sensitivity &amp; Scenarios'!$C$18+4)</f>
        <v>29631.223622897549</v>
      </c>
      <c r="I343" s="209">
        <f>('Sensitivity &amp; Scenarios'!$C$6*(1+$E343)^5*$G343+'Sensitivity &amp; Scenarios'!$C$11*'Sensitivity &amp; Scenarios'!$C$6*((1+$E343)^5-(1+$E343)^4))*(1+$D343)/($C343-$D343)/(1+$C343)^('Sensitivity &amp; Scenarios'!$C$18+4)</f>
        <v>81375.332443267092</v>
      </c>
      <c r="J343" s="209">
        <f>($H343+$I343-'Sensitivity &amp; Scenarios'!$C$15+'Sensitivity &amp; Scenarios'!$C$16)/'Sensitivity &amp; Scenarios'!$C$17</f>
        <v>2623.113333404176</v>
      </c>
    </row>
    <row r="344" spans="2:10" x14ac:dyDescent="0.3">
      <c r="B344" s="127">
        <v>314</v>
      </c>
      <c r="C344" s="206">
        <f>$D$7+-0.796911*$E$7</f>
        <v>0.12958314943997798</v>
      </c>
      <c r="D344" s="206">
        <f>MIN($D$8+0.301971*$E$8,'Debt &amp; Cost of Capital'!$C$38)</f>
        <v>5.6811826000000003E-2</v>
      </c>
      <c r="E344" s="207">
        <f>$D$9+-0.725392*$E$9</f>
        <v>0.14545933770254635</v>
      </c>
      <c r="F344" s="207">
        <f>$D$10+-0.628485*$E$10</f>
        <v>0.1374581799999999</v>
      </c>
      <c r="G344" s="208">
        <f>$F344*(1-'Sensitivity &amp; Scenarios'!$C$12)+'Sensitivity &amp; Scenarios'!$C$9*'Sensitivity &amp; Scenarios'!$C$12-'Sensitivity &amp; Scenarios'!$C$10</f>
        <v>7.2055374182464632E-2</v>
      </c>
      <c r="H344" s="209">
        <f>('Sensitivity &amp; Scenarios'!$C$6*(1+$E344)^1*$G344+'Sensitivity &amp; Scenarios'!$C$11*'Sensitivity &amp; Scenarios'!$C$6*((1+$E344)^1-(1+$E344)^0))*'Sensitivity &amp; Scenarios'!$C$18/(1+$C344)^'Sensitivity &amp; Scenarios'!$C$18+('Sensitivity &amp; Scenarios'!$C$6*(1+$E344)^2*$G344+'Sensitivity &amp; Scenarios'!$C$11*'Sensitivity &amp; Scenarios'!$C$6*((1+$E344)^2-(1+$E344)^1))/(1+$C344)^('Sensitivity &amp; Scenarios'!$C$18+1)+('Sensitivity &amp; Scenarios'!$C$6*(1+$E344)^3*$G344+'Sensitivity &amp; Scenarios'!$C$11*'Sensitivity &amp; Scenarios'!$C$6*((1+$E344)^3-(1+$E344)^2))/(1+$C344)^('Sensitivity &amp; Scenarios'!$C$18+2)+('Sensitivity &amp; Scenarios'!$C$6*(1+$E344)^4*$G344+'Sensitivity &amp; Scenarios'!$C$11*'Sensitivity &amp; Scenarios'!$C$6*((1+$E344)^4-(1+$E344)^3))/(1+$C344)^('Sensitivity &amp; Scenarios'!$C$18+3)+('Sensitivity &amp; Scenarios'!$C$6*(1+$E344)^5*$G344+'Sensitivity &amp; Scenarios'!$C$11*'Sensitivity &amp; Scenarios'!$C$6*((1+$E344)^5-(1+$E344)^4))/(1+$C344)^('Sensitivity &amp; Scenarios'!$C$18+4)</f>
        <v>20592.330227517334</v>
      </c>
      <c r="I344" s="209">
        <f>('Sensitivity &amp; Scenarios'!$C$6*(1+$E344)^5*$G344+'Sensitivity &amp; Scenarios'!$C$11*'Sensitivity &amp; Scenarios'!$C$6*((1+$E344)^5-(1+$E344)^4))*(1+$D344)/($C344-$D344)/(1+$C344)^('Sensitivity &amp; Scenarios'!$C$18+4)</f>
        <v>66218.241235512352</v>
      </c>
      <c r="J344" s="209">
        <f>($H344+$I344-'Sensitivity &amp; Scenarios'!$C$15+'Sensitivity &amp; Scenarios'!$C$16)/'Sensitivity &amp; Scenarios'!$C$17</f>
        <v>2113.8174654234704</v>
      </c>
    </row>
    <row r="345" spans="2:10" x14ac:dyDescent="0.3">
      <c r="B345" s="127">
        <v>315</v>
      </c>
      <c r="C345" s="206">
        <f>$D$7+0.774495*$E$7</f>
        <v>0.14529720943997798</v>
      </c>
      <c r="D345" s="206">
        <f>MIN($D$8+-0.038538*$E$8,'Debt &amp; Cost of Capital'!$C$38)</f>
        <v>5.4768772E-2</v>
      </c>
      <c r="E345" s="207">
        <f>$D$9+1.739648*$E$9</f>
        <v>0.21941053770254634</v>
      </c>
      <c r="F345" s="207">
        <f>$D$10+-0.482232*$E$10</f>
        <v>0.13921321599999992</v>
      </c>
      <c r="G345" s="208">
        <f>$F345*(1-'Sensitivity &amp; Scenarios'!$C$12)+'Sensitivity &amp; Scenarios'!$C$9*'Sensitivity &amp; Scenarios'!$C$12-'Sensitivity &amp; Scenarios'!$C$10</f>
        <v>7.3368667621264649E-2</v>
      </c>
      <c r="H345" s="209">
        <f>('Sensitivity &amp; Scenarios'!$C$6*(1+$E345)^1*$G345+'Sensitivity &amp; Scenarios'!$C$11*'Sensitivity &amp; Scenarios'!$C$6*((1+$E345)^1-(1+$E345)^0))*'Sensitivity &amp; Scenarios'!$C$18/(1+$C345)^'Sensitivity &amp; Scenarios'!$C$18+('Sensitivity &amp; Scenarios'!$C$6*(1+$E345)^2*$G345+'Sensitivity &amp; Scenarios'!$C$11*'Sensitivity &amp; Scenarios'!$C$6*((1+$E345)^2-(1+$E345)^1))/(1+$C345)^('Sensitivity &amp; Scenarios'!$C$18+1)+('Sensitivity &amp; Scenarios'!$C$6*(1+$E345)^3*$G345+'Sensitivity &amp; Scenarios'!$C$11*'Sensitivity &amp; Scenarios'!$C$6*((1+$E345)^3-(1+$E345)^2))/(1+$C345)^('Sensitivity &amp; Scenarios'!$C$18+2)+('Sensitivity &amp; Scenarios'!$C$6*(1+$E345)^4*$G345+'Sensitivity &amp; Scenarios'!$C$11*'Sensitivity &amp; Scenarios'!$C$6*((1+$E345)^4-(1+$E345)^3))/(1+$C345)^('Sensitivity &amp; Scenarios'!$C$18+3)+('Sensitivity &amp; Scenarios'!$C$6*(1+$E345)^5*$G345+'Sensitivity &amp; Scenarios'!$C$11*'Sensitivity &amp; Scenarios'!$C$6*((1+$E345)^5-(1+$E345)^4))/(1+$C345)^('Sensitivity &amp; Scenarios'!$C$18+4)</f>
        <v>26233.606475241366</v>
      </c>
      <c r="I345" s="209">
        <f>('Sensitivity &amp; Scenarios'!$C$6*(1+$E345)^5*$G345+'Sensitivity &amp; Scenarios'!$C$11*'Sensitivity &amp; Scenarios'!$C$6*((1+$E345)^5-(1+$E345)^4))*(1+$D345)/($C345-$D345)/(1+$C345)^('Sensitivity &amp; Scenarios'!$C$18+4)</f>
        <v>73787.300675030681</v>
      </c>
      <c r="J345" s="209">
        <f>($H345+$I345-'Sensitivity &amp; Scenarios'!$C$15+'Sensitivity &amp; Scenarios'!$C$16)/'Sensitivity &amp; Scenarios'!$C$17</f>
        <v>2391.8788665403681</v>
      </c>
    </row>
    <row r="346" spans="2:10" x14ac:dyDescent="0.3">
      <c r="B346" s="127">
        <v>316</v>
      </c>
      <c r="C346" s="206">
        <f>$D$7+0.999336*$E$7</f>
        <v>0.14754561943997799</v>
      </c>
      <c r="D346" s="206">
        <f>MIN($D$8+0.097413*$E$8,'Debt &amp; Cost of Capital'!$C$38)</f>
        <v>5.5584478E-2</v>
      </c>
      <c r="E346" s="207">
        <f>$D$9+0.795778*$E$9</f>
        <v>0.19109443770254633</v>
      </c>
      <c r="F346" s="207">
        <f>$D$10+-0.447158*$E$10</f>
        <v>0.1396341039999999</v>
      </c>
      <c r="G346" s="208">
        <f>$F346*(1-'Sensitivity &amp; Scenarios'!$C$12)+'Sensitivity &amp; Scenarios'!$C$9*'Sensitivity &amp; Scenarios'!$C$12-'Sensitivity &amp; Scenarios'!$C$10</f>
        <v>7.3683618111664628E-2</v>
      </c>
      <c r="H346" s="209">
        <f>('Sensitivity &amp; Scenarios'!$C$6*(1+$E346)^1*$G346+'Sensitivity &amp; Scenarios'!$C$11*'Sensitivity &amp; Scenarios'!$C$6*((1+$E346)^1-(1+$E346)^0))*'Sensitivity &amp; Scenarios'!$C$18/(1+$C346)^'Sensitivity &amp; Scenarios'!$C$18+('Sensitivity &amp; Scenarios'!$C$6*(1+$E346)^2*$G346+'Sensitivity &amp; Scenarios'!$C$11*'Sensitivity &amp; Scenarios'!$C$6*((1+$E346)^2-(1+$E346)^1))/(1+$C346)^('Sensitivity &amp; Scenarios'!$C$18+1)+('Sensitivity &amp; Scenarios'!$C$6*(1+$E346)^3*$G346+'Sensitivity &amp; Scenarios'!$C$11*'Sensitivity &amp; Scenarios'!$C$6*((1+$E346)^3-(1+$E346)^2))/(1+$C346)^('Sensitivity &amp; Scenarios'!$C$18+2)+('Sensitivity &amp; Scenarios'!$C$6*(1+$E346)^4*$G346+'Sensitivity &amp; Scenarios'!$C$11*'Sensitivity &amp; Scenarios'!$C$6*((1+$E346)^4-(1+$E346)^3))/(1+$C346)^('Sensitivity &amp; Scenarios'!$C$18+3)+('Sensitivity &amp; Scenarios'!$C$6*(1+$E346)^5*$G346+'Sensitivity &amp; Scenarios'!$C$11*'Sensitivity &amp; Scenarios'!$C$6*((1+$E346)^5-(1+$E346)^4))/(1+$C346)^('Sensitivity &amp; Scenarios'!$C$18+4)</f>
        <v>23694.026583426101</v>
      </c>
      <c r="I346" s="209">
        <f>('Sensitivity &amp; Scenarios'!$C$6*(1+$E346)^5*$G346+'Sensitivity &amp; Scenarios'!$C$11*'Sensitivity &amp; Scenarios'!$C$6*((1+$E346)^5-(1+$E346)^4))*(1+$D346)/($C346-$D346)/(1+$C346)^('Sensitivity &amp; Scenarios'!$C$18+4)</f>
        <v>62794.172316453056</v>
      </c>
      <c r="J346" s="209">
        <f>($H346+$I346-'Sensitivity &amp; Scenarios'!$C$15+'Sensitivity &amp; Scenarios'!$C$16)/'Sensitivity &amp; Scenarios'!$C$17</f>
        <v>2107.0319174469832</v>
      </c>
    </row>
    <row r="347" spans="2:10" x14ac:dyDescent="0.3">
      <c r="B347" s="127">
        <v>317</v>
      </c>
      <c r="C347" s="206">
        <f>$D$7+-0.049559*$E$7</f>
        <v>0.13705666943997799</v>
      </c>
      <c r="D347" s="206">
        <f>MIN($D$8+-0.115499*$E$8,'Debt &amp; Cost of Capital'!$C$38)</f>
        <v>5.4307005999999998E-2</v>
      </c>
      <c r="E347" s="207">
        <f>$D$9+-0.836057*$E$9</f>
        <v>0.14213938770254633</v>
      </c>
      <c r="F347" s="207">
        <f>$D$10+0.662082*$E$10</f>
        <v>0.1529449839999999</v>
      </c>
      <c r="G347" s="208">
        <f>$F347*(1-'Sensitivity &amp; Scenarios'!$C$12)+'Sensitivity &amp; Scenarios'!$C$9*'Sensitivity &amp; Scenarios'!$C$12-'Sensitivity &amp; Scenarios'!$C$10</f>
        <v>8.3644149615664631E-2</v>
      </c>
      <c r="H347" s="209">
        <f>('Sensitivity &amp; Scenarios'!$C$6*(1+$E347)^1*$G347+'Sensitivity &amp; Scenarios'!$C$11*'Sensitivity &amp; Scenarios'!$C$6*((1+$E347)^1-(1+$E347)^0))*'Sensitivity &amp; Scenarios'!$C$18/(1+$C347)^'Sensitivity &amp; Scenarios'!$C$18+('Sensitivity &amp; Scenarios'!$C$6*(1+$E347)^2*$G347+'Sensitivity &amp; Scenarios'!$C$11*'Sensitivity &amp; Scenarios'!$C$6*((1+$E347)^2-(1+$E347)^1))/(1+$C347)^('Sensitivity &amp; Scenarios'!$C$18+1)+('Sensitivity &amp; Scenarios'!$C$6*(1+$E347)^3*$G347+'Sensitivity &amp; Scenarios'!$C$11*'Sensitivity &amp; Scenarios'!$C$6*((1+$E347)^3-(1+$E347)^2))/(1+$C347)^('Sensitivity &amp; Scenarios'!$C$18+2)+('Sensitivity &amp; Scenarios'!$C$6*(1+$E347)^4*$G347+'Sensitivity &amp; Scenarios'!$C$11*'Sensitivity &amp; Scenarios'!$C$6*((1+$E347)^4-(1+$E347)^3))/(1+$C347)^('Sensitivity &amp; Scenarios'!$C$18+3)+('Sensitivity &amp; Scenarios'!$C$6*(1+$E347)^5*$G347+'Sensitivity &amp; Scenarios'!$C$11*'Sensitivity &amp; Scenarios'!$C$6*((1+$E347)^5-(1+$E347)^4))/(1+$C347)^('Sensitivity &amp; Scenarios'!$C$18+4)</f>
        <v>22662.308867309188</v>
      </c>
      <c r="I347" s="209">
        <f>('Sensitivity &amp; Scenarios'!$C$6*(1+$E347)^5*$G347+'Sensitivity &amp; Scenarios'!$C$11*'Sensitivity &amp; Scenarios'!$C$6*((1+$E347)^5-(1+$E347)^4))*(1+$D347)/($C347-$D347)/(1+$C347)^('Sensitivity &amp; Scenarios'!$C$18+4)</f>
        <v>62836.709303036587</v>
      </c>
      <c r="J347" s="209">
        <f>($H347+$I347-'Sensitivity &amp; Scenarios'!$C$15+'Sensitivity &amp; Scenarios'!$C$16)/'Sensitivity &amp; Scenarios'!$C$17</f>
        <v>2086.2108735216943</v>
      </c>
    </row>
    <row r="348" spans="2:10" x14ac:dyDescent="0.3">
      <c r="B348" s="127">
        <v>318</v>
      </c>
      <c r="C348" s="206">
        <f>$D$7+0.650249*$E$7</f>
        <v>0.14405474943997798</v>
      </c>
      <c r="D348" s="206">
        <f>MIN($D$8+0.593555*$E$8,'Debt &amp; Cost of Capital'!$C$38)</f>
        <v>5.8561330000000002E-2</v>
      </c>
      <c r="E348" s="207">
        <f>$D$9+1.536966*$E$9</f>
        <v>0.21333007770254633</v>
      </c>
      <c r="F348" s="207">
        <f>$D$10+1.449345*$E$10</f>
        <v>0.16239213999999991</v>
      </c>
      <c r="G348" s="208">
        <f>$F348*(1-'Sensitivity &amp; Scenarios'!$C$12)+'Sensitivity &amp; Scenarios'!$C$9*'Sensitivity &amp; Scenarios'!$C$12-'Sensitivity &amp; Scenarios'!$C$10</f>
        <v>9.0713456450464636E-2</v>
      </c>
      <c r="H348" s="209">
        <f>('Sensitivity &amp; Scenarios'!$C$6*(1+$E348)^1*$G348+'Sensitivity &amp; Scenarios'!$C$11*'Sensitivity &amp; Scenarios'!$C$6*((1+$E348)^1-(1+$E348)^0))*'Sensitivity &amp; Scenarios'!$C$18/(1+$C348)^'Sensitivity &amp; Scenarios'!$C$18+('Sensitivity &amp; Scenarios'!$C$6*(1+$E348)^2*$G348+'Sensitivity &amp; Scenarios'!$C$11*'Sensitivity &amp; Scenarios'!$C$6*((1+$E348)^2-(1+$E348)^1))/(1+$C348)^('Sensitivity &amp; Scenarios'!$C$18+1)+('Sensitivity &amp; Scenarios'!$C$6*(1+$E348)^3*$G348+'Sensitivity &amp; Scenarios'!$C$11*'Sensitivity &amp; Scenarios'!$C$6*((1+$E348)^3-(1+$E348)^2))/(1+$C348)^('Sensitivity &amp; Scenarios'!$C$18+2)+('Sensitivity &amp; Scenarios'!$C$6*(1+$E348)^4*$G348+'Sensitivity &amp; Scenarios'!$C$11*'Sensitivity &amp; Scenarios'!$C$6*((1+$E348)^4-(1+$E348)^3))/(1+$C348)^('Sensitivity &amp; Scenarios'!$C$18+3)+('Sensitivity &amp; Scenarios'!$C$6*(1+$E348)^5*$G348+'Sensitivity &amp; Scenarios'!$C$11*'Sensitivity &amp; Scenarios'!$C$6*((1+$E348)^5-(1+$E348)^4))/(1+$C348)^('Sensitivity &amp; Scenarios'!$C$18+4)</f>
        <v>30584.456545981247</v>
      </c>
      <c r="I348" s="209">
        <f>('Sensitivity &amp; Scenarios'!$C$6*(1+$E348)^5*$G348+'Sensitivity &amp; Scenarios'!$C$11*'Sensitivity &amp; Scenarios'!$C$6*((1+$E348)^5-(1+$E348)^4))*(1+$D348)/($C348-$D348)/(1+$C348)^('Sensitivity &amp; Scenarios'!$C$18+4)</f>
        <v>90801.334018102963</v>
      </c>
      <c r="J348" s="209">
        <f>($H348+$I348-'Sensitivity &amp; Scenarios'!$C$15+'Sensitivity &amp; Scenarios'!$C$16)/'Sensitivity &amp; Scenarios'!$C$17</f>
        <v>2841.5835188211536</v>
      </c>
    </row>
    <row r="349" spans="2:10" x14ac:dyDescent="0.3">
      <c r="B349" s="127">
        <v>319</v>
      </c>
      <c r="C349" s="206">
        <f>$D$7+-0.374945*$E$7</f>
        <v>0.13380280943997799</v>
      </c>
      <c r="D349" s="206">
        <f>MIN($D$8+0.373052*$E$8,'Debt &amp; Cost of Capital'!$C$38)</f>
        <v>5.7238312E-2</v>
      </c>
      <c r="E349" s="207">
        <f>$D$9+-0.623601*$E$9</f>
        <v>0.14851306770254635</v>
      </c>
      <c r="F349" s="207">
        <f>$D$10+0.023355*$E$10</f>
        <v>0.14528025999999991</v>
      </c>
      <c r="G349" s="208">
        <f>$F349*(1-'Sensitivity &amp; Scenarios'!$C$12)+'Sensitivity &amp; Scenarios'!$C$9*'Sensitivity &amp; Scenarios'!$C$12-'Sensitivity &amp; Scenarios'!$C$10</f>
        <v>7.7908636646464635E-2</v>
      </c>
      <c r="H349" s="209">
        <f>('Sensitivity &amp; Scenarios'!$C$6*(1+$E349)^1*$G349+'Sensitivity &amp; Scenarios'!$C$11*'Sensitivity &amp; Scenarios'!$C$6*((1+$E349)^1-(1+$E349)^0))*'Sensitivity &amp; Scenarios'!$C$18/(1+$C349)^'Sensitivity &amp; Scenarios'!$C$18+('Sensitivity &amp; Scenarios'!$C$6*(1+$E349)^2*$G349+'Sensitivity &amp; Scenarios'!$C$11*'Sensitivity &amp; Scenarios'!$C$6*((1+$E349)^2-(1+$E349)^1))/(1+$C349)^('Sensitivity &amp; Scenarios'!$C$18+1)+('Sensitivity &amp; Scenarios'!$C$6*(1+$E349)^3*$G349+'Sensitivity &amp; Scenarios'!$C$11*'Sensitivity &amp; Scenarios'!$C$6*((1+$E349)^3-(1+$E349)^2))/(1+$C349)^('Sensitivity &amp; Scenarios'!$C$18+2)+('Sensitivity &amp; Scenarios'!$C$6*(1+$E349)^4*$G349+'Sensitivity &amp; Scenarios'!$C$11*'Sensitivity &amp; Scenarios'!$C$6*((1+$E349)^4-(1+$E349)^3))/(1+$C349)^('Sensitivity &amp; Scenarios'!$C$18+3)+('Sensitivity &amp; Scenarios'!$C$6*(1+$E349)^5*$G349+'Sensitivity &amp; Scenarios'!$C$11*'Sensitivity &amp; Scenarios'!$C$6*((1+$E349)^5-(1+$E349)^4))/(1+$C349)^('Sensitivity &amp; Scenarios'!$C$18+4)</f>
        <v>22009.987857285374</v>
      </c>
      <c r="I349" s="209">
        <f>('Sensitivity &amp; Scenarios'!$C$6*(1+$E349)^5*$G349+'Sensitivity &amp; Scenarios'!$C$11*'Sensitivity &amp; Scenarios'!$C$6*((1+$E349)^5-(1+$E349)^4))*(1+$D349)/($C349-$D349)/(1+$C349)^('Sensitivity &amp; Scenarios'!$C$18+4)</f>
        <v>67167.40430478366</v>
      </c>
      <c r="J349" s="209">
        <f>($H349+$I349-'Sensitivity &amp; Scenarios'!$C$15+'Sensitivity &amp; Scenarios'!$C$16)/'Sensitivity &amp; Scenarios'!$C$17</f>
        <v>2163.6361449293158</v>
      </c>
    </row>
    <row r="350" spans="2:10" x14ac:dyDescent="0.3">
      <c r="B350" s="127">
        <v>320</v>
      </c>
      <c r="C350" s="206">
        <f>$D$7+-0.599749*$E$7</f>
        <v>0.13155476943997799</v>
      </c>
      <c r="D350" s="206">
        <f>MIN($D$8+1.62007*$E$8,'Debt &amp; Cost of Capital'!$C$38)</f>
        <v>6.4720420000000001E-2</v>
      </c>
      <c r="E350" s="207">
        <f>$D$9+0.363698*$E$9</f>
        <v>0.17813203770254635</v>
      </c>
      <c r="F350" s="207">
        <f>$D$10+-0.218029*$E$10</f>
        <v>0.14238365199999992</v>
      </c>
      <c r="G350" s="208">
        <f>$F350*(1-'Sensitivity &amp; Scenarios'!$C$12)+'Sensitivity &amp; Scenarios'!$C$9*'Sensitivity &amp; Scenarios'!$C$12-'Sensitivity &amp; Scenarios'!$C$10</f>
        <v>7.574110488006465E-2</v>
      </c>
      <c r="H350" s="209">
        <f>('Sensitivity &amp; Scenarios'!$C$6*(1+$E350)^1*$G350+'Sensitivity &amp; Scenarios'!$C$11*'Sensitivity &amp; Scenarios'!$C$6*((1+$E350)^1-(1+$E350)^0))*'Sensitivity &amp; Scenarios'!$C$18/(1+$C350)^'Sensitivity &amp; Scenarios'!$C$18+('Sensitivity &amp; Scenarios'!$C$6*(1+$E350)^2*$G350+'Sensitivity &amp; Scenarios'!$C$11*'Sensitivity &amp; Scenarios'!$C$6*((1+$E350)^2-(1+$E350)^1))/(1+$C350)^('Sensitivity &amp; Scenarios'!$C$18+1)+('Sensitivity &amp; Scenarios'!$C$6*(1+$E350)^3*$G350+'Sensitivity &amp; Scenarios'!$C$11*'Sensitivity &amp; Scenarios'!$C$6*((1+$E350)^3-(1+$E350)^2))/(1+$C350)^('Sensitivity &amp; Scenarios'!$C$18+2)+('Sensitivity &amp; Scenarios'!$C$6*(1+$E350)^4*$G350+'Sensitivity &amp; Scenarios'!$C$11*'Sensitivity &amp; Scenarios'!$C$6*((1+$E350)^4-(1+$E350)^3))/(1+$C350)^('Sensitivity &amp; Scenarios'!$C$18+3)+('Sensitivity &amp; Scenarios'!$C$6*(1+$E350)^5*$G350+'Sensitivity &amp; Scenarios'!$C$11*'Sensitivity &amp; Scenarios'!$C$6*((1+$E350)^5-(1+$E350)^4))/(1+$C350)^('Sensitivity &amp; Scenarios'!$C$18+4)</f>
        <v>24080.130268166977</v>
      </c>
      <c r="I350" s="209">
        <f>('Sensitivity &amp; Scenarios'!$C$6*(1+$E350)^5*$G350+'Sensitivity &amp; Scenarios'!$C$11*'Sensitivity &amp; Scenarios'!$C$6*((1+$E350)^5-(1+$E350)^4))*(1+$D350)/($C350-$D350)/(1+$C350)^('Sensitivity &amp; Scenarios'!$C$18+4)</f>
        <v>89056.130466225193</v>
      </c>
      <c r="J350" s="209">
        <f>($H350+$I350-'Sensitivity &amp; Scenarios'!$C$15+'Sensitivity &amp; Scenarios'!$C$16)/'Sensitivity &amp; Scenarios'!$C$17</f>
        <v>2667.941010613351</v>
      </c>
    </row>
    <row r="351" spans="2:10" x14ac:dyDescent="0.3">
      <c r="B351" s="127">
        <v>321</v>
      </c>
      <c r="C351" s="206">
        <f>$D$7+1.193619*$E$7</f>
        <v>0.14948844943997797</v>
      </c>
      <c r="D351" s="206">
        <f>MIN($D$8+-2.170615*$E$8,'Debt &amp; Cost of Capital'!$C$38)</f>
        <v>4.1976310000000003E-2</v>
      </c>
      <c r="E351" s="207">
        <f>$D$9+-2.014103*$E$9</f>
        <v>0.10679800770254634</v>
      </c>
      <c r="F351" s="207">
        <f>$D$10+0.795839*$E$10</f>
        <v>0.1545500679999999</v>
      </c>
      <c r="G351" s="208">
        <f>$F351*(1-'Sensitivity &amp; Scenarios'!$C$12)+'Sensitivity &amp; Scenarios'!$C$9*'Sensitivity &amp; Scenarios'!$C$12-'Sensitivity &amp; Scenarios'!$C$10</f>
        <v>8.4845233972864628E-2</v>
      </c>
      <c r="H351" s="209">
        <f>('Sensitivity &amp; Scenarios'!$C$6*(1+$E351)^1*$G351+'Sensitivity &amp; Scenarios'!$C$11*'Sensitivity &amp; Scenarios'!$C$6*((1+$E351)^1-(1+$E351)^0))*'Sensitivity &amp; Scenarios'!$C$18/(1+$C351)^'Sensitivity &amp; Scenarios'!$C$18+('Sensitivity &amp; Scenarios'!$C$6*(1+$E351)^2*$G351+'Sensitivity &amp; Scenarios'!$C$11*'Sensitivity &amp; Scenarios'!$C$6*((1+$E351)^2-(1+$E351)^1))/(1+$C351)^('Sensitivity &amp; Scenarios'!$C$18+1)+('Sensitivity &amp; Scenarios'!$C$6*(1+$E351)^3*$G351+'Sensitivity &amp; Scenarios'!$C$11*'Sensitivity &amp; Scenarios'!$C$6*((1+$E351)^3-(1+$E351)^2))/(1+$C351)^('Sensitivity &amp; Scenarios'!$C$18+2)+('Sensitivity &amp; Scenarios'!$C$6*(1+$E351)^4*$G351+'Sensitivity &amp; Scenarios'!$C$11*'Sensitivity &amp; Scenarios'!$C$6*((1+$E351)^4-(1+$E351)^3))/(1+$C351)^('Sensitivity &amp; Scenarios'!$C$18+3)+('Sensitivity &amp; Scenarios'!$C$6*(1+$E351)^5*$G351+'Sensitivity &amp; Scenarios'!$C$11*'Sensitivity &amp; Scenarios'!$C$6*((1+$E351)^5-(1+$E351)^4))/(1+$C351)^('Sensitivity &amp; Scenarios'!$C$18+4)</f>
        <v>19548.792551583847</v>
      </c>
      <c r="I351" s="209">
        <f>('Sensitivity &amp; Scenarios'!$C$6*(1+$E351)^5*$G351+'Sensitivity &amp; Scenarios'!$C$11*'Sensitivity &amp; Scenarios'!$C$6*((1+$E351)^5-(1+$E351)^4))*(1+$D351)/($C351-$D351)/(1+$C351)^('Sensitivity &amp; Scenarios'!$C$18+4)</f>
        <v>38092.217703280759</v>
      </c>
      <c r="J351" s="209">
        <f>($H351+$I351-'Sensitivity &amp; Scenarios'!$C$15+'Sensitivity &amp; Scenarios'!$C$16)/'Sensitivity &amp; Scenarios'!$C$17</f>
        <v>1499.8338959264083</v>
      </c>
    </row>
    <row r="352" spans="2:10" x14ac:dyDescent="0.3">
      <c r="B352" s="127">
        <v>322</v>
      </c>
      <c r="C352" s="206">
        <f>$D$7+0.060468*$E$7</f>
        <v>0.13815693943997798</v>
      </c>
      <c r="D352" s="206">
        <f>MIN($D$8+0.250446*$E$8,'Debt &amp; Cost of Capital'!$C$38)</f>
        <v>5.6502676000000002E-2</v>
      </c>
      <c r="E352" s="207">
        <f>$D$9+-1.326396*$E$9</f>
        <v>0.12742921770254634</v>
      </c>
      <c r="F352" s="207">
        <f>$D$10+-0.023234*$E$10</f>
        <v>0.14472119199999992</v>
      </c>
      <c r="G352" s="208">
        <f>$F352*(1-'Sensitivity &amp; Scenarios'!$C$12)+'Sensitivity &amp; Scenarios'!$C$9*'Sensitivity &amp; Scenarios'!$C$12-'Sensitivity &amp; Scenarios'!$C$10</f>
        <v>7.7490286062064637E-2</v>
      </c>
      <c r="H352" s="209">
        <f>('Sensitivity &amp; Scenarios'!$C$6*(1+$E352)^1*$G352+'Sensitivity &amp; Scenarios'!$C$11*'Sensitivity &amp; Scenarios'!$C$6*((1+$E352)^1-(1+$E352)^0))*'Sensitivity &amp; Scenarios'!$C$18/(1+$C352)^'Sensitivity &amp; Scenarios'!$C$18+('Sensitivity &amp; Scenarios'!$C$6*(1+$E352)^2*$G352+'Sensitivity &amp; Scenarios'!$C$11*'Sensitivity &amp; Scenarios'!$C$6*((1+$E352)^2-(1+$E352)^1))/(1+$C352)^('Sensitivity &amp; Scenarios'!$C$18+1)+('Sensitivity &amp; Scenarios'!$C$6*(1+$E352)^3*$G352+'Sensitivity &amp; Scenarios'!$C$11*'Sensitivity &amp; Scenarios'!$C$6*((1+$E352)^3-(1+$E352)^2))/(1+$C352)^('Sensitivity &amp; Scenarios'!$C$18+2)+('Sensitivity &amp; Scenarios'!$C$6*(1+$E352)^4*$G352+'Sensitivity &amp; Scenarios'!$C$11*'Sensitivity &amp; Scenarios'!$C$6*((1+$E352)^4-(1+$E352)^3))/(1+$C352)^('Sensitivity &amp; Scenarios'!$C$18+3)+('Sensitivity &amp; Scenarios'!$C$6*(1+$E352)^5*$G352+'Sensitivity &amp; Scenarios'!$C$11*'Sensitivity &amp; Scenarios'!$C$6*((1+$E352)^5-(1+$E352)^4))/(1+$C352)^('Sensitivity &amp; Scenarios'!$C$18+4)</f>
        <v>20044.079050837834</v>
      </c>
      <c r="I352" s="209">
        <f>('Sensitivity &amp; Scenarios'!$C$6*(1+$E352)^5*$G352+'Sensitivity &amp; Scenarios'!$C$11*'Sensitivity &amp; Scenarios'!$C$6*((1+$E352)^5-(1+$E352)^4))*(1+$D352)/($C352-$D352)/(1+$C352)^('Sensitivity &amp; Scenarios'!$C$18+4)</f>
        <v>55006.981443527482</v>
      </c>
      <c r="J352" s="209">
        <f>($H352+$I352-'Sensitivity &amp; Scenarios'!$C$15+'Sensitivity &amp; Scenarios'!$C$16)/'Sensitivity &amp; Scenarios'!$C$17</f>
        <v>1866.2941493010683</v>
      </c>
    </row>
    <row r="353" spans="2:10" x14ac:dyDescent="0.3">
      <c r="B353" s="127">
        <v>323</v>
      </c>
      <c r="C353" s="206">
        <f>$D$7+2.003509*$E$7</f>
        <v>0.15758734943997799</v>
      </c>
      <c r="D353" s="206">
        <f>MIN($D$8+0.8242*$E$8,'Debt &amp; Cost of Capital'!$C$38)</f>
        <v>5.9945200000000004E-2</v>
      </c>
      <c r="E353" s="207">
        <f>$D$9+0.169707*$E$9</f>
        <v>0.17231230770254635</v>
      </c>
      <c r="F353" s="207">
        <f>$D$10+-0.439054*$E$10</f>
        <v>0.13973135199999992</v>
      </c>
      <c r="G353" s="208">
        <f>$F353*(1-'Sensitivity &amp; Scenarios'!$C$12)+'Sensitivity &amp; Scenarios'!$C$9*'Sensitivity &amp; Scenarios'!$C$12-'Sensitivity &amp; Scenarios'!$C$10</f>
        <v>7.3756388790064645E-2</v>
      </c>
      <c r="H353" s="209">
        <f>('Sensitivity &amp; Scenarios'!$C$6*(1+$E353)^1*$G353+'Sensitivity &amp; Scenarios'!$C$11*'Sensitivity &amp; Scenarios'!$C$6*((1+$E353)^1-(1+$E353)^0))*'Sensitivity &amp; Scenarios'!$C$18/(1+$C353)^'Sensitivity &amp; Scenarios'!$C$18+('Sensitivity &amp; Scenarios'!$C$6*(1+$E353)^2*$G353+'Sensitivity &amp; Scenarios'!$C$11*'Sensitivity &amp; Scenarios'!$C$6*((1+$E353)^2-(1+$E353)^1))/(1+$C353)^('Sensitivity &amp; Scenarios'!$C$18+1)+('Sensitivity &amp; Scenarios'!$C$6*(1+$E353)^3*$G353+'Sensitivity &amp; Scenarios'!$C$11*'Sensitivity &amp; Scenarios'!$C$6*((1+$E353)^3-(1+$E353)^2))/(1+$C353)^('Sensitivity &amp; Scenarios'!$C$18+2)+('Sensitivity &amp; Scenarios'!$C$6*(1+$E353)^4*$G353+'Sensitivity &amp; Scenarios'!$C$11*'Sensitivity &amp; Scenarios'!$C$6*((1+$E353)^4-(1+$E353)^3))/(1+$C353)^('Sensitivity &amp; Scenarios'!$C$18+3)+('Sensitivity &amp; Scenarios'!$C$6*(1+$E353)^5*$G353+'Sensitivity &amp; Scenarios'!$C$11*'Sensitivity &amp; Scenarios'!$C$6*((1+$E353)^5-(1+$E353)^4))/(1+$C353)^('Sensitivity &amp; Scenarios'!$C$18+4)</f>
        <v>21629.637982199663</v>
      </c>
      <c r="I353" s="209">
        <f>('Sensitivity &amp; Scenarios'!$C$6*(1+$E353)^5*$G353+'Sensitivity &amp; Scenarios'!$C$11*'Sensitivity &amp; Scenarios'!$C$6*((1+$E353)^5-(1+$E353)^4))*(1+$D353)/($C353-$D353)/(1+$C353)^('Sensitivity &amp; Scenarios'!$C$18+4)</f>
        <v>51866.947958286895</v>
      </c>
      <c r="J353" s="209">
        <f>($H353+$I353-'Sensitivity &amp; Scenarios'!$C$15+'Sensitivity &amp; Scenarios'!$C$16)/'Sensitivity &amp; Scenarios'!$C$17</f>
        <v>1833.5743621067486</v>
      </c>
    </row>
    <row r="354" spans="2:10" x14ac:dyDescent="0.3">
      <c r="B354" s="127">
        <v>324</v>
      </c>
      <c r="C354" s="206">
        <f>$D$7+-0.394573*$E$7</f>
        <v>0.13360652943997797</v>
      </c>
      <c r="D354" s="206">
        <f>MIN($D$8+-2.129198*$E$8,'Debt &amp; Cost of Capital'!$C$38)</f>
        <v>4.2224812E-2</v>
      </c>
      <c r="E354" s="207">
        <f>$D$9+0.25764*$E$9</f>
        <v>0.17495029770254633</v>
      </c>
      <c r="F354" s="207">
        <f>$D$10+0.845483*$E$10</f>
        <v>0.15514579599999992</v>
      </c>
      <c r="G354" s="208">
        <f>$F354*(1-'Sensitivity &amp; Scenarios'!$C$12)+'Sensitivity &amp; Scenarios'!$C$9*'Sensitivity &amp; Scenarios'!$C$12-'Sensitivity &amp; Scenarios'!$C$10</f>
        <v>8.5291017235264652E-2</v>
      </c>
      <c r="H354" s="209">
        <f>('Sensitivity &amp; Scenarios'!$C$6*(1+$E354)^1*$G354+'Sensitivity &amp; Scenarios'!$C$11*'Sensitivity &amp; Scenarios'!$C$6*((1+$E354)^1-(1+$E354)^0))*'Sensitivity &amp; Scenarios'!$C$18/(1+$C354)^'Sensitivity &amp; Scenarios'!$C$18+('Sensitivity &amp; Scenarios'!$C$6*(1+$E354)^2*$G354+'Sensitivity &amp; Scenarios'!$C$11*'Sensitivity &amp; Scenarios'!$C$6*((1+$E354)^2-(1+$E354)^1))/(1+$C354)^('Sensitivity &amp; Scenarios'!$C$18+1)+('Sensitivity &amp; Scenarios'!$C$6*(1+$E354)^3*$G354+'Sensitivity &amp; Scenarios'!$C$11*'Sensitivity &amp; Scenarios'!$C$6*((1+$E354)^3-(1+$E354)^2))/(1+$C354)^('Sensitivity &amp; Scenarios'!$C$18+2)+('Sensitivity &amp; Scenarios'!$C$6*(1+$E354)^4*$G354+'Sensitivity &amp; Scenarios'!$C$11*'Sensitivity &amp; Scenarios'!$C$6*((1+$E354)^4-(1+$E354)^3))/(1+$C354)^('Sensitivity &amp; Scenarios'!$C$18+3)+('Sensitivity &amp; Scenarios'!$C$6*(1+$E354)^5*$G354+'Sensitivity &amp; Scenarios'!$C$11*'Sensitivity &amp; Scenarios'!$C$6*((1+$E354)^5-(1+$E354)^4))/(1+$C354)^('Sensitivity &amp; Scenarios'!$C$18+4)</f>
        <v>26137.618074703925</v>
      </c>
      <c r="I354" s="209">
        <f>('Sensitivity &amp; Scenarios'!$C$6*(1+$E354)^5*$G354+'Sensitivity &amp; Scenarios'!$C$11*'Sensitivity &amp; Scenarios'!$C$6*((1+$E354)^5-(1+$E354)^4))*(1+$D354)/($C354-$D354)/(1+$C354)^('Sensitivity &amp; Scenarios'!$C$18+4)</f>
        <v>68653.210011021059</v>
      </c>
      <c r="J354" s="209">
        <f>($H354+$I354-'Sensitivity &amp; Scenarios'!$C$15+'Sensitivity &amp; Scenarios'!$C$16)/'Sensitivity &amp; Scenarios'!$C$17</f>
        <v>2281.7921021257021</v>
      </c>
    </row>
    <row r="355" spans="2:10" x14ac:dyDescent="0.3">
      <c r="B355" s="127">
        <v>325</v>
      </c>
      <c r="C355" s="206">
        <f>$D$7+-1.575619*$E$7</f>
        <v>0.12179606943997798</v>
      </c>
      <c r="D355" s="206">
        <f>MIN($D$8+-0.661417*$E$8,'Debt &amp; Cost of Capital'!$C$38)</f>
        <v>5.1031498000000002E-2</v>
      </c>
      <c r="E355" s="207">
        <f>$D$9+-1.157465*$E$9</f>
        <v>0.13249714770254634</v>
      </c>
      <c r="F355" s="207">
        <f>$D$10+-0.965351*$E$10</f>
        <v>0.1334157879999999</v>
      </c>
      <c r="G355" s="208">
        <f>$F355*(1-'Sensitivity &amp; Scenarios'!$C$12)+'Sensitivity &amp; Scenarios'!$C$9*'Sensitivity &amp; Scenarios'!$C$12-'Sensitivity &amp; Scenarios'!$C$10</f>
        <v>6.9030452248864629E-2</v>
      </c>
      <c r="H355" s="209">
        <f>('Sensitivity &amp; Scenarios'!$C$6*(1+$E355)^1*$G355+'Sensitivity &amp; Scenarios'!$C$11*'Sensitivity &amp; Scenarios'!$C$6*((1+$E355)^1-(1+$E355)^0))*'Sensitivity &amp; Scenarios'!$C$18/(1+$C355)^'Sensitivity &amp; Scenarios'!$C$18+('Sensitivity &amp; Scenarios'!$C$6*(1+$E355)^2*$G355+'Sensitivity &amp; Scenarios'!$C$11*'Sensitivity &amp; Scenarios'!$C$6*((1+$E355)^2-(1+$E355)^1))/(1+$C355)^('Sensitivity &amp; Scenarios'!$C$18+1)+('Sensitivity &amp; Scenarios'!$C$6*(1+$E355)^3*$G355+'Sensitivity &amp; Scenarios'!$C$11*'Sensitivity &amp; Scenarios'!$C$6*((1+$E355)^3-(1+$E355)^2))/(1+$C355)^('Sensitivity &amp; Scenarios'!$C$18+2)+('Sensitivity &amp; Scenarios'!$C$6*(1+$E355)^4*$G355+'Sensitivity &amp; Scenarios'!$C$11*'Sensitivity &amp; Scenarios'!$C$6*((1+$E355)^4-(1+$E355)^3))/(1+$C355)^('Sensitivity &amp; Scenarios'!$C$18+3)+('Sensitivity &amp; Scenarios'!$C$6*(1+$E355)^5*$G355+'Sensitivity &amp; Scenarios'!$C$11*'Sensitivity &amp; Scenarios'!$C$6*((1+$E355)^5-(1+$E355)^4))/(1+$C355)^('Sensitivity &amp; Scenarios'!$C$18+4)</f>
        <v>19279.831625256418</v>
      </c>
      <c r="I355" s="209">
        <f>('Sensitivity &amp; Scenarios'!$C$6*(1+$E355)^5*$G355+'Sensitivity &amp; Scenarios'!$C$11*'Sensitivity &amp; Scenarios'!$C$6*((1+$E355)^5-(1+$E355)^4))*(1+$D355)/($C355-$D355)/(1+$C355)^('Sensitivity &amp; Scenarios'!$C$18+4)</f>
        <v>62894.076209420389</v>
      </c>
      <c r="J355" s="209">
        <f>($H355+$I355-'Sensitivity &amp; Scenarios'!$C$15+'Sensitivity &amp; Scenarios'!$C$16)/'Sensitivity &amp; Scenarios'!$C$17</f>
        <v>2016.2213697956613</v>
      </c>
    </row>
    <row r="356" spans="2:10" x14ac:dyDescent="0.3">
      <c r="B356" s="127">
        <v>326</v>
      </c>
      <c r="C356" s="206">
        <f>$D$7+0.053482*$E$7</f>
        <v>0.13808707943997797</v>
      </c>
      <c r="D356" s="206">
        <f>MIN($D$8+-2.084402*$E$8,'Debt &amp; Cost of Capital'!$C$38)</f>
        <v>4.2493587999999999E-2</v>
      </c>
      <c r="E356" s="207">
        <f>$D$9+0.61427*$E$9</f>
        <v>0.18564919770254634</v>
      </c>
      <c r="F356" s="207">
        <f>$D$10+0.753855*$E$10</f>
        <v>0.15404625999999991</v>
      </c>
      <c r="G356" s="208">
        <f>$F356*(1-'Sensitivity &amp; Scenarios'!$C$12)+'Sensitivity &amp; Scenarios'!$C$9*'Sensitivity &amp; Scenarios'!$C$12-'Sensitivity &amp; Scenarios'!$C$10</f>
        <v>8.4468234446464632E-2</v>
      </c>
      <c r="H356" s="209">
        <f>('Sensitivity &amp; Scenarios'!$C$6*(1+$E356)^1*$G356+'Sensitivity &amp; Scenarios'!$C$11*'Sensitivity &amp; Scenarios'!$C$6*((1+$E356)^1-(1+$E356)^0))*'Sensitivity &amp; Scenarios'!$C$18/(1+$C356)^'Sensitivity &amp; Scenarios'!$C$18+('Sensitivity &amp; Scenarios'!$C$6*(1+$E356)^2*$G356+'Sensitivity &amp; Scenarios'!$C$11*'Sensitivity &amp; Scenarios'!$C$6*((1+$E356)^2-(1+$E356)^1))/(1+$C356)^('Sensitivity &amp; Scenarios'!$C$18+1)+('Sensitivity &amp; Scenarios'!$C$6*(1+$E356)^3*$G356+'Sensitivity &amp; Scenarios'!$C$11*'Sensitivity &amp; Scenarios'!$C$6*((1+$E356)^3-(1+$E356)^2))/(1+$C356)^('Sensitivity &amp; Scenarios'!$C$18+2)+('Sensitivity &amp; Scenarios'!$C$6*(1+$E356)^4*$G356+'Sensitivity &amp; Scenarios'!$C$11*'Sensitivity &amp; Scenarios'!$C$6*((1+$E356)^4-(1+$E356)^3))/(1+$C356)^('Sensitivity &amp; Scenarios'!$C$18+3)+('Sensitivity &amp; Scenarios'!$C$6*(1+$E356)^5*$G356+'Sensitivity &amp; Scenarios'!$C$11*'Sensitivity &amp; Scenarios'!$C$6*((1+$E356)^5-(1+$E356)^4))/(1+$C356)^('Sensitivity &amp; Scenarios'!$C$18+4)</f>
        <v>26617.46217413828</v>
      </c>
      <c r="I356" s="209">
        <f>('Sensitivity &amp; Scenarios'!$C$6*(1+$E356)^5*$G356+'Sensitivity &amp; Scenarios'!$C$11*'Sensitivity &amp; Scenarios'!$C$6*((1+$E356)^5-(1+$E356)^4))*(1+$D356)/($C356-$D356)/(1+$C356)^('Sensitivity &amp; Scenarios'!$C$18+4)</f>
        <v>67459.734920262708</v>
      </c>
      <c r="J356" s="209">
        <f>($H356+$I356-'Sensitivity &amp; Scenarios'!$C$15+'Sensitivity &amp; Scenarios'!$C$16)/'Sensitivity &amp; Scenarios'!$C$17</f>
        <v>2266.7710430076036</v>
      </c>
    </row>
    <row r="357" spans="2:10" x14ac:dyDescent="0.3">
      <c r="B357" s="127">
        <v>327</v>
      </c>
      <c r="C357" s="206">
        <f>$D$7+-0.251103*$E$7</f>
        <v>0.13504122943997798</v>
      </c>
      <c r="D357" s="206">
        <f>MIN($D$8+-2.480709*$E$8,'Debt &amp; Cost of Capital'!$C$38)</f>
        <v>4.0115746000000001E-2</v>
      </c>
      <c r="E357" s="207">
        <f>$D$9+-0.996419*$E$9</f>
        <v>0.13732852770254633</v>
      </c>
      <c r="F357" s="207">
        <f>$D$10+1.232902*$E$10</f>
        <v>0.15979482399999992</v>
      </c>
      <c r="G357" s="208">
        <f>$F357*(1-'Sensitivity &amp; Scenarios'!$C$12)+'Sensitivity &amp; Scenarios'!$C$9*'Sensitivity &amp; Scenarios'!$C$12-'Sensitivity &amp; Scenarios'!$C$10</f>
        <v>8.8769884887664643E-2</v>
      </c>
      <c r="H357" s="209">
        <f>('Sensitivity &amp; Scenarios'!$C$6*(1+$E357)^1*$G357+'Sensitivity &amp; Scenarios'!$C$11*'Sensitivity &amp; Scenarios'!$C$6*((1+$E357)^1-(1+$E357)^0))*'Sensitivity &amp; Scenarios'!$C$18/(1+$C357)^'Sensitivity &amp; Scenarios'!$C$18+('Sensitivity &amp; Scenarios'!$C$6*(1+$E357)^2*$G357+'Sensitivity &amp; Scenarios'!$C$11*'Sensitivity &amp; Scenarios'!$C$6*((1+$E357)^2-(1+$E357)^1))/(1+$C357)^('Sensitivity &amp; Scenarios'!$C$18+1)+('Sensitivity &amp; Scenarios'!$C$6*(1+$E357)^3*$G357+'Sensitivity &amp; Scenarios'!$C$11*'Sensitivity &amp; Scenarios'!$C$6*((1+$E357)^3-(1+$E357)^2))/(1+$C357)^('Sensitivity &amp; Scenarios'!$C$18+2)+('Sensitivity &amp; Scenarios'!$C$6*(1+$E357)^4*$G357+'Sensitivity &amp; Scenarios'!$C$11*'Sensitivity &amp; Scenarios'!$C$6*((1+$E357)^4-(1+$E357)^3))/(1+$C357)^('Sensitivity &amp; Scenarios'!$C$18+3)+('Sensitivity &amp; Scenarios'!$C$6*(1+$E357)^5*$G357+'Sensitivity &amp; Scenarios'!$C$11*'Sensitivity &amp; Scenarios'!$C$6*((1+$E357)^5-(1+$E357)^4))/(1+$C357)^('Sensitivity &amp; Scenarios'!$C$18+4)</f>
        <v>23562.263233519305</v>
      </c>
      <c r="I357" s="209">
        <f>('Sensitivity &amp; Scenarios'!$C$6*(1+$E357)^5*$G357+'Sensitivity &amp; Scenarios'!$C$11*'Sensitivity &amp; Scenarios'!$C$6*((1+$E357)^5-(1+$E357)^4))*(1+$D357)/($C357-$D357)/(1+$C357)^('Sensitivity &amp; Scenarios'!$C$18+4)</f>
        <v>55933.699242101473</v>
      </c>
      <c r="J357" s="209">
        <f>($H357+$I357-'Sensitivity &amp; Scenarios'!$C$15+'Sensitivity &amp; Scenarios'!$C$16)/'Sensitivity &amp; Scenarios'!$C$17</f>
        <v>1959.853896910568</v>
      </c>
    </row>
    <row r="358" spans="2:10" x14ac:dyDescent="0.3">
      <c r="B358" s="127">
        <v>328</v>
      </c>
      <c r="C358" s="206">
        <f>$D$7+-2.777994*$E$7</f>
        <v>0.10977231943997798</v>
      </c>
      <c r="D358" s="206">
        <f>MIN($D$8+-0.347523*$E$8,'Debt &amp; Cost of Capital'!$C$38)</f>
        <v>5.2914862E-2</v>
      </c>
      <c r="E358" s="207">
        <f>$D$9+-1.180001*$E$9</f>
        <v>0.13182106770254634</v>
      </c>
      <c r="F358" s="207">
        <f>$D$10+0.80457*$E$10</f>
        <v>0.1546548399999999</v>
      </c>
      <c r="G358" s="208">
        <f>$F358*(1-'Sensitivity &amp; Scenarios'!$C$12)+'Sensitivity &amp; Scenarios'!$C$9*'Sensitivity &amp; Scenarios'!$C$12-'Sensitivity &amp; Scenarios'!$C$10</f>
        <v>8.4923634860464628E-2</v>
      </c>
      <c r="H358" s="209">
        <f>('Sensitivity &amp; Scenarios'!$C$6*(1+$E358)^1*$G358+'Sensitivity &amp; Scenarios'!$C$11*'Sensitivity &amp; Scenarios'!$C$6*((1+$E358)^1-(1+$E358)^0))*'Sensitivity &amp; Scenarios'!$C$18/(1+$C358)^'Sensitivity &amp; Scenarios'!$C$18+('Sensitivity &amp; Scenarios'!$C$6*(1+$E358)^2*$G358+'Sensitivity &amp; Scenarios'!$C$11*'Sensitivity &amp; Scenarios'!$C$6*((1+$E358)^2-(1+$E358)^1))/(1+$C358)^('Sensitivity &amp; Scenarios'!$C$18+1)+('Sensitivity &amp; Scenarios'!$C$6*(1+$E358)^3*$G358+'Sensitivity &amp; Scenarios'!$C$11*'Sensitivity &amp; Scenarios'!$C$6*((1+$E358)^3-(1+$E358)^2))/(1+$C358)^('Sensitivity &amp; Scenarios'!$C$18+2)+('Sensitivity &amp; Scenarios'!$C$6*(1+$E358)^4*$G358+'Sensitivity &amp; Scenarios'!$C$11*'Sensitivity &amp; Scenarios'!$C$6*((1+$E358)^4-(1+$E358)^3))/(1+$C358)^('Sensitivity &amp; Scenarios'!$C$18+3)+('Sensitivity &amp; Scenarios'!$C$6*(1+$E358)^5*$G358+'Sensitivity &amp; Scenarios'!$C$11*'Sensitivity &amp; Scenarios'!$C$6*((1+$E358)^5-(1+$E358)^4))/(1+$C358)^('Sensitivity &amp; Scenarios'!$C$18+4)</f>
        <v>23671.822804273877</v>
      </c>
      <c r="I358" s="209">
        <f>('Sensitivity &amp; Scenarios'!$C$6*(1+$E358)^5*$G358+'Sensitivity &amp; Scenarios'!$C$11*'Sensitivity &amp; Scenarios'!$C$6*((1+$E358)^5-(1+$E358)^4))*(1+$D358)/($C358-$D358)/(1+$C358)^('Sensitivity &amp; Scenarios'!$C$18+4)</f>
        <v>98077.175137231985</v>
      </c>
      <c r="J358" s="209">
        <f>($H358+$I358-'Sensitivity &amp; Scenarios'!$C$15+'Sensitivity &amp; Scenarios'!$C$16)/'Sensitivity &amp; Scenarios'!$C$17</f>
        <v>2849.2285896696858</v>
      </c>
    </row>
    <row r="359" spans="2:10" x14ac:dyDescent="0.3">
      <c r="B359" s="127">
        <v>329</v>
      </c>
      <c r="C359" s="206">
        <f>$D$7+-0.675114*$E$7</f>
        <v>0.13080111943997799</v>
      </c>
      <c r="D359" s="206">
        <f>MIN($D$8+0.403954*$E$8,'Debt &amp; Cost of Capital'!$C$38)</f>
        <v>5.7423724000000002E-2</v>
      </c>
      <c r="E359" s="207">
        <f>$D$9+0.56546*$E$9</f>
        <v>0.18418489770254634</v>
      </c>
      <c r="F359" s="207">
        <f>$D$10+1.836226*$E$10</f>
        <v>0.16703471199999992</v>
      </c>
      <c r="G359" s="208">
        <f>$F359*(1-'Sensitivity &amp; Scenarios'!$C$12)+'Sensitivity &amp; Scenarios'!$C$9*'Sensitivity &amp; Scenarios'!$C$12-'Sensitivity &amp; Scenarios'!$C$10</f>
        <v>9.4187493078064649E-2</v>
      </c>
      <c r="H359" s="209">
        <f>('Sensitivity &amp; Scenarios'!$C$6*(1+$E359)^1*$G359+'Sensitivity &amp; Scenarios'!$C$11*'Sensitivity &amp; Scenarios'!$C$6*((1+$E359)^1-(1+$E359)^0))*'Sensitivity &amp; Scenarios'!$C$18/(1+$C359)^'Sensitivity &amp; Scenarios'!$C$18+('Sensitivity &amp; Scenarios'!$C$6*(1+$E359)^2*$G359+'Sensitivity &amp; Scenarios'!$C$11*'Sensitivity &amp; Scenarios'!$C$6*((1+$E359)^2-(1+$E359)^1))/(1+$C359)^('Sensitivity &amp; Scenarios'!$C$18+1)+('Sensitivity &amp; Scenarios'!$C$6*(1+$E359)^3*$G359+'Sensitivity &amp; Scenarios'!$C$11*'Sensitivity &amp; Scenarios'!$C$6*((1+$E359)^3-(1+$E359)^2))/(1+$C359)^('Sensitivity &amp; Scenarios'!$C$18+2)+('Sensitivity &amp; Scenarios'!$C$6*(1+$E359)^4*$G359+'Sensitivity &amp; Scenarios'!$C$11*'Sensitivity &amp; Scenarios'!$C$6*((1+$E359)^4-(1+$E359)^3))/(1+$C359)^('Sensitivity &amp; Scenarios'!$C$18+3)+('Sensitivity &amp; Scenarios'!$C$6*(1+$E359)^5*$G359+'Sensitivity &amp; Scenarios'!$C$11*'Sensitivity &amp; Scenarios'!$C$6*((1+$E359)^5-(1+$E359)^4))/(1+$C359)^('Sensitivity &amp; Scenarios'!$C$18+4)</f>
        <v>29554.913709157583</v>
      </c>
      <c r="I359" s="209">
        <f>('Sensitivity &amp; Scenarios'!$C$6*(1+$E359)^5*$G359+'Sensitivity &amp; Scenarios'!$C$11*'Sensitivity &amp; Scenarios'!$C$6*((1+$E359)^5-(1+$E359)^4))*(1+$D359)/($C359-$D359)/(1+$C359)^('Sensitivity &amp; Scenarios'!$C$18+4)</f>
        <v>99889.537672422768</v>
      </c>
      <c r="J359" s="209">
        <f>($H359+$I359-'Sensitivity &amp; Scenarios'!$C$15+'Sensitivity &amp; Scenarios'!$C$16)/'Sensitivity &amp; Scenarios'!$C$17</f>
        <v>3011.2084678830338</v>
      </c>
    </row>
    <row r="360" spans="2:10" x14ac:dyDescent="0.3">
      <c r="B360" s="127">
        <v>330</v>
      </c>
      <c r="C360" s="206">
        <f>$D$7+-0.202942*$E$7</f>
        <v>0.13552283943997798</v>
      </c>
      <c r="D360" s="206">
        <f>MIN($D$8+0.376044*$E$8,'Debt &amp; Cost of Capital'!$C$38)</f>
        <v>5.7256264000000001E-2</v>
      </c>
      <c r="E360" s="207">
        <f>$D$9+-1.485055*$E$9</f>
        <v>0.12266944770254634</v>
      </c>
      <c r="F360" s="207">
        <f>$D$10+1.190414*$E$10</f>
        <v>0.15928496799999992</v>
      </c>
      <c r="G360" s="208">
        <f>$F360*(1-'Sensitivity &amp; Scenarios'!$C$12)+'Sensitivity &amp; Scenarios'!$C$9*'Sensitivity &amp; Scenarios'!$C$12-'Sensitivity &amp; Scenarios'!$C$10</f>
        <v>8.8388359642864636E-2</v>
      </c>
      <c r="H360" s="209">
        <f>('Sensitivity &amp; Scenarios'!$C$6*(1+$E360)^1*$G360+'Sensitivity &amp; Scenarios'!$C$11*'Sensitivity &amp; Scenarios'!$C$6*((1+$E360)^1-(1+$E360)^0))*'Sensitivity &amp; Scenarios'!$C$18/(1+$C360)^'Sensitivity &amp; Scenarios'!$C$18+('Sensitivity &amp; Scenarios'!$C$6*(1+$E360)^2*$G360+'Sensitivity &amp; Scenarios'!$C$11*'Sensitivity &amp; Scenarios'!$C$6*((1+$E360)^2-(1+$E360)^1))/(1+$C360)^('Sensitivity &amp; Scenarios'!$C$18+1)+('Sensitivity &amp; Scenarios'!$C$6*(1+$E360)^3*$G360+'Sensitivity &amp; Scenarios'!$C$11*'Sensitivity &amp; Scenarios'!$C$6*((1+$E360)^3-(1+$E360)^2))/(1+$C360)^('Sensitivity &amp; Scenarios'!$C$18+2)+('Sensitivity &amp; Scenarios'!$C$6*(1+$E360)^4*$G360+'Sensitivity &amp; Scenarios'!$C$11*'Sensitivity &amp; Scenarios'!$C$6*((1+$E360)^4-(1+$E360)^3))/(1+$C360)^('Sensitivity &amp; Scenarios'!$C$18+3)+('Sensitivity &amp; Scenarios'!$C$6*(1+$E360)^5*$G360+'Sensitivity &amp; Scenarios'!$C$11*'Sensitivity &amp; Scenarios'!$C$6*((1+$E360)^5-(1+$E360)^4))/(1+$C360)^('Sensitivity &amp; Scenarios'!$C$18+4)</f>
        <v>22228.098949165331</v>
      </c>
      <c r="I360" s="209">
        <f>('Sensitivity &amp; Scenarios'!$C$6*(1+$E360)^5*$G360+'Sensitivity &amp; Scenarios'!$C$11*'Sensitivity &amp; Scenarios'!$C$6*((1+$E360)^5-(1+$E360)^4))*(1+$D360)/($C360-$D360)/(1+$C360)^('Sensitivity &amp; Scenarios'!$C$18+4)</f>
        <v>63459.987978034325</v>
      </c>
      <c r="J360" s="209">
        <f>($H360+$I360-'Sensitivity &amp; Scenarios'!$C$15+'Sensitivity &amp; Scenarios'!$C$16)/'Sensitivity &amp; Scenarios'!$C$17</f>
        <v>2090.190539495587</v>
      </c>
    </row>
    <row r="361" spans="2:10" x14ac:dyDescent="0.3">
      <c r="B361" s="127">
        <v>331</v>
      </c>
      <c r="C361" s="206">
        <f>$D$7+-0.760509*$E$7</f>
        <v>0.12994716943997797</v>
      </c>
      <c r="D361" s="206">
        <f>MIN($D$8+-0.560754*$E$8,'Debt &amp; Cost of Capital'!$C$38)</f>
        <v>5.1635476E-2</v>
      </c>
      <c r="E361" s="207">
        <f>$D$9+-0.022248*$E$9</f>
        <v>0.16655365770254635</v>
      </c>
      <c r="F361" s="207">
        <f>$D$10+-1.562884*$E$10</f>
        <v>0.1262453919999999</v>
      </c>
      <c r="G361" s="208">
        <f>$F361*(1-'Sensitivity &amp; Scenarios'!$C$12)+'Sensitivity &amp; Scenarios'!$C$9*'Sensitivity &amp; Scenarios'!$C$12-'Sensitivity &amp; Scenarios'!$C$10</f>
        <v>6.3664844922064631E-2</v>
      </c>
      <c r="H361" s="209">
        <f>('Sensitivity &amp; Scenarios'!$C$6*(1+$E361)^1*$G361+'Sensitivity &amp; Scenarios'!$C$11*'Sensitivity &amp; Scenarios'!$C$6*((1+$E361)^1-(1+$E361)^0))*'Sensitivity &amp; Scenarios'!$C$18/(1+$C361)^'Sensitivity &amp; Scenarios'!$C$18+('Sensitivity &amp; Scenarios'!$C$6*(1+$E361)^2*$G361+'Sensitivity &amp; Scenarios'!$C$11*'Sensitivity &amp; Scenarios'!$C$6*((1+$E361)^2-(1+$E361)^1))/(1+$C361)^('Sensitivity &amp; Scenarios'!$C$18+1)+('Sensitivity &amp; Scenarios'!$C$6*(1+$E361)^3*$G361+'Sensitivity &amp; Scenarios'!$C$11*'Sensitivity &amp; Scenarios'!$C$6*((1+$E361)^3-(1+$E361)^2))/(1+$C361)^('Sensitivity &amp; Scenarios'!$C$18+2)+('Sensitivity &amp; Scenarios'!$C$6*(1+$E361)^4*$G361+'Sensitivity &amp; Scenarios'!$C$11*'Sensitivity &amp; Scenarios'!$C$6*((1+$E361)^4-(1+$E361)^3))/(1+$C361)^('Sensitivity &amp; Scenarios'!$C$18+3)+('Sensitivity &amp; Scenarios'!$C$6*(1+$E361)^5*$G361+'Sensitivity &amp; Scenarios'!$C$11*'Sensitivity &amp; Scenarios'!$C$6*((1+$E361)^5-(1+$E361)^4))/(1+$C361)^('Sensitivity &amp; Scenarios'!$C$18+4)</f>
        <v>20123.621520362467</v>
      </c>
      <c r="I361" s="209">
        <f>('Sensitivity &amp; Scenarios'!$C$6*(1+$E361)^5*$G361+'Sensitivity &amp; Scenarios'!$C$11*'Sensitivity &amp; Scenarios'!$C$6*((1+$E361)^5-(1+$E361)^4))*(1+$D361)/($C361-$D361)/(1+$C361)^('Sensitivity &amp; Scenarios'!$C$18+4)</f>
        <v>61800.553098410681</v>
      </c>
      <c r="J361" s="209">
        <f>($H361+$I361-'Sensitivity &amp; Scenarios'!$C$15+'Sensitivity &amp; Scenarios'!$C$16)/'Sensitivity &amp; Scenarios'!$C$17</f>
        <v>2010.9647911920863</v>
      </c>
    </row>
    <row r="362" spans="2:10" x14ac:dyDescent="0.3">
      <c r="B362" s="127">
        <v>332</v>
      </c>
      <c r="C362" s="206">
        <f>$D$7+0.22877*$E$7</f>
        <v>0.13983995943997798</v>
      </c>
      <c r="D362" s="206">
        <f>MIN($D$8+0.967466*$E$8,'Debt &amp; Cost of Capital'!$C$38)</f>
        <v>6.0804796000000001E-2</v>
      </c>
      <c r="E362" s="207">
        <f>$D$9+0.292934*$E$9</f>
        <v>0.17600911770254635</v>
      </c>
      <c r="F362" s="207">
        <f>$D$10+-1.588898*$E$10</f>
        <v>0.1259332239999999</v>
      </c>
      <c r="G362" s="208">
        <f>$F362*(1-'Sensitivity &amp; Scenarios'!$C$12)+'Sensitivity &amp; Scenarios'!$C$9*'Sensitivity &amp; Scenarios'!$C$12-'Sensitivity &amp; Scenarios'!$C$10</f>
        <v>6.3431249607664636E-2</v>
      </c>
      <c r="H362" s="209">
        <f>('Sensitivity &amp; Scenarios'!$C$6*(1+$E362)^1*$G362+'Sensitivity &amp; Scenarios'!$C$11*'Sensitivity &amp; Scenarios'!$C$6*((1+$E362)^1-(1+$E362)^0))*'Sensitivity &amp; Scenarios'!$C$18/(1+$C362)^'Sensitivity &amp; Scenarios'!$C$18+('Sensitivity &amp; Scenarios'!$C$6*(1+$E362)^2*$G362+'Sensitivity &amp; Scenarios'!$C$11*'Sensitivity &amp; Scenarios'!$C$6*((1+$E362)^2-(1+$E362)^1))/(1+$C362)^('Sensitivity &amp; Scenarios'!$C$18+1)+('Sensitivity &amp; Scenarios'!$C$6*(1+$E362)^3*$G362+'Sensitivity &amp; Scenarios'!$C$11*'Sensitivity &amp; Scenarios'!$C$6*((1+$E362)^3-(1+$E362)^2))/(1+$C362)^('Sensitivity &amp; Scenarios'!$C$18+2)+('Sensitivity &amp; Scenarios'!$C$6*(1+$E362)^4*$G362+'Sensitivity &amp; Scenarios'!$C$11*'Sensitivity &amp; Scenarios'!$C$6*((1+$E362)^4-(1+$E362)^3))/(1+$C362)^('Sensitivity &amp; Scenarios'!$C$18+3)+('Sensitivity &amp; Scenarios'!$C$6*(1+$E362)^5*$G362+'Sensitivity &amp; Scenarios'!$C$11*'Sensitivity &amp; Scenarios'!$C$6*((1+$E362)^5-(1+$E362)^4))/(1+$C362)^('Sensitivity &amp; Scenarios'!$C$18+4)</f>
        <v>20279.496537140836</v>
      </c>
      <c r="I362" s="209">
        <f>('Sensitivity &amp; Scenarios'!$C$6*(1+$E362)^5*$G362+'Sensitivity &amp; Scenarios'!$C$11*'Sensitivity &amp; Scenarios'!$C$6*((1+$E362)^5-(1+$E362)^4))*(1+$D362)/($C362-$D362)/(1+$C362)^('Sensitivity &amp; Scenarios'!$C$18+4)</f>
        <v>62175.701712832633</v>
      </c>
      <c r="J362" s="209">
        <f>($H362+$I362-'Sensitivity &amp; Scenarios'!$C$15+'Sensitivity &amp; Scenarios'!$C$16)/'Sensitivity &amp; Scenarios'!$C$17</f>
        <v>2022.1421888308419</v>
      </c>
    </row>
    <row r="363" spans="2:10" x14ac:dyDescent="0.3">
      <c r="B363" s="127">
        <v>333</v>
      </c>
      <c r="C363" s="206">
        <f>$D$7+-0.123809*$E$7</f>
        <v>0.13631416943997798</v>
      </c>
      <c r="D363" s="206">
        <f>MIN($D$8+0.742029*$E$8,'Debt &amp; Cost of Capital'!$C$38)</f>
        <v>5.9452174000000003E-2</v>
      </c>
      <c r="E363" s="207">
        <f>$D$9+-1.877989*$E$9</f>
        <v>0.11088142770254635</v>
      </c>
      <c r="F363" s="207">
        <f>$D$10+-1.074766*$E$10</f>
        <v>0.1321028079999999</v>
      </c>
      <c r="G363" s="208">
        <f>$F363*(1-'Sensitivity &amp; Scenarios'!$C$12)+'Sensitivity &amp; Scenarios'!$C$9*'Sensitivity &amp; Scenarios'!$C$12-'Sensitivity &amp; Scenarios'!$C$10</f>
        <v>6.8047949314864631E-2</v>
      </c>
      <c r="H363" s="209">
        <f>('Sensitivity &amp; Scenarios'!$C$6*(1+$E363)^1*$G363+'Sensitivity &amp; Scenarios'!$C$11*'Sensitivity &amp; Scenarios'!$C$6*((1+$E363)^1-(1+$E363)^0))*'Sensitivity &amp; Scenarios'!$C$18/(1+$C363)^'Sensitivity &amp; Scenarios'!$C$18+('Sensitivity &amp; Scenarios'!$C$6*(1+$E363)^2*$G363+'Sensitivity &amp; Scenarios'!$C$11*'Sensitivity &amp; Scenarios'!$C$6*((1+$E363)^2-(1+$E363)^1))/(1+$C363)^('Sensitivity &amp; Scenarios'!$C$18+1)+('Sensitivity &amp; Scenarios'!$C$6*(1+$E363)^3*$G363+'Sensitivity &amp; Scenarios'!$C$11*'Sensitivity &amp; Scenarios'!$C$6*((1+$E363)^3-(1+$E363)^2))/(1+$C363)^('Sensitivity &amp; Scenarios'!$C$18+2)+('Sensitivity &amp; Scenarios'!$C$6*(1+$E363)^4*$G363+'Sensitivity &amp; Scenarios'!$C$11*'Sensitivity &amp; Scenarios'!$C$6*((1+$E363)^4-(1+$E363)^3))/(1+$C363)^('Sensitivity &amp; Scenarios'!$C$18+3)+('Sensitivity &amp; Scenarios'!$C$6*(1+$E363)^5*$G363+'Sensitivity &amp; Scenarios'!$C$11*'Sensitivity &amp; Scenarios'!$C$6*((1+$E363)^5-(1+$E363)^4))/(1+$C363)^('Sensitivity &amp; Scenarios'!$C$18+4)</f>
        <v>16894.344309610718</v>
      </c>
      <c r="I363" s="209">
        <f>('Sensitivity &amp; Scenarios'!$C$6*(1+$E363)^5*$G363+'Sensitivity &amp; Scenarios'!$C$11*'Sensitivity &amp; Scenarios'!$C$6*((1+$E363)^5-(1+$E363)^4))*(1+$D363)/($C363-$D363)/(1+$C363)^('Sensitivity &amp; Scenarios'!$C$18+4)</f>
        <v>48189.744232212979</v>
      </c>
      <c r="J363" s="209">
        <f>($H363+$I363-'Sensitivity &amp; Scenarios'!$C$15+'Sensitivity &amp; Scenarios'!$C$16)/'Sensitivity &amp; Scenarios'!$C$17</f>
        <v>1656.5015859907353</v>
      </c>
    </row>
    <row r="364" spans="2:10" x14ac:dyDescent="0.3">
      <c r="B364" s="127">
        <v>334</v>
      </c>
      <c r="C364" s="206">
        <f>$D$7+0.876544*$E$7</f>
        <v>0.14631769943997797</v>
      </c>
      <c r="D364" s="206">
        <f>MIN($D$8+0.270095*$E$8,'Debt &amp; Cost of Capital'!$C$38)</f>
        <v>5.6620570000000002E-2</v>
      </c>
      <c r="E364" s="207">
        <f>$D$9+0.411972*$E$9</f>
        <v>0.17958025770254635</v>
      </c>
      <c r="F364" s="207">
        <f>$D$10+1.859495*$E$10</f>
        <v>0.16731393999999991</v>
      </c>
      <c r="G364" s="208">
        <f>$F364*(1-'Sensitivity &amp; Scenarios'!$C$12)+'Sensitivity &amp; Scenarios'!$C$9*'Sensitivity &amp; Scenarios'!$C$12-'Sensitivity &amp; Scenarios'!$C$10</f>
        <v>9.4396439390464632E-2</v>
      </c>
      <c r="H364" s="209">
        <f>('Sensitivity &amp; Scenarios'!$C$6*(1+$E364)^1*$G364+'Sensitivity &amp; Scenarios'!$C$11*'Sensitivity &amp; Scenarios'!$C$6*((1+$E364)^1-(1+$E364)^0))*'Sensitivity &amp; Scenarios'!$C$18/(1+$C364)^'Sensitivity &amp; Scenarios'!$C$18+('Sensitivity &amp; Scenarios'!$C$6*(1+$E364)^2*$G364+'Sensitivity &amp; Scenarios'!$C$11*'Sensitivity &amp; Scenarios'!$C$6*((1+$E364)^2-(1+$E364)^1))/(1+$C364)^('Sensitivity &amp; Scenarios'!$C$18+1)+('Sensitivity &amp; Scenarios'!$C$6*(1+$E364)^3*$G364+'Sensitivity &amp; Scenarios'!$C$11*'Sensitivity &amp; Scenarios'!$C$6*((1+$E364)^3-(1+$E364)^2))/(1+$C364)^('Sensitivity &amp; Scenarios'!$C$18+2)+('Sensitivity &amp; Scenarios'!$C$6*(1+$E364)^4*$G364+'Sensitivity &amp; Scenarios'!$C$11*'Sensitivity &amp; Scenarios'!$C$6*((1+$E364)^4-(1+$E364)^3))/(1+$C364)^('Sensitivity &amp; Scenarios'!$C$18+3)+('Sensitivity &amp; Scenarios'!$C$6*(1+$E364)^5*$G364+'Sensitivity &amp; Scenarios'!$C$11*'Sensitivity &amp; Scenarios'!$C$6*((1+$E364)^5-(1+$E364)^4))/(1+$C364)^('Sensitivity &amp; Scenarios'!$C$18+4)</f>
        <v>28031.670586281354</v>
      </c>
      <c r="I364" s="209">
        <f>('Sensitivity &amp; Scenarios'!$C$6*(1+$E364)^5*$G364+'Sensitivity &amp; Scenarios'!$C$11*'Sensitivity &amp; Scenarios'!$C$6*((1+$E364)^5-(1+$E364)^4))*(1+$D364)/($C364-$D364)/(1+$C364)^('Sensitivity &amp; Scenarios'!$C$18+4)</f>
        <v>75074.541385178978</v>
      </c>
      <c r="J364" s="209">
        <f>($H364+$I364-'Sensitivity &amp; Scenarios'!$C$15+'Sensitivity &amp; Scenarios'!$C$16)/'Sensitivity &amp; Scenarios'!$C$17</f>
        <v>2456.8207576295426</v>
      </c>
    </row>
    <row r="365" spans="2:10" x14ac:dyDescent="0.3">
      <c r="B365" s="127">
        <v>335</v>
      </c>
      <c r="C365" s="206">
        <f>$D$7+0.468553*$E$7</f>
        <v>0.14223778943997797</v>
      </c>
      <c r="D365" s="206">
        <f>MIN($D$8+0.657888*$E$8,'Debt &amp; Cost of Capital'!$C$38)</f>
        <v>5.8947328E-2</v>
      </c>
      <c r="E365" s="207">
        <f>$D$9+2.710746*$E$9</f>
        <v>0.24854347770254634</v>
      </c>
      <c r="F365" s="207">
        <f>$D$10+-0.213805*$E$10</f>
        <v>0.14243433999999991</v>
      </c>
      <c r="G365" s="208">
        <f>$F365*(1-'Sensitivity &amp; Scenarios'!$C$12)+'Sensitivity &amp; Scenarios'!$C$9*'Sensitivity &amp; Scenarios'!$C$12-'Sensitivity &amp; Scenarios'!$C$10</f>
        <v>7.5779034710464641E-2</v>
      </c>
      <c r="H365" s="209">
        <f>('Sensitivity &amp; Scenarios'!$C$6*(1+$E365)^1*$G365+'Sensitivity &amp; Scenarios'!$C$11*'Sensitivity &amp; Scenarios'!$C$6*((1+$E365)^1-(1+$E365)^0))*'Sensitivity &amp; Scenarios'!$C$18/(1+$C365)^'Sensitivity &amp; Scenarios'!$C$18+('Sensitivity &amp; Scenarios'!$C$6*(1+$E365)^2*$G365+'Sensitivity &amp; Scenarios'!$C$11*'Sensitivity &amp; Scenarios'!$C$6*((1+$E365)^2-(1+$E365)^1))/(1+$C365)^('Sensitivity &amp; Scenarios'!$C$18+1)+('Sensitivity &amp; Scenarios'!$C$6*(1+$E365)^3*$G365+'Sensitivity &amp; Scenarios'!$C$11*'Sensitivity &amp; Scenarios'!$C$6*((1+$E365)^3-(1+$E365)^2))/(1+$C365)^('Sensitivity &amp; Scenarios'!$C$18+2)+('Sensitivity &amp; Scenarios'!$C$6*(1+$E365)^4*$G365+'Sensitivity &amp; Scenarios'!$C$11*'Sensitivity &amp; Scenarios'!$C$6*((1+$E365)^4-(1+$E365)^3))/(1+$C365)^('Sensitivity &amp; Scenarios'!$C$18+3)+('Sensitivity &amp; Scenarios'!$C$6*(1+$E365)^5*$G365+'Sensitivity &amp; Scenarios'!$C$11*'Sensitivity &amp; Scenarios'!$C$6*((1+$E365)^5-(1+$E365)^4))/(1+$C365)^('Sensitivity &amp; Scenarios'!$C$18+4)</f>
        <v>29964.235137830728</v>
      </c>
      <c r="I365" s="209">
        <f>('Sensitivity &amp; Scenarios'!$C$6*(1+$E365)^5*$G365+'Sensitivity &amp; Scenarios'!$C$11*'Sensitivity &amp; Scenarios'!$C$6*((1+$E365)^5-(1+$E365)^4))*(1+$D365)/($C365-$D365)/(1+$C365)^('Sensitivity &amp; Scenarios'!$C$18+4)</f>
        <v>96181.982921859817</v>
      </c>
      <c r="J365" s="209">
        <f>($H365+$I365-'Sensitivity &amp; Scenarios'!$C$15+'Sensitivity &amp; Scenarios'!$C$16)/'Sensitivity &amp; Scenarios'!$C$17</f>
        <v>2941.7846924084411</v>
      </c>
    </row>
    <row r="366" spans="2:10" x14ac:dyDescent="0.3">
      <c r="B366" s="127">
        <v>336</v>
      </c>
      <c r="C366" s="206">
        <f>$D$7+-0.797883*$E$7</f>
        <v>0.12957342943997799</v>
      </c>
      <c r="D366" s="206">
        <f>MIN($D$8+0.427796*$E$8,'Debt &amp; Cost of Capital'!$C$38)</f>
        <v>5.7566776E-2</v>
      </c>
      <c r="E366" s="207">
        <f>$D$9+0.438991*$E$9</f>
        <v>0.18039082770254633</v>
      </c>
      <c r="F366" s="207">
        <f>$D$10+-0.526715*$E$10</f>
        <v>0.13867941999999991</v>
      </c>
      <c r="G366" s="208">
        <f>$F366*(1-'Sensitivity &amp; Scenarios'!$C$12)+'Sensitivity &amp; Scenarios'!$C$9*'Sensitivity &amp; Scenarios'!$C$12-'Sensitivity &amp; Scenarios'!$C$10</f>
        <v>7.296922807446464E-2</v>
      </c>
      <c r="H366" s="209">
        <f>('Sensitivity &amp; Scenarios'!$C$6*(1+$E366)^1*$G366+'Sensitivity &amp; Scenarios'!$C$11*'Sensitivity &amp; Scenarios'!$C$6*((1+$E366)^1-(1+$E366)^0))*'Sensitivity &amp; Scenarios'!$C$18/(1+$C366)^'Sensitivity &amp; Scenarios'!$C$18+('Sensitivity &amp; Scenarios'!$C$6*(1+$E366)^2*$G366+'Sensitivity &amp; Scenarios'!$C$11*'Sensitivity &amp; Scenarios'!$C$6*((1+$E366)^2-(1+$E366)^1))/(1+$C366)^('Sensitivity &amp; Scenarios'!$C$18+1)+('Sensitivity &amp; Scenarios'!$C$6*(1+$E366)^3*$G366+'Sensitivity &amp; Scenarios'!$C$11*'Sensitivity &amp; Scenarios'!$C$6*((1+$E366)^3-(1+$E366)^2))/(1+$C366)^('Sensitivity &amp; Scenarios'!$C$18+2)+('Sensitivity &amp; Scenarios'!$C$6*(1+$E366)^4*$G366+'Sensitivity &amp; Scenarios'!$C$11*'Sensitivity &amp; Scenarios'!$C$6*((1+$E366)^4-(1+$E366)^3))/(1+$C366)^('Sensitivity &amp; Scenarios'!$C$18+3)+('Sensitivity &amp; Scenarios'!$C$6*(1+$E366)^5*$G366+'Sensitivity &amp; Scenarios'!$C$11*'Sensitivity &amp; Scenarios'!$C$6*((1+$E366)^5-(1+$E366)^4))/(1+$C366)^('Sensitivity &amp; Scenarios'!$C$18+4)</f>
        <v>23668.238776624945</v>
      </c>
      <c r="I366" s="209">
        <f>('Sensitivity &amp; Scenarios'!$C$6*(1+$E366)^5*$G366+'Sensitivity &amp; Scenarios'!$C$11*'Sensitivity &amp; Scenarios'!$C$6*((1+$E366)^5-(1+$E366)^4))*(1+$D366)/($C366-$D366)/(1+$C366)^('Sensitivity &amp; Scenarios'!$C$18+4)</f>
        <v>81223.576819324095</v>
      </c>
      <c r="J366" s="209">
        <f>($H366+$I366-'Sensitivity &amp; Scenarios'!$C$15+'Sensitivity &amp; Scenarios'!$C$16)/'Sensitivity &amp; Scenarios'!$C$17</f>
        <v>2494.4055289343505</v>
      </c>
    </row>
    <row r="367" spans="2:10" x14ac:dyDescent="0.3">
      <c r="B367" s="127">
        <v>337</v>
      </c>
      <c r="C367" s="206">
        <f>$D$7+-1.032397*$E$7</f>
        <v>0.12722828943997799</v>
      </c>
      <c r="D367" s="206">
        <f>MIN($D$8+2.309844*$E$8,'Debt &amp; Cost of Capital'!$C$38)</f>
        <v>6.7799999999999999E-2</v>
      </c>
      <c r="E367" s="207">
        <f>$D$9+0.326843*$E$9</f>
        <v>0.17702638770254633</v>
      </c>
      <c r="F367" s="207">
        <f>$D$10+-0.732285*$E$10</f>
        <v>0.13621257999999992</v>
      </c>
      <c r="G367" s="208">
        <f>$F367*(1-'Sensitivity &amp; Scenarios'!$C$12)+'Sensitivity &amp; Scenarios'!$C$9*'Sensitivity &amp; Scenarios'!$C$12-'Sensitivity &amp; Scenarios'!$C$10</f>
        <v>7.1123291702464647E-2</v>
      </c>
      <c r="H367" s="209">
        <f>('Sensitivity &amp; Scenarios'!$C$6*(1+$E367)^1*$G367+'Sensitivity &amp; Scenarios'!$C$11*'Sensitivity &amp; Scenarios'!$C$6*((1+$E367)^1-(1+$E367)^0))*'Sensitivity &amp; Scenarios'!$C$18/(1+$C367)^'Sensitivity &amp; Scenarios'!$C$18+('Sensitivity &amp; Scenarios'!$C$6*(1+$E367)^2*$G367+'Sensitivity &amp; Scenarios'!$C$11*'Sensitivity &amp; Scenarios'!$C$6*((1+$E367)^2-(1+$E367)^1))/(1+$C367)^('Sensitivity &amp; Scenarios'!$C$18+1)+('Sensitivity &amp; Scenarios'!$C$6*(1+$E367)^3*$G367+'Sensitivity &amp; Scenarios'!$C$11*'Sensitivity &amp; Scenarios'!$C$6*((1+$E367)^3-(1+$E367)^2))/(1+$C367)^('Sensitivity &amp; Scenarios'!$C$18+2)+('Sensitivity &amp; Scenarios'!$C$6*(1+$E367)^4*$G367+'Sensitivity &amp; Scenarios'!$C$11*'Sensitivity &amp; Scenarios'!$C$6*((1+$E367)^4-(1+$E367)^3))/(1+$C367)^('Sensitivity &amp; Scenarios'!$C$18+3)+('Sensitivity &amp; Scenarios'!$C$6*(1+$E367)^5*$G367+'Sensitivity &amp; Scenarios'!$C$11*'Sensitivity &amp; Scenarios'!$C$6*((1+$E367)^5-(1+$E367)^4))/(1+$C367)^('Sensitivity &amp; Scenarios'!$C$18+4)</f>
        <v>23035.803643944724</v>
      </c>
      <c r="I367" s="209">
        <f>('Sensitivity &amp; Scenarios'!$C$6*(1+$E367)^5*$G367+'Sensitivity &amp; Scenarios'!$C$11*'Sensitivity &amp; Scenarios'!$C$6*((1+$E367)^5-(1+$E367)^4))*(1+$D367)/($C367-$D367)/(1+$C367)^('Sensitivity &amp; Scenarios'!$C$18+4)</f>
        <v>96579.955347592797</v>
      </c>
      <c r="J367" s="209">
        <f>($H367+$I367-'Sensitivity &amp; Scenarios'!$C$15+'Sensitivity &amp; Scenarios'!$C$16)/'Sensitivity &amp; Scenarios'!$C$17</f>
        <v>2804.3265201546637</v>
      </c>
    </row>
    <row r="368" spans="2:10" x14ac:dyDescent="0.3">
      <c r="B368" s="127">
        <v>338</v>
      </c>
      <c r="C368" s="206">
        <f>$D$7+0.91593*$E$7</f>
        <v>0.14671155943997799</v>
      </c>
      <c r="D368" s="206">
        <f>MIN($D$8+-0.109145*$E$8,'Debt &amp; Cost of Capital'!$C$38)</f>
        <v>5.4345129999999998E-2</v>
      </c>
      <c r="E368" s="207">
        <f>$D$9+-0.252881*$E$9</f>
        <v>0.15963466770254633</v>
      </c>
      <c r="F368" s="207">
        <f>$D$10+0.562273*$E$10</f>
        <v>0.1517472759999999</v>
      </c>
      <c r="G368" s="208">
        <f>$F368*(1-'Sensitivity &amp; Scenarios'!$C$12)+'Sensitivity &amp; Scenarios'!$C$9*'Sensitivity &amp; Scenarios'!$C$12-'Sensitivity &amp; Scenarios'!$C$10</f>
        <v>8.2747904719264631E-2</v>
      </c>
      <c r="H368" s="209">
        <f>('Sensitivity &amp; Scenarios'!$C$6*(1+$E368)^1*$G368+'Sensitivity &amp; Scenarios'!$C$11*'Sensitivity &amp; Scenarios'!$C$6*((1+$E368)^1-(1+$E368)^0))*'Sensitivity &amp; Scenarios'!$C$18/(1+$C368)^'Sensitivity &amp; Scenarios'!$C$18+('Sensitivity &amp; Scenarios'!$C$6*(1+$E368)^2*$G368+'Sensitivity &amp; Scenarios'!$C$11*'Sensitivity &amp; Scenarios'!$C$6*((1+$E368)^2-(1+$E368)^1))/(1+$C368)^('Sensitivity &amp; Scenarios'!$C$18+1)+('Sensitivity &amp; Scenarios'!$C$6*(1+$E368)^3*$G368+'Sensitivity &amp; Scenarios'!$C$11*'Sensitivity &amp; Scenarios'!$C$6*((1+$E368)^3-(1+$E368)^2))/(1+$C368)^('Sensitivity &amp; Scenarios'!$C$18+2)+('Sensitivity &amp; Scenarios'!$C$6*(1+$E368)^4*$G368+'Sensitivity &amp; Scenarios'!$C$11*'Sensitivity &amp; Scenarios'!$C$6*((1+$E368)^4-(1+$E368)^3))/(1+$C368)^('Sensitivity &amp; Scenarios'!$C$18+3)+('Sensitivity &amp; Scenarios'!$C$6*(1+$E368)^5*$G368+'Sensitivity &amp; Scenarios'!$C$11*'Sensitivity &amp; Scenarios'!$C$6*((1+$E368)^5-(1+$E368)^4))/(1+$C368)^('Sensitivity &amp; Scenarios'!$C$18+4)</f>
        <v>23357.455147997451</v>
      </c>
      <c r="I368" s="209">
        <f>('Sensitivity &amp; Scenarios'!$C$6*(1+$E368)^5*$G368+'Sensitivity &amp; Scenarios'!$C$11*'Sensitivity &amp; Scenarios'!$C$6*((1+$E368)^5-(1+$E368)^4))*(1+$D368)/($C368-$D368)/(1+$C368)^('Sensitivity &amp; Scenarios'!$C$18+4)</f>
        <v>58743.058973613006</v>
      </c>
      <c r="J368" s="209">
        <f>($H368+$I368-'Sensitivity &amp; Scenarios'!$C$15+'Sensitivity &amp; Scenarios'!$C$16)/'Sensitivity &amp; Scenarios'!$C$17</f>
        <v>2014.6765219453443</v>
      </c>
    </row>
    <row r="369" spans="2:10" x14ac:dyDescent="0.3">
      <c r="B369" s="127">
        <v>339</v>
      </c>
      <c r="C369" s="206">
        <f>$D$7+-1.291882*$E$7</f>
        <v>0.12463343943997798</v>
      </c>
      <c r="D369" s="206">
        <f>MIN($D$8+0.352627*$E$8,'Debt &amp; Cost of Capital'!$C$38)</f>
        <v>5.7115762E-2</v>
      </c>
      <c r="E369" s="207">
        <f>$D$9+1.912955*$E$9</f>
        <v>0.22460974770254633</v>
      </c>
      <c r="F369" s="207">
        <f>$D$10+0.466178*$E$10</f>
        <v>0.15059413599999991</v>
      </c>
      <c r="G369" s="208">
        <f>$F369*(1-'Sensitivity &amp; Scenarios'!$C$12)+'Sensitivity &amp; Scenarios'!$C$9*'Sensitivity &amp; Scenarios'!$C$12-'Sensitivity &amp; Scenarios'!$C$10</f>
        <v>8.1885010057264632E-2</v>
      </c>
      <c r="H369" s="209">
        <f>('Sensitivity &amp; Scenarios'!$C$6*(1+$E369)^1*$G369+'Sensitivity &amp; Scenarios'!$C$11*'Sensitivity &amp; Scenarios'!$C$6*((1+$E369)^1-(1+$E369)^0))*'Sensitivity &amp; Scenarios'!$C$18/(1+$C369)^'Sensitivity &amp; Scenarios'!$C$18+('Sensitivity &amp; Scenarios'!$C$6*(1+$E369)^2*$G369+'Sensitivity &amp; Scenarios'!$C$11*'Sensitivity &amp; Scenarios'!$C$6*((1+$E369)^2-(1+$E369)^1))/(1+$C369)^('Sensitivity &amp; Scenarios'!$C$18+1)+('Sensitivity &amp; Scenarios'!$C$6*(1+$E369)^3*$G369+'Sensitivity &amp; Scenarios'!$C$11*'Sensitivity &amp; Scenarios'!$C$6*((1+$E369)^3-(1+$E369)^2))/(1+$C369)^('Sensitivity &amp; Scenarios'!$C$18+2)+('Sensitivity &amp; Scenarios'!$C$6*(1+$E369)^4*$G369+'Sensitivity &amp; Scenarios'!$C$11*'Sensitivity &amp; Scenarios'!$C$6*((1+$E369)^4-(1+$E369)^3))/(1+$C369)^('Sensitivity &amp; Scenarios'!$C$18+3)+('Sensitivity &amp; Scenarios'!$C$6*(1+$E369)^5*$G369+'Sensitivity &amp; Scenarios'!$C$11*'Sensitivity &amp; Scenarios'!$C$6*((1+$E369)^5-(1+$E369)^4))/(1+$C369)^('Sensitivity &amp; Scenarios'!$C$18+4)</f>
        <v>30739.013965213024</v>
      </c>
      <c r="I369" s="209">
        <f>('Sensitivity &amp; Scenarios'!$C$6*(1+$E369)^5*$G369+'Sensitivity &amp; Scenarios'!$C$11*'Sensitivity &amp; Scenarios'!$C$6*((1+$E369)^5-(1+$E369)^4))*(1+$D369)/($C369-$D369)/(1+$C369)^('Sensitivity &amp; Scenarios'!$C$18+4)</f>
        <v>120728.32258412623</v>
      </c>
      <c r="J369" s="209">
        <f>($H369+$I369-'Sensitivity &amp; Scenarios'!$C$15+'Sensitivity &amp; Scenarios'!$C$16)/'Sensitivity &amp; Scenarios'!$C$17</f>
        <v>3474.7632519069898</v>
      </c>
    </row>
    <row r="370" spans="2:10" x14ac:dyDescent="0.3">
      <c r="B370" s="127">
        <v>340</v>
      </c>
      <c r="C370" s="206">
        <f>$D$7+-0.376212*$E$7</f>
        <v>0.13379013943997797</v>
      </c>
      <c r="D370" s="206">
        <f>MIN($D$8+-0.507105*$E$8,'Debt &amp; Cost of Capital'!$C$38)</f>
        <v>5.1957370000000003E-2</v>
      </c>
      <c r="E370" s="207">
        <f>$D$9+-0.41034*$E$9</f>
        <v>0.15491089770254635</v>
      </c>
      <c r="F370" s="207">
        <f>$D$10+-0.253963*$E$10</f>
        <v>0.1419524439999999</v>
      </c>
      <c r="G370" s="208">
        <f>$F370*(1-'Sensitivity &amp; Scenarios'!$C$12)+'Sensitivity &amp; Scenarios'!$C$9*'Sensitivity &amp; Scenarios'!$C$12-'Sensitivity &amp; Scenarios'!$C$10</f>
        <v>7.5418431933664626E-2</v>
      </c>
      <c r="H370" s="209">
        <f>('Sensitivity &amp; Scenarios'!$C$6*(1+$E370)^1*$G370+'Sensitivity &amp; Scenarios'!$C$11*'Sensitivity &amp; Scenarios'!$C$6*((1+$E370)^1-(1+$E370)^0))*'Sensitivity &amp; Scenarios'!$C$18/(1+$C370)^'Sensitivity &amp; Scenarios'!$C$18+('Sensitivity &amp; Scenarios'!$C$6*(1+$E370)^2*$G370+'Sensitivity &amp; Scenarios'!$C$11*'Sensitivity &amp; Scenarios'!$C$6*((1+$E370)^2-(1+$E370)^1))/(1+$C370)^('Sensitivity &amp; Scenarios'!$C$18+1)+('Sensitivity &amp; Scenarios'!$C$6*(1+$E370)^3*$G370+'Sensitivity &amp; Scenarios'!$C$11*'Sensitivity &amp; Scenarios'!$C$6*((1+$E370)^3-(1+$E370)^2))/(1+$C370)^('Sensitivity &amp; Scenarios'!$C$18+2)+('Sensitivity &amp; Scenarios'!$C$6*(1+$E370)^4*$G370+'Sensitivity &amp; Scenarios'!$C$11*'Sensitivity &amp; Scenarios'!$C$6*((1+$E370)^4-(1+$E370)^3))/(1+$C370)^('Sensitivity &amp; Scenarios'!$C$18+3)+('Sensitivity &amp; Scenarios'!$C$6*(1+$E370)^5*$G370+'Sensitivity &amp; Scenarios'!$C$11*'Sensitivity &amp; Scenarios'!$C$6*((1+$E370)^5-(1+$E370)^4))/(1+$C370)^('Sensitivity &amp; Scenarios'!$C$18+4)</f>
        <v>21927.29617125183</v>
      </c>
      <c r="I370" s="209">
        <f>('Sensitivity &amp; Scenarios'!$C$6*(1+$E370)^5*$G370+'Sensitivity &amp; Scenarios'!$C$11*'Sensitivity &amp; Scenarios'!$C$6*((1+$E370)^5-(1+$E370)^4))*(1+$D370)/($C370-$D370)/(1+$C370)^('Sensitivity &amp; Scenarios'!$C$18+4)</f>
        <v>62926.299546492533</v>
      </c>
      <c r="J370" s="209">
        <f>($H370+$I370-'Sensitivity &amp; Scenarios'!$C$15+'Sensitivity &amp; Scenarios'!$C$16)/'Sensitivity &amp; Scenarios'!$C$17</f>
        <v>2072.6255206789219</v>
      </c>
    </row>
    <row r="371" spans="2:10" x14ac:dyDescent="0.3">
      <c r="B371" s="127">
        <v>341</v>
      </c>
      <c r="C371" s="206">
        <f>$D$7+-0.377807*$E$7</f>
        <v>0.13377418943997799</v>
      </c>
      <c r="D371" s="206">
        <f>MIN($D$8+0.916311*$E$8,'Debt &amp; Cost of Capital'!$C$38)</f>
        <v>6.0497865999999997E-2</v>
      </c>
      <c r="E371" s="207">
        <f>$D$9+-1.733209*$E$9</f>
        <v>0.11522482770254634</v>
      </c>
      <c r="F371" s="207">
        <f>$D$10+0.862*$E$10</f>
        <v>0.1553439999999999</v>
      </c>
      <c r="G371" s="208">
        <f>$F371*(1-'Sensitivity &amp; Scenarios'!$C$12)+'Sensitivity &amp; Scenarios'!$C$9*'Sensitivity &amp; Scenarios'!$C$12-'Sensitivity &amp; Scenarios'!$C$10</f>
        <v>8.5439333288464633E-2</v>
      </c>
      <c r="H371" s="209">
        <f>('Sensitivity &amp; Scenarios'!$C$6*(1+$E371)^1*$G371+'Sensitivity &amp; Scenarios'!$C$11*'Sensitivity &amp; Scenarios'!$C$6*((1+$E371)^1-(1+$E371)^0))*'Sensitivity &amp; Scenarios'!$C$18/(1+$C371)^'Sensitivity &amp; Scenarios'!$C$18+('Sensitivity &amp; Scenarios'!$C$6*(1+$E371)^2*$G371+'Sensitivity &amp; Scenarios'!$C$11*'Sensitivity &amp; Scenarios'!$C$6*((1+$E371)^2-(1+$E371)^1))/(1+$C371)^('Sensitivity &amp; Scenarios'!$C$18+1)+('Sensitivity &amp; Scenarios'!$C$6*(1+$E371)^3*$G371+'Sensitivity &amp; Scenarios'!$C$11*'Sensitivity &amp; Scenarios'!$C$6*((1+$E371)^3-(1+$E371)^2))/(1+$C371)^('Sensitivity &amp; Scenarios'!$C$18+2)+('Sensitivity &amp; Scenarios'!$C$6*(1+$E371)^4*$G371+'Sensitivity &amp; Scenarios'!$C$11*'Sensitivity &amp; Scenarios'!$C$6*((1+$E371)^4-(1+$E371)^3))/(1+$C371)^('Sensitivity &amp; Scenarios'!$C$18+3)+('Sensitivity &amp; Scenarios'!$C$6*(1+$E371)^5*$G371+'Sensitivity &amp; Scenarios'!$C$11*'Sensitivity &amp; Scenarios'!$C$6*((1+$E371)^5-(1+$E371)^4))/(1+$C371)^('Sensitivity &amp; Scenarios'!$C$18+4)</f>
        <v>21078.004808710357</v>
      </c>
      <c r="I371" s="209">
        <f>('Sensitivity &amp; Scenarios'!$C$6*(1+$E371)^5*$G371+'Sensitivity &amp; Scenarios'!$C$11*'Sensitivity &amp; Scenarios'!$C$6*((1+$E371)^5-(1+$E371)^4))*(1+$D371)/($C371-$D371)/(1+$C371)^('Sensitivity &amp; Scenarios'!$C$18+4)</f>
        <v>63859.369395764617</v>
      </c>
      <c r="J371" s="209">
        <f>($H371+$I371-'Sensitivity &amp; Scenarios'!$C$15+'Sensitivity &amp; Scenarios'!$C$16)/'Sensitivity &amp; Scenarios'!$C$17</f>
        <v>2074.3889553073291</v>
      </c>
    </row>
    <row r="372" spans="2:10" x14ac:dyDescent="0.3">
      <c r="B372" s="127">
        <v>342</v>
      </c>
      <c r="C372" s="206">
        <f>$D$7+-0.379687*$E$7</f>
        <v>0.13375538943997797</v>
      </c>
      <c r="D372" s="206">
        <f>MIN($D$8+0.376948*$E$8,'Debt &amp; Cost of Capital'!$C$38)</f>
        <v>5.7261687999999998E-2</v>
      </c>
      <c r="E372" s="207">
        <f>$D$9+-1.126988*$E$9</f>
        <v>0.13341145770254634</v>
      </c>
      <c r="F372" s="207">
        <f>$D$10+1.328631*$E$10</f>
        <v>0.1609435719999999</v>
      </c>
      <c r="G372" s="208">
        <f>$F372*(1-'Sensitivity &amp; Scenarios'!$C$12)+'Sensitivity &amp; Scenarios'!$C$9*'Sensitivity &amp; Scenarios'!$C$12-'Sensitivity &amp; Scenarios'!$C$10</f>
        <v>8.9629493016064626E-2</v>
      </c>
      <c r="H372" s="209">
        <f>('Sensitivity &amp; Scenarios'!$C$6*(1+$E372)^1*$G372+'Sensitivity &amp; Scenarios'!$C$11*'Sensitivity &amp; Scenarios'!$C$6*((1+$E372)^1-(1+$E372)^0))*'Sensitivity &amp; Scenarios'!$C$18/(1+$C372)^'Sensitivity &amp; Scenarios'!$C$18+('Sensitivity &amp; Scenarios'!$C$6*(1+$E372)^2*$G372+'Sensitivity &amp; Scenarios'!$C$11*'Sensitivity &amp; Scenarios'!$C$6*((1+$E372)^2-(1+$E372)^1))/(1+$C372)^('Sensitivity &amp; Scenarios'!$C$18+1)+('Sensitivity &amp; Scenarios'!$C$6*(1+$E372)^3*$G372+'Sensitivity &amp; Scenarios'!$C$11*'Sensitivity &amp; Scenarios'!$C$6*((1+$E372)^3-(1+$E372)^2))/(1+$C372)^('Sensitivity &amp; Scenarios'!$C$18+2)+('Sensitivity &amp; Scenarios'!$C$6*(1+$E372)^4*$G372+'Sensitivity &amp; Scenarios'!$C$11*'Sensitivity &amp; Scenarios'!$C$6*((1+$E372)^4-(1+$E372)^3))/(1+$C372)^('Sensitivity &amp; Scenarios'!$C$18+3)+('Sensitivity &amp; Scenarios'!$C$6*(1+$E372)^5*$G372+'Sensitivity &amp; Scenarios'!$C$11*'Sensitivity &amp; Scenarios'!$C$6*((1+$E372)^5-(1+$E372)^4))/(1+$C372)^('Sensitivity &amp; Scenarios'!$C$18+4)</f>
        <v>23501.03802610789</v>
      </c>
      <c r="I372" s="209">
        <f>('Sensitivity &amp; Scenarios'!$C$6*(1+$E372)^5*$G372+'Sensitivity &amp; Scenarios'!$C$11*'Sensitivity &amp; Scenarios'!$C$6*((1+$E372)^5-(1+$E372)^4))*(1+$D372)/($C372-$D372)/(1+$C372)^('Sensitivity &amp; Scenarios'!$C$18+4)</f>
        <v>70072.955533189117</v>
      </c>
      <c r="J372" s="209">
        <f>($H372+$I372-'Sensitivity &amp; Scenarios'!$C$15+'Sensitivity &amp; Scenarios'!$C$16)/'Sensitivity &amp; Scenarios'!$C$17</f>
        <v>2256.1792243490422</v>
      </c>
    </row>
    <row r="373" spans="2:10" x14ac:dyDescent="0.3">
      <c r="B373" s="127">
        <v>343</v>
      </c>
      <c r="C373" s="206">
        <f>$D$7+1.245635*$E$7</f>
        <v>0.15000860943997799</v>
      </c>
      <c r="D373" s="206">
        <f>MIN($D$8+0.959591*$E$8,'Debt &amp; Cost of Capital'!$C$38)</f>
        <v>6.0757546000000003E-2</v>
      </c>
      <c r="E373" s="207">
        <f>$D$9+-1.514755*$E$9</f>
        <v>0.12177844770254634</v>
      </c>
      <c r="F373" s="207">
        <f>$D$10+0.829121*$E$10</f>
        <v>0.1549494519999999</v>
      </c>
      <c r="G373" s="208">
        <f>$F373*(1-'Sensitivity &amp; Scenarios'!$C$12)+'Sensitivity &amp; Scenarios'!$C$9*'Sensitivity &amp; Scenarios'!$C$12-'Sensitivity &amp; Scenarios'!$C$10</f>
        <v>8.5144093020064635E-2</v>
      </c>
      <c r="H373" s="209">
        <f>('Sensitivity &amp; Scenarios'!$C$6*(1+$E373)^1*$G373+'Sensitivity &amp; Scenarios'!$C$11*'Sensitivity &amp; Scenarios'!$C$6*((1+$E373)^1-(1+$E373)^0))*'Sensitivity &amp; Scenarios'!$C$18/(1+$C373)^'Sensitivity &amp; Scenarios'!$C$18+('Sensitivity &amp; Scenarios'!$C$6*(1+$E373)^2*$G373+'Sensitivity &amp; Scenarios'!$C$11*'Sensitivity &amp; Scenarios'!$C$6*((1+$E373)^2-(1+$E373)^1))/(1+$C373)^('Sensitivity &amp; Scenarios'!$C$18+1)+('Sensitivity &amp; Scenarios'!$C$6*(1+$E373)^3*$G373+'Sensitivity &amp; Scenarios'!$C$11*'Sensitivity &amp; Scenarios'!$C$6*((1+$E373)^3-(1+$E373)^2))/(1+$C373)^('Sensitivity &amp; Scenarios'!$C$18+2)+('Sensitivity &amp; Scenarios'!$C$6*(1+$E373)^4*$G373+'Sensitivity &amp; Scenarios'!$C$11*'Sensitivity &amp; Scenarios'!$C$6*((1+$E373)^4-(1+$E373)^3))/(1+$C373)^('Sensitivity &amp; Scenarios'!$C$18+3)+('Sensitivity &amp; Scenarios'!$C$6*(1+$E373)^5*$G373+'Sensitivity &amp; Scenarios'!$C$11*'Sensitivity &amp; Scenarios'!$C$6*((1+$E373)^5-(1+$E373)^4))/(1+$C373)^('Sensitivity &amp; Scenarios'!$C$18+4)</f>
        <v>20702.688470693145</v>
      </c>
      <c r="I373" s="209">
        <f>('Sensitivity &amp; Scenarios'!$C$6*(1+$E373)^5*$G373+'Sensitivity &amp; Scenarios'!$C$11*'Sensitivity &amp; Scenarios'!$C$6*((1+$E373)^5-(1+$E373)^4))*(1+$D373)/($C373-$D373)/(1+$C373)^('Sensitivity &amp; Scenarios'!$C$18+4)</f>
        <v>50705.790096177036</v>
      </c>
      <c r="J373" s="209">
        <f>($H373+$I373-'Sensitivity &amp; Scenarios'!$C$15+'Sensitivity &amp; Scenarios'!$C$16)/'Sensitivity &amp; Scenarios'!$C$17</f>
        <v>1789.6222570477516</v>
      </c>
    </row>
    <row r="374" spans="2:10" x14ac:dyDescent="0.3">
      <c r="B374" s="127">
        <v>344</v>
      </c>
      <c r="C374" s="206">
        <f>$D$7+0.404855*$E$7</f>
        <v>0.14160080943997799</v>
      </c>
      <c r="D374" s="206">
        <f>MIN($D$8+-1.605271*$E$8,'Debt &amp; Cost of Capital'!$C$38)</f>
        <v>4.5368374000000003E-2</v>
      </c>
      <c r="E374" s="207">
        <f>$D$9+-0.024297*$E$9</f>
        <v>0.16649218770254634</v>
      </c>
      <c r="F374" s="207">
        <f>$D$10+0.364534*$E$10</f>
        <v>0.1493744079999999</v>
      </c>
      <c r="G374" s="208">
        <f>$F374*(1-'Sensitivity &amp; Scenarios'!$C$12)+'Sensitivity &amp; Scenarios'!$C$9*'Sensitivity &amp; Scenarios'!$C$12-'Sensitivity &amp; Scenarios'!$C$10</f>
        <v>8.0972287594864634E-2</v>
      </c>
      <c r="H374" s="209">
        <f>('Sensitivity &amp; Scenarios'!$C$6*(1+$E374)^1*$G374+'Sensitivity &amp; Scenarios'!$C$11*'Sensitivity &amp; Scenarios'!$C$6*((1+$E374)^1-(1+$E374)^0))*'Sensitivity &amp; Scenarios'!$C$18/(1+$C374)^'Sensitivity &amp; Scenarios'!$C$18+('Sensitivity &amp; Scenarios'!$C$6*(1+$E374)^2*$G374+'Sensitivity &amp; Scenarios'!$C$11*'Sensitivity &amp; Scenarios'!$C$6*((1+$E374)^2-(1+$E374)^1))/(1+$C374)^('Sensitivity &amp; Scenarios'!$C$18+1)+('Sensitivity &amp; Scenarios'!$C$6*(1+$E374)^3*$G374+'Sensitivity &amp; Scenarios'!$C$11*'Sensitivity &amp; Scenarios'!$C$6*((1+$E374)^3-(1+$E374)^2))/(1+$C374)^('Sensitivity &amp; Scenarios'!$C$18+2)+('Sensitivity &amp; Scenarios'!$C$6*(1+$E374)^4*$G374+'Sensitivity &amp; Scenarios'!$C$11*'Sensitivity &amp; Scenarios'!$C$6*((1+$E374)^4-(1+$E374)^3))/(1+$C374)^('Sensitivity &amp; Scenarios'!$C$18+3)+('Sensitivity &amp; Scenarios'!$C$6*(1+$E374)^5*$G374+'Sensitivity &amp; Scenarios'!$C$11*'Sensitivity &amp; Scenarios'!$C$6*((1+$E374)^5-(1+$E374)^4))/(1+$C374)^('Sensitivity &amp; Scenarios'!$C$18+4)</f>
        <v>23802.613186122708</v>
      </c>
      <c r="I374" s="209">
        <f>('Sensitivity &amp; Scenarios'!$C$6*(1+$E374)^5*$G374+'Sensitivity &amp; Scenarios'!$C$11*'Sensitivity &amp; Scenarios'!$C$6*((1+$E374)^5-(1+$E374)^4))*(1+$D374)/($C374-$D374)/(1+$C374)^('Sensitivity &amp; Scenarios'!$C$18+4)</f>
        <v>58048.226974233687</v>
      </c>
      <c r="J374" s="209">
        <f>($H374+$I374-'Sensitivity &amp; Scenarios'!$C$15+'Sensitivity &amp; Scenarios'!$C$16)/'Sensitivity &amp; Scenarios'!$C$17</f>
        <v>2009.4211905796358</v>
      </c>
    </row>
    <row r="375" spans="2:10" x14ac:dyDescent="0.3">
      <c r="B375" s="127">
        <v>345</v>
      </c>
      <c r="C375" s="206">
        <f>$D$7+0.556075*$E$7</f>
        <v>0.14311300943997798</v>
      </c>
      <c r="D375" s="206">
        <f>MIN($D$8+0.177261*$E$8,'Debt &amp; Cost of Capital'!$C$38)</f>
        <v>5.6063566000000002E-2</v>
      </c>
      <c r="E375" s="207">
        <f>$D$9+0.291231*$E$9</f>
        <v>0.17595802770254634</v>
      </c>
      <c r="F375" s="207">
        <f>$D$10+1.473611*$E$10</f>
        <v>0.1626833319999999</v>
      </c>
      <c r="G375" s="208">
        <f>$F375*(1-'Sensitivity &amp; Scenarios'!$C$12)+'Sensitivity &amp; Scenarios'!$C$9*'Sensitivity &amp; Scenarios'!$C$12-'Sensitivity &amp; Scenarios'!$C$10</f>
        <v>9.0931355424064636E-2</v>
      </c>
      <c r="H375" s="209">
        <f>('Sensitivity &amp; Scenarios'!$C$6*(1+$E375)^1*$G375+'Sensitivity &amp; Scenarios'!$C$11*'Sensitivity &amp; Scenarios'!$C$6*((1+$E375)^1-(1+$E375)^0))*'Sensitivity &amp; Scenarios'!$C$18/(1+$C375)^'Sensitivity &amp; Scenarios'!$C$18+('Sensitivity &amp; Scenarios'!$C$6*(1+$E375)^2*$G375+'Sensitivity &amp; Scenarios'!$C$11*'Sensitivity &amp; Scenarios'!$C$6*((1+$E375)^2-(1+$E375)^1))/(1+$C375)^('Sensitivity &amp; Scenarios'!$C$18+1)+('Sensitivity &amp; Scenarios'!$C$6*(1+$E375)^3*$G375+'Sensitivity &amp; Scenarios'!$C$11*'Sensitivity &amp; Scenarios'!$C$6*((1+$E375)^3-(1+$E375)^2))/(1+$C375)^('Sensitivity &amp; Scenarios'!$C$18+2)+('Sensitivity &amp; Scenarios'!$C$6*(1+$E375)^4*$G375+'Sensitivity &amp; Scenarios'!$C$11*'Sensitivity &amp; Scenarios'!$C$6*((1+$E375)^4-(1+$E375)^3))/(1+$C375)^('Sensitivity &amp; Scenarios'!$C$18+3)+('Sensitivity &amp; Scenarios'!$C$6*(1+$E375)^5*$G375+'Sensitivity &amp; Scenarios'!$C$11*'Sensitivity &amp; Scenarios'!$C$6*((1+$E375)^5-(1+$E375)^4))/(1+$C375)^('Sensitivity &amp; Scenarios'!$C$18+4)</f>
        <v>27033.50476370141</v>
      </c>
      <c r="I375" s="209">
        <f>('Sensitivity &amp; Scenarios'!$C$6*(1+$E375)^5*$G375+'Sensitivity &amp; Scenarios'!$C$11*'Sensitivity &amp; Scenarios'!$C$6*((1+$E375)^5-(1+$E375)^4))*(1+$D375)/($C375-$D375)/(1+$C375)^('Sensitivity &amp; Scenarios'!$C$18+4)</f>
        <v>74527.249784102503</v>
      </c>
      <c r="J375" s="209">
        <f>($H375+$I375-'Sensitivity &amp; Scenarios'!$C$15+'Sensitivity &amp; Scenarios'!$C$16)/'Sensitivity &amp; Scenarios'!$C$17</f>
        <v>2424.2907699924062</v>
      </c>
    </row>
    <row r="376" spans="2:10" x14ac:dyDescent="0.3">
      <c r="B376" s="127">
        <v>346</v>
      </c>
      <c r="C376" s="206">
        <f>$D$7+1.226034*$E$7</f>
        <v>0.14981259943997799</v>
      </c>
      <c r="D376" s="206">
        <f>MIN($D$8+-2.867055*$E$8,'Debt &amp; Cost of Capital'!$C$38)</f>
        <v>3.7797669999999998E-2</v>
      </c>
      <c r="E376" s="207">
        <f>$D$9+-0.317439*$E$9</f>
        <v>0.15769792770254634</v>
      </c>
      <c r="F376" s="207">
        <f>$D$10+-0.164651*$E$10</f>
        <v>0.14302418799999991</v>
      </c>
      <c r="G376" s="208">
        <f>$F376*(1-'Sensitivity &amp; Scenarios'!$C$12)+'Sensitivity &amp; Scenarios'!$C$9*'Sensitivity &amp; Scenarios'!$C$12-'Sensitivity &amp; Scenarios'!$C$10</f>
        <v>7.622041796886464E-2</v>
      </c>
      <c r="H376" s="209">
        <f>('Sensitivity &amp; Scenarios'!$C$6*(1+$E376)^1*$G376+'Sensitivity &amp; Scenarios'!$C$11*'Sensitivity &amp; Scenarios'!$C$6*((1+$E376)^1-(1+$E376)^0))*'Sensitivity &amp; Scenarios'!$C$18/(1+$C376)^'Sensitivity &amp; Scenarios'!$C$18+('Sensitivity &amp; Scenarios'!$C$6*(1+$E376)^2*$G376+'Sensitivity &amp; Scenarios'!$C$11*'Sensitivity &amp; Scenarios'!$C$6*((1+$E376)^2-(1+$E376)^1))/(1+$C376)^('Sensitivity &amp; Scenarios'!$C$18+1)+('Sensitivity &amp; Scenarios'!$C$6*(1+$E376)^3*$G376+'Sensitivity &amp; Scenarios'!$C$11*'Sensitivity &amp; Scenarios'!$C$6*((1+$E376)^3-(1+$E376)^2))/(1+$C376)^('Sensitivity &amp; Scenarios'!$C$18+2)+('Sensitivity &amp; Scenarios'!$C$6*(1+$E376)^4*$G376+'Sensitivity &amp; Scenarios'!$C$11*'Sensitivity &amp; Scenarios'!$C$6*((1+$E376)^4-(1+$E376)^3))/(1+$C376)^('Sensitivity &amp; Scenarios'!$C$18+3)+('Sensitivity &amp; Scenarios'!$C$6*(1+$E376)^5*$G376+'Sensitivity &amp; Scenarios'!$C$11*'Sensitivity &amp; Scenarios'!$C$6*((1+$E376)^5-(1+$E376)^4))/(1+$C376)^('Sensitivity &amp; Scenarios'!$C$18+4)</f>
        <v>21483.375899603059</v>
      </c>
      <c r="I376" s="209">
        <f>('Sensitivity &amp; Scenarios'!$C$6*(1+$E376)^5*$G376+'Sensitivity &amp; Scenarios'!$C$11*'Sensitivity &amp; Scenarios'!$C$6*((1+$E376)^5-(1+$E376)^4))*(1+$D376)/($C376-$D376)/(1+$C376)^('Sensitivity &amp; Scenarios'!$C$18+4)</f>
        <v>43504.693738684487</v>
      </c>
      <c r="J376" s="209">
        <f>($H376+$I376-'Sensitivity &amp; Scenarios'!$C$15+'Sensitivity &amp; Scenarios'!$C$16)/'Sensitivity &amp; Scenarios'!$C$17</f>
        <v>1654.4805055668096</v>
      </c>
    </row>
    <row r="377" spans="2:10" x14ac:dyDescent="0.3">
      <c r="B377" s="127">
        <v>347</v>
      </c>
      <c r="C377" s="206">
        <f>$D$7+-1.752099*$E$7</f>
        <v>0.12003126943997798</v>
      </c>
      <c r="D377" s="206">
        <f>MIN($D$8+0.094183*$E$8,'Debt &amp; Cost of Capital'!$C$38)</f>
        <v>5.5565098E-2</v>
      </c>
      <c r="E377" s="207">
        <f>$D$9+1.248758*$E$9</f>
        <v>0.20468383770254633</v>
      </c>
      <c r="F377" s="207">
        <f>$D$10+-1.086568*$E$10</f>
        <v>0.1319611839999999</v>
      </c>
      <c r="G377" s="208">
        <f>$F377*(1-'Sensitivity &amp; Scenarios'!$C$12)+'Sensitivity &amp; Scenarios'!$C$9*'Sensitivity &amp; Scenarios'!$C$12-'Sensitivity &amp; Scenarios'!$C$10</f>
        <v>6.7941972075664631E-2</v>
      </c>
      <c r="H377" s="209">
        <f>('Sensitivity &amp; Scenarios'!$C$6*(1+$E377)^1*$G377+'Sensitivity &amp; Scenarios'!$C$11*'Sensitivity &amp; Scenarios'!$C$6*((1+$E377)^1-(1+$E377)^0))*'Sensitivity &amp; Scenarios'!$C$18/(1+$C377)^'Sensitivity &amp; Scenarios'!$C$18+('Sensitivity &amp; Scenarios'!$C$6*(1+$E377)^2*$G377+'Sensitivity &amp; Scenarios'!$C$11*'Sensitivity &amp; Scenarios'!$C$6*((1+$E377)^2-(1+$E377)^1))/(1+$C377)^('Sensitivity &amp; Scenarios'!$C$18+1)+('Sensitivity &amp; Scenarios'!$C$6*(1+$E377)^3*$G377+'Sensitivity &amp; Scenarios'!$C$11*'Sensitivity &amp; Scenarios'!$C$6*((1+$E377)^3-(1+$E377)^2))/(1+$C377)^('Sensitivity &amp; Scenarios'!$C$18+2)+('Sensitivity &amp; Scenarios'!$C$6*(1+$E377)^4*$G377+'Sensitivity &amp; Scenarios'!$C$11*'Sensitivity &amp; Scenarios'!$C$6*((1+$E377)^4-(1+$E377)^3))/(1+$C377)^('Sensitivity &amp; Scenarios'!$C$18+3)+('Sensitivity &amp; Scenarios'!$C$6*(1+$E377)^5*$G377+'Sensitivity &amp; Scenarios'!$C$11*'Sensitivity &amp; Scenarios'!$C$6*((1+$E377)^5-(1+$E377)^4))/(1+$C377)^('Sensitivity &amp; Scenarios'!$C$18+4)</f>
        <v>25015.884261669962</v>
      </c>
      <c r="I377" s="209">
        <f>('Sensitivity &amp; Scenarios'!$C$6*(1+$E377)^5*$G377+'Sensitivity &amp; Scenarios'!$C$11*'Sensitivity &amp; Scenarios'!$C$6*((1+$E377)^5-(1+$E377)^4))*(1+$D377)/($C377-$D377)/(1+$C377)^('Sensitivity &amp; Scenarios'!$C$18+4)</f>
        <v>100624.52286496294</v>
      </c>
      <c r="J377" s="209">
        <f>($H377+$I377-'Sensitivity &amp; Scenarios'!$C$15+'Sensitivity &amp; Scenarios'!$C$16)/'Sensitivity &amp; Scenarios'!$C$17</f>
        <v>2931.1379912135512</v>
      </c>
    </row>
    <row r="378" spans="2:10" x14ac:dyDescent="0.3">
      <c r="B378" s="127">
        <v>348</v>
      </c>
      <c r="C378" s="206">
        <f>$D$7+0.336401*$E$7</f>
        <v>0.14091626943997798</v>
      </c>
      <c r="D378" s="206">
        <f>MIN($D$8+-0.915823*$E$8,'Debt &amp; Cost of Capital'!$C$38)</f>
        <v>4.9505062000000002E-2</v>
      </c>
      <c r="E378" s="207">
        <f>$D$9+-0.671912*$E$9</f>
        <v>0.14706373770254633</v>
      </c>
      <c r="F378" s="207">
        <f>$D$10+1.477394*$E$10</f>
        <v>0.16272872799999991</v>
      </c>
      <c r="G378" s="208">
        <f>$F378*(1-'Sensitivity &amp; Scenarios'!$C$12)+'Sensitivity &amp; Scenarios'!$C$9*'Sensitivity &amp; Scenarios'!$C$12-'Sensitivity &amp; Scenarios'!$C$10</f>
        <v>9.0965325250864648E-2</v>
      </c>
      <c r="H378" s="209">
        <f>('Sensitivity &amp; Scenarios'!$C$6*(1+$E378)^1*$G378+'Sensitivity &amp; Scenarios'!$C$11*'Sensitivity &amp; Scenarios'!$C$6*((1+$E378)^1-(1+$E378)^0))*'Sensitivity &amp; Scenarios'!$C$18/(1+$C378)^'Sensitivity &amp; Scenarios'!$C$18+('Sensitivity &amp; Scenarios'!$C$6*(1+$E378)^2*$G378+'Sensitivity &amp; Scenarios'!$C$11*'Sensitivity &amp; Scenarios'!$C$6*((1+$E378)^2-(1+$E378)^1))/(1+$C378)^('Sensitivity &amp; Scenarios'!$C$18+1)+('Sensitivity &amp; Scenarios'!$C$6*(1+$E378)^3*$G378+'Sensitivity &amp; Scenarios'!$C$11*'Sensitivity &amp; Scenarios'!$C$6*((1+$E378)^3-(1+$E378)^2))/(1+$C378)^('Sensitivity &amp; Scenarios'!$C$18+2)+('Sensitivity &amp; Scenarios'!$C$6*(1+$E378)^4*$G378+'Sensitivity &amp; Scenarios'!$C$11*'Sensitivity &amp; Scenarios'!$C$6*((1+$E378)^4-(1+$E378)^3))/(1+$C378)^('Sensitivity &amp; Scenarios'!$C$18+3)+('Sensitivity &amp; Scenarios'!$C$6*(1+$E378)^5*$G378+'Sensitivity &amp; Scenarios'!$C$11*'Sensitivity &amp; Scenarios'!$C$6*((1+$E378)^5-(1+$E378)^4))/(1+$C378)^('Sensitivity &amp; Scenarios'!$C$18+4)</f>
        <v>24564.607857870709</v>
      </c>
      <c r="I378" s="209">
        <f>('Sensitivity &amp; Scenarios'!$C$6*(1+$E378)^5*$G378+'Sensitivity &amp; Scenarios'!$C$11*'Sensitivity &amp; Scenarios'!$C$6*((1+$E378)^5-(1+$E378)^4))*(1+$D378)/($C378-$D378)/(1+$C378)^('Sensitivity &amp; Scenarios'!$C$18+4)</f>
        <v>61479.521810238475</v>
      </c>
      <c r="J378" s="209">
        <f>($H378+$I378-'Sensitivity &amp; Scenarios'!$C$15+'Sensitivity &amp; Scenarios'!$C$16)/'Sensitivity &amp; Scenarios'!$C$17</f>
        <v>2097.6848035126941</v>
      </c>
    </row>
    <row r="379" spans="2:10" x14ac:dyDescent="0.3">
      <c r="B379" s="127">
        <v>349</v>
      </c>
      <c r="C379" s="206">
        <f>$D$7+-0.542558*$E$7</f>
        <v>0.13212667943997797</v>
      </c>
      <c r="D379" s="206">
        <f>MIN($D$8+0.462212*$E$8,'Debt &amp; Cost of Capital'!$C$38)</f>
        <v>5.7773272000000001E-2</v>
      </c>
      <c r="E379" s="207">
        <f>$D$9+-1.871218*$E$9</f>
        <v>0.11108455770254634</v>
      </c>
      <c r="F379" s="207">
        <f>$D$10+1.862318*$E$10</f>
        <v>0.1673478159999999</v>
      </c>
      <c r="G379" s="208">
        <f>$F379*(1-'Sensitivity &amp; Scenarios'!$C$12)+'Sensitivity &amp; Scenarios'!$C$9*'Sensitivity &amp; Scenarios'!$C$12-'Sensitivity &amp; Scenarios'!$C$10</f>
        <v>9.4421788801264617E-2</v>
      </c>
      <c r="H379" s="209">
        <f>('Sensitivity &amp; Scenarios'!$C$6*(1+$E379)^1*$G379+'Sensitivity &amp; Scenarios'!$C$11*'Sensitivity &amp; Scenarios'!$C$6*((1+$E379)^1-(1+$E379)^0))*'Sensitivity &amp; Scenarios'!$C$18/(1+$C379)^'Sensitivity &amp; Scenarios'!$C$18+('Sensitivity &amp; Scenarios'!$C$6*(1+$E379)^2*$G379+'Sensitivity &amp; Scenarios'!$C$11*'Sensitivity &amp; Scenarios'!$C$6*((1+$E379)^2-(1+$E379)^1))/(1+$C379)^('Sensitivity &amp; Scenarios'!$C$18+1)+('Sensitivity &amp; Scenarios'!$C$6*(1+$E379)^3*$G379+'Sensitivity &amp; Scenarios'!$C$11*'Sensitivity &amp; Scenarios'!$C$6*((1+$E379)^3-(1+$E379)^2))/(1+$C379)^('Sensitivity &amp; Scenarios'!$C$18+2)+('Sensitivity &amp; Scenarios'!$C$6*(1+$E379)^4*$G379+'Sensitivity &amp; Scenarios'!$C$11*'Sensitivity &amp; Scenarios'!$C$6*((1+$E379)^4-(1+$E379)^3))/(1+$C379)^('Sensitivity &amp; Scenarios'!$C$18+3)+('Sensitivity &amp; Scenarios'!$C$6*(1+$E379)^5*$G379+'Sensitivity &amp; Scenarios'!$C$11*'Sensitivity &amp; Scenarios'!$C$6*((1+$E379)^5-(1+$E379)^4))/(1+$C379)^('Sensitivity &amp; Scenarios'!$C$18+4)</f>
        <v>22779.645533219536</v>
      </c>
      <c r="I379" s="209">
        <f>('Sensitivity &amp; Scenarios'!$C$6*(1+$E379)^5*$G379+'Sensitivity &amp; Scenarios'!$C$11*'Sensitivity &amp; Scenarios'!$C$6*((1+$E379)^5-(1+$E379)^4))*(1+$D379)/($C379-$D379)/(1+$C379)^('Sensitivity &amp; Scenarios'!$C$18+4)</f>
        <v>67552.978345691547</v>
      </c>
      <c r="J379" s="209">
        <f>($H379+$I379-'Sensitivity &amp; Scenarios'!$C$15+'Sensitivity &amp; Scenarios'!$C$16)/'Sensitivity &amp; Scenarios'!$C$17</f>
        <v>2187.952358945739</v>
      </c>
    </row>
    <row r="380" spans="2:10" x14ac:dyDescent="0.3">
      <c r="B380" s="127">
        <v>350</v>
      </c>
      <c r="C380" s="206">
        <f>$D$7+0.602652*$E$7</f>
        <v>0.14357877943997799</v>
      </c>
      <c r="D380" s="206">
        <f>MIN($D$8+-0.1825*$E$8,'Debt &amp; Cost of Capital'!$C$38)</f>
        <v>5.3905000000000002E-2</v>
      </c>
      <c r="E380" s="207">
        <f>$D$9+0.575547*$E$9</f>
        <v>0.18448750770254635</v>
      </c>
      <c r="F380" s="207">
        <f>$D$10+-1.409819*$E$10</f>
        <v>0.12808217199999991</v>
      </c>
      <c r="G380" s="208">
        <f>$F380*(1-'Sensitivity &amp; Scenarios'!$C$12)+'Sensitivity &amp; Scenarios'!$C$9*'Sensitivity &amp; Scenarios'!$C$12-'Sensitivity &amp; Scenarios'!$C$10</f>
        <v>6.5039307396064644E-2</v>
      </c>
      <c r="H380" s="209">
        <f>('Sensitivity &amp; Scenarios'!$C$6*(1+$E380)^1*$G380+'Sensitivity &amp; Scenarios'!$C$11*'Sensitivity &amp; Scenarios'!$C$6*((1+$E380)^1-(1+$E380)^0))*'Sensitivity &amp; Scenarios'!$C$18/(1+$C380)^'Sensitivity &amp; Scenarios'!$C$18+('Sensitivity &amp; Scenarios'!$C$6*(1+$E380)^2*$G380+'Sensitivity &amp; Scenarios'!$C$11*'Sensitivity &amp; Scenarios'!$C$6*((1+$E380)^2-(1+$E380)^1))/(1+$C380)^('Sensitivity &amp; Scenarios'!$C$18+1)+('Sensitivity &amp; Scenarios'!$C$6*(1+$E380)^3*$G380+'Sensitivity &amp; Scenarios'!$C$11*'Sensitivity &amp; Scenarios'!$C$6*((1+$E380)^3-(1+$E380)^2))/(1+$C380)^('Sensitivity &amp; Scenarios'!$C$18+2)+('Sensitivity &amp; Scenarios'!$C$6*(1+$E380)^4*$G380+'Sensitivity &amp; Scenarios'!$C$11*'Sensitivity &amp; Scenarios'!$C$6*((1+$E380)^4-(1+$E380)^3))/(1+$C380)^('Sensitivity &amp; Scenarios'!$C$18+3)+('Sensitivity &amp; Scenarios'!$C$6*(1+$E380)^5*$G380+'Sensitivity &amp; Scenarios'!$C$11*'Sensitivity &amp; Scenarios'!$C$6*((1+$E380)^5-(1+$E380)^4))/(1+$C380)^('Sensitivity &amp; Scenarios'!$C$18+4)</f>
        <v>21147.088147648319</v>
      </c>
      <c r="I380" s="209">
        <f>('Sensitivity &amp; Scenarios'!$C$6*(1+$E380)^5*$G380+'Sensitivity &amp; Scenarios'!$C$11*'Sensitivity &amp; Scenarios'!$C$6*((1+$E380)^5-(1+$E380)^4))*(1+$D380)/($C380-$D380)/(1+$C380)^('Sensitivity &amp; Scenarios'!$C$18+4)</f>
        <v>57168.791423181268</v>
      </c>
      <c r="J380" s="209">
        <f>($H380+$I380-'Sensitivity &amp; Scenarios'!$C$15+'Sensitivity &amp; Scenarios'!$C$16)/'Sensitivity &amp; Scenarios'!$C$17</f>
        <v>1935.0145957974842</v>
      </c>
    </row>
    <row r="381" spans="2:10" x14ac:dyDescent="0.3">
      <c r="B381" s="127">
        <v>351</v>
      </c>
      <c r="C381" s="206">
        <f>$D$7+1.182531*$E$7</f>
        <v>0.14937756943997799</v>
      </c>
      <c r="D381" s="206">
        <f>MIN($D$8+-0.323985*$E$8,'Debt &amp; Cost of Capital'!$C$38)</f>
        <v>5.305609E-2</v>
      </c>
      <c r="E381" s="207">
        <f>$D$9+-0.20407*$E$9</f>
        <v>0.16109899770254635</v>
      </c>
      <c r="F381" s="207">
        <f>$D$10+-0.491656*$E$10</f>
        <v>0.13910012799999991</v>
      </c>
      <c r="G381" s="208">
        <f>$F381*(1-'Sensitivity &amp; Scenarios'!$C$12)+'Sensitivity &amp; Scenarios'!$C$9*'Sensitivity &amp; Scenarios'!$C$12-'Sensitivity &amp; Scenarios'!$C$10</f>
        <v>7.3284043870864637E-2</v>
      </c>
      <c r="H381" s="209">
        <f>('Sensitivity &amp; Scenarios'!$C$6*(1+$E381)^1*$G381+'Sensitivity &amp; Scenarios'!$C$11*'Sensitivity &amp; Scenarios'!$C$6*((1+$E381)^1-(1+$E381)^0))*'Sensitivity &amp; Scenarios'!$C$18/(1+$C381)^'Sensitivity &amp; Scenarios'!$C$18+('Sensitivity &amp; Scenarios'!$C$6*(1+$E381)^2*$G381+'Sensitivity &amp; Scenarios'!$C$11*'Sensitivity &amp; Scenarios'!$C$6*((1+$E381)^2-(1+$E381)^1))/(1+$C381)^('Sensitivity &amp; Scenarios'!$C$18+1)+('Sensitivity &amp; Scenarios'!$C$6*(1+$E381)^3*$G381+'Sensitivity &amp; Scenarios'!$C$11*'Sensitivity &amp; Scenarios'!$C$6*((1+$E381)^3-(1+$E381)^2))/(1+$C381)^('Sensitivity &amp; Scenarios'!$C$18+2)+('Sensitivity &amp; Scenarios'!$C$6*(1+$E381)^4*$G381+'Sensitivity &amp; Scenarios'!$C$11*'Sensitivity &amp; Scenarios'!$C$6*((1+$E381)^4-(1+$E381)^3))/(1+$C381)^('Sensitivity &amp; Scenarios'!$C$18+3)+('Sensitivity &amp; Scenarios'!$C$6*(1+$E381)^5*$G381+'Sensitivity &amp; Scenarios'!$C$11*'Sensitivity &amp; Scenarios'!$C$6*((1+$E381)^5-(1+$E381)^4))/(1+$C381)^('Sensitivity &amp; Scenarios'!$C$18+4)</f>
        <v>21074.737344311405</v>
      </c>
      <c r="I381" s="209">
        <f>('Sensitivity &amp; Scenarios'!$C$6*(1+$E381)^5*$G381+'Sensitivity &amp; Scenarios'!$C$11*'Sensitivity &amp; Scenarios'!$C$6*((1+$E381)^5-(1+$E381)^4))*(1+$D381)/($C381-$D381)/(1+$C381)^('Sensitivity &amp; Scenarios'!$C$18+4)</f>
        <v>50665.681747071103</v>
      </c>
      <c r="J381" s="209">
        <f>($H381+$I381-'Sensitivity &amp; Scenarios'!$C$15+'Sensitivity &amp; Scenarios'!$C$16)/'Sensitivity &amp; Scenarios'!$C$17</f>
        <v>1796.6091989028714</v>
      </c>
    </row>
    <row r="382" spans="2:10" x14ac:dyDescent="0.3">
      <c r="B382" s="127">
        <v>352</v>
      </c>
      <c r="C382" s="206">
        <f>$D$7+-0.580651*$E$7</f>
        <v>0.13174574943997799</v>
      </c>
      <c r="D382" s="206">
        <f>MIN($D$8+0.694671*$E$8,'Debt &amp; Cost of Capital'!$C$38)</f>
        <v>5.9168025999999999E-2</v>
      </c>
      <c r="E382" s="207">
        <f>$D$9+0.255907*$E$9</f>
        <v>0.17489830770254633</v>
      </c>
      <c r="F382" s="207">
        <f>$D$10+0.651748*$E$10</f>
        <v>0.15282097599999991</v>
      </c>
      <c r="G382" s="208">
        <f>$F382*(1-'Sensitivity &amp; Scenarios'!$C$12)+'Sensitivity &amp; Scenarios'!$C$9*'Sensitivity &amp; Scenarios'!$C$12-'Sensitivity &amp; Scenarios'!$C$10</f>
        <v>8.3551354429264646E-2</v>
      </c>
      <c r="H382" s="209">
        <f>('Sensitivity &amp; Scenarios'!$C$6*(1+$E382)^1*$G382+'Sensitivity &amp; Scenarios'!$C$11*'Sensitivity &amp; Scenarios'!$C$6*((1+$E382)^1-(1+$E382)^0))*'Sensitivity &amp; Scenarios'!$C$18/(1+$C382)^'Sensitivity &amp; Scenarios'!$C$18+('Sensitivity &amp; Scenarios'!$C$6*(1+$E382)^2*$G382+'Sensitivity &amp; Scenarios'!$C$11*'Sensitivity &amp; Scenarios'!$C$6*((1+$E382)^2-(1+$E382)^1))/(1+$C382)^('Sensitivity &amp; Scenarios'!$C$18+1)+('Sensitivity &amp; Scenarios'!$C$6*(1+$E382)^3*$G382+'Sensitivity &amp; Scenarios'!$C$11*'Sensitivity &amp; Scenarios'!$C$6*((1+$E382)^3-(1+$E382)^2))/(1+$C382)^('Sensitivity &amp; Scenarios'!$C$18+2)+('Sensitivity &amp; Scenarios'!$C$6*(1+$E382)^4*$G382+'Sensitivity &amp; Scenarios'!$C$11*'Sensitivity &amp; Scenarios'!$C$6*((1+$E382)^4-(1+$E382)^3))/(1+$C382)^('Sensitivity &amp; Scenarios'!$C$18+3)+('Sensitivity &amp; Scenarios'!$C$6*(1+$E382)^5*$G382+'Sensitivity &amp; Scenarios'!$C$11*'Sensitivity &amp; Scenarios'!$C$6*((1+$E382)^5-(1+$E382)^4))/(1+$C382)^('Sensitivity &amp; Scenarios'!$C$18+4)</f>
        <v>25806.519189553605</v>
      </c>
      <c r="I382" s="209">
        <f>('Sensitivity &amp; Scenarios'!$C$6*(1+$E382)^5*$G382+'Sensitivity &amp; Scenarios'!$C$11*'Sensitivity &amp; Scenarios'!$C$6*((1+$E382)^5-(1+$E382)^4))*(1+$D382)/($C382-$D382)/(1+$C382)^('Sensitivity &amp; Scenarios'!$C$18+4)</f>
        <v>86979.342406056079</v>
      </c>
      <c r="J382" s="209">
        <f>($H382+$I382-'Sensitivity &amp; Scenarios'!$C$15+'Sensitivity &amp; Scenarios'!$C$16)/'Sensitivity &amp; Scenarios'!$C$17</f>
        <v>2660.5655375151086</v>
      </c>
    </row>
    <row r="383" spans="2:10" x14ac:dyDescent="0.3">
      <c r="B383" s="127">
        <v>353</v>
      </c>
      <c r="C383" s="206">
        <f>$D$7+-0.008795*$E$7</f>
        <v>0.13746430943997798</v>
      </c>
      <c r="D383" s="206">
        <f>MIN($D$8+0.5132*$E$8,'Debt &amp; Cost of Capital'!$C$38)</f>
        <v>5.8079199999999997E-2</v>
      </c>
      <c r="E383" s="207">
        <f>$D$9+-0.418849*$E$9</f>
        <v>0.15465562770254634</v>
      </c>
      <c r="F383" s="207">
        <f>$D$10+2.229732*$E$10</f>
        <v>0.17175678399999991</v>
      </c>
      <c r="G383" s="208">
        <f>$F383*(1-'Sensitivity &amp; Scenarios'!$C$12)+'Sensitivity &amp; Scenarios'!$C$9*'Sensitivity &amp; Scenarios'!$C$12-'Sensitivity &amp; Scenarios'!$C$10</f>
        <v>9.7721019555664645E-2</v>
      </c>
      <c r="H383" s="209">
        <f>('Sensitivity &amp; Scenarios'!$C$6*(1+$E383)^1*$G383+'Sensitivity &amp; Scenarios'!$C$11*'Sensitivity &amp; Scenarios'!$C$6*((1+$E383)^1-(1+$E383)^0))*'Sensitivity &amp; Scenarios'!$C$18/(1+$C383)^'Sensitivity &amp; Scenarios'!$C$18+('Sensitivity &amp; Scenarios'!$C$6*(1+$E383)^2*$G383+'Sensitivity &amp; Scenarios'!$C$11*'Sensitivity &amp; Scenarios'!$C$6*((1+$E383)^2-(1+$E383)^1))/(1+$C383)^('Sensitivity &amp; Scenarios'!$C$18+1)+('Sensitivity &amp; Scenarios'!$C$6*(1+$E383)^3*$G383+'Sensitivity &amp; Scenarios'!$C$11*'Sensitivity &amp; Scenarios'!$C$6*((1+$E383)^3-(1+$E383)^2))/(1+$C383)^('Sensitivity &amp; Scenarios'!$C$18+2)+('Sensitivity &amp; Scenarios'!$C$6*(1+$E383)^4*$G383+'Sensitivity &amp; Scenarios'!$C$11*'Sensitivity &amp; Scenarios'!$C$6*((1+$E383)^4-(1+$E383)^3))/(1+$C383)^('Sensitivity &amp; Scenarios'!$C$18+3)+('Sensitivity &amp; Scenarios'!$C$6*(1+$E383)^5*$G383+'Sensitivity &amp; Scenarios'!$C$11*'Sensitivity &amp; Scenarios'!$C$6*((1+$E383)^5-(1+$E383)^4))/(1+$C383)^('Sensitivity &amp; Scenarios'!$C$18+4)</f>
        <v>27077.876193904085</v>
      </c>
      <c r="I383" s="209">
        <f>('Sensitivity &amp; Scenarios'!$C$6*(1+$E383)^5*$G383+'Sensitivity &amp; Scenarios'!$C$11*'Sensitivity &amp; Scenarios'!$C$6*((1+$E383)^5-(1+$E383)^4))*(1+$D383)/($C383-$D383)/(1+$C383)^('Sensitivity &amp; Scenarios'!$C$18+4)</f>
        <v>80066.565314247317</v>
      </c>
      <c r="J383" s="209">
        <f>($H383+$I383-'Sensitivity &amp; Scenarios'!$C$15+'Sensitivity &amp; Scenarios'!$C$16)/'Sensitivity &amp; Scenarios'!$C$17</f>
        <v>2541.8205479140815</v>
      </c>
    </row>
    <row r="384" spans="2:10" x14ac:dyDescent="0.3">
      <c r="B384" s="127">
        <v>354</v>
      </c>
      <c r="C384" s="206">
        <f>$D$7+-1.56793*$E$7</f>
        <v>0.12187295943997797</v>
      </c>
      <c r="D384" s="206">
        <f>MIN($D$8+1.260937*$E$8,'Debt &amp; Cost of Capital'!$C$38)</f>
        <v>6.2565622000000001E-2</v>
      </c>
      <c r="E384" s="207">
        <f>$D$9+1.367907*$E$9</f>
        <v>0.20825830770254633</v>
      </c>
      <c r="F384" s="207">
        <f>$D$10+-0.852159*$E$10</f>
        <v>0.1347740919999999</v>
      </c>
      <c r="G384" s="208">
        <f>$F384*(1-'Sensitivity &amp; Scenarios'!$C$12)+'Sensitivity &amp; Scenarios'!$C$9*'Sensitivity &amp; Scenarios'!$C$12-'Sensitivity &amp; Scenarios'!$C$10</f>
        <v>7.0046871132064634E-2</v>
      </c>
      <c r="H384" s="209">
        <f>('Sensitivity &amp; Scenarios'!$C$6*(1+$E384)^1*$G384+'Sensitivity &amp; Scenarios'!$C$11*'Sensitivity &amp; Scenarios'!$C$6*((1+$E384)^1-(1+$E384)^0))*'Sensitivity &amp; Scenarios'!$C$18/(1+$C384)^'Sensitivity &amp; Scenarios'!$C$18+('Sensitivity &amp; Scenarios'!$C$6*(1+$E384)^2*$G384+'Sensitivity &amp; Scenarios'!$C$11*'Sensitivity &amp; Scenarios'!$C$6*((1+$E384)^2-(1+$E384)^1))/(1+$C384)^('Sensitivity &amp; Scenarios'!$C$18+1)+('Sensitivity &amp; Scenarios'!$C$6*(1+$E384)^3*$G384+'Sensitivity &amp; Scenarios'!$C$11*'Sensitivity &amp; Scenarios'!$C$6*((1+$E384)^3-(1+$E384)^2))/(1+$C384)^('Sensitivity &amp; Scenarios'!$C$18+2)+('Sensitivity &amp; Scenarios'!$C$6*(1+$E384)^4*$G384+'Sensitivity &amp; Scenarios'!$C$11*'Sensitivity &amp; Scenarios'!$C$6*((1+$E384)^4-(1+$E384)^3))/(1+$C384)^('Sensitivity &amp; Scenarios'!$C$18+3)+('Sensitivity &amp; Scenarios'!$C$6*(1+$E384)^5*$G384+'Sensitivity &amp; Scenarios'!$C$11*'Sensitivity &amp; Scenarios'!$C$6*((1+$E384)^5-(1+$E384)^4))/(1+$C384)^('Sensitivity &amp; Scenarios'!$C$18+4)</f>
        <v>25829.155436011089</v>
      </c>
      <c r="I384" s="209">
        <f>('Sensitivity &amp; Scenarios'!$C$6*(1+$E384)^5*$G384+'Sensitivity &amp; Scenarios'!$C$11*'Sensitivity &amp; Scenarios'!$C$6*((1+$E384)^5-(1+$E384)^4))*(1+$D384)/($C384-$D384)/(1+$C384)^('Sensitivity &amp; Scenarios'!$C$18+4)</f>
        <v>113938.85363444622</v>
      </c>
      <c r="J384" s="209">
        <f>($H384+$I384-'Sensitivity &amp; Scenarios'!$C$15+'Sensitivity &amp; Scenarios'!$C$16)/'Sensitivity &amp; Scenarios'!$C$17</f>
        <v>3228.5067245997398</v>
      </c>
    </row>
    <row r="385" spans="2:10" x14ac:dyDescent="0.3">
      <c r="B385" s="127">
        <v>355</v>
      </c>
      <c r="C385" s="206">
        <f>$D$7+2.229274*$E$7</f>
        <v>0.15984499943997799</v>
      </c>
      <c r="D385" s="206">
        <f>MIN($D$8+0.99549*$E$8,'Debt &amp; Cost of Capital'!$C$38)</f>
        <v>6.0972940000000003E-2</v>
      </c>
      <c r="E385" s="207">
        <f>$D$9+0.971139*$E$9</f>
        <v>0.19635526770254633</v>
      </c>
      <c r="F385" s="207">
        <f>$D$10+0.028022*$E$10</f>
        <v>0.14533626399999991</v>
      </c>
      <c r="G385" s="208">
        <f>$F385*(1-'Sensitivity &amp; Scenarios'!$C$12)+'Sensitivity &amp; Scenarios'!$C$9*'Sensitivity &amp; Scenarios'!$C$12-'Sensitivity &amp; Scenarios'!$C$10</f>
        <v>7.7950544439664635E-2</v>
      </c>
      <c r="H385" s="209">
        <f>('Sensitivity &amp; Scenarios'!$C$6*(1+$E385)^1*$G385+'Sensitivity &amp; Scenarios'!$C$11*'Sensitivity &amp; Scenarios'!$C$6*((1+$E385)^1-(1+$E385)^0))*'Sensitivity &amp; Scenarios'!$C$18/(1+$C385)^'Sensitivity &amp; Scenarios'!$C$18+('Sensitivity &amp; Scenarios'!$C$6*(1+$E385)^2*$G385+'Sensitivity &amp; Scenarios'!$C$11*'Sensitivity &amp; Scenarios'!$C$6*((1+$E385)^2-(1+$E385)^1))/(1+$C385)^('Sensitivity &amp; Scenarios'!$C$18+1)+('Sensitivity &amp; Scenarios'!$C$6*(1+$E385)^3*$G385+'Sensitivity &amp; Scenarios'!$C$11*'Sensitivity &amp; Scenarios'!$C$6*((1+$E385)^3-(1+$E385)^2))/(1+$C385)^('Sensitivity &amp; Scenarios'!$C$18+2)+('Sensitivity &amp; Scenarios'!$C$6*(1+$E385)^4*$G385+'Sensitivity &amp; Scenarios'!$C$11*'Sensitivity &amp; Scenarios'!$C$6*((1+$E385)^4-(1+$E385)^3))/(1+$C385)^('Sensitivity &amp; Scenarios'!$C$18+3)+('Sensitivity &amp; Scenarios'!$C$6*(1+$E385)^5*$G385+'Sensitivity &amp; Scenarios'!$C$11*'Sensitivity &amp; Scenarios'!$C$6*((1+$E385)^5-(1+$E385)^4))/(1+$C385)^('Sensitivity &amp; Scenarios'!$C$18+4)</f>
        <v>24505.488744675949</v>
      </c>
      <c r="I385" s="209">
        <f>('Sensitivity &amp; Scenarios'!$C$6*(1+$E385)^5*$G385+'Sensitivity &amp; Scenarios'!$C$11*'Sensitivity &amp; Scenarios'!$C$6*((1+$E385)^5-(1+$E385)^4))*(1+$D385)/($C385-$D385)/(1+$C385)^('Sensitivity &amp; Scenarios'!$C$18+4)</f>
        <v>60041.593566038471</v>
      </c>
      <c r="J385" s="209">
        <f>($H385+$I385-'Sensitivity &amp; Scenarios'!$C$15+'Sensitivity &amp; Scenarios'!$C$16)/'Sensitivity &amp; Scenarios'!$C$17</f>
        <v>2066.1737885323901</v>
      </c>
    </row>
    <row r="386" spans="2:10" x14ac:dyDescent="0.3">
      <c r="B386" s="127">
        <v>356</v>
      </c>
      <c r="C386" s="206">
        <f>$D$7+-0.217226*$E$7</f>
        <v>0.13537999943997797</v>
      </c>
      <c r="D386" s="206">
        <f>MIN($D$8+-0.209409*$E$8,'Debt &amp; Cost of Capital'!$C$38)</f>
        <v>5.3743546000000003E-2</v>
      </c>
      <c r="E386" s="207">
        <f>$D$9+0.390531*$E$9</f>
        <v>0.17893702770254633</v>
      </c>
      <c r="F386" s="207">
        <f>$D$10+1.401186*$E$10</f>
        <v>0.16181423199999992</v>
      </c>
      <c r="G386" s="208">
        <f>$F386*(1-'Sensitivity &amp; Scenarios'!$C$12)+'Sensitivity &amp; Scenarios'!$C$9*'Sensitivity &amp; Scenarios'!$C$12-'Sensitivity &amp; Scenarios'!$C$10</f>
        <v>9.0281007894064652E-2</v>
      </c>
      <c r="H386" s="209">
        <f>('Sensitivity &amp; Scenarios'!$C$6*(1+$E386)^1*$G386+'Sensitivity &amp; Scenarios'!$C$11*'Sensitivity &amp; Scenarios'!$C$6*((1+$E386)^1-(1+$E386)^0))*'Sensitivity &amp; Scenarios'!$C$18/(1+$C386)^'Sensitivity &amp; Scenarios'!$C$18+('Sensitivity &amp; Scenarios'!$C$6*(1+$E386)^2*$G386+'Sensitivity &amp; Scenarios'!$C$11*'Sensitivity &amp; Scenarios'!$C$6*((1+$E386)^2-(1+$E386)^1))/(1+$C386)^('Sensitivity &amp; Scenarios'!$C$18+1)+('Sensitivity &amp; Scenarios'!$C$6*(1+$E386)^3*$G386+'Sensitivity &amp; Scenarios'!$C$11*'Sensitivity &amp; Scenarios'!$C$6*((1+$E386)^3-(1+$E386)^2))/(1+$C386)^('Sensitivity &amp; Scenarios'!$C$18+2)+('Sensitivity &amp; Scenarios'!$C$6*(1+$E386)^4*$G386+'Sensitivity &amp; Scenarios'!$C$11*'Sensitivity &amp; Scenarios'!$C$6*((1+$E386)^4-(1+$E386)^3))/(1+$C386)^('Sensitivity &amp; Scenarios'!$C$18+3)+('Sensitivity &amp; Scenarios'!$C$6*(1+$E386)^5*$G386+'Sensitivity &amp; Scenarios'!$C$11*'Sensitivity &amp; Scenarios'!$C$6*((1+$E386)^5-(1+$E386)^4))/(1+$C386)^('Sensitivity &amp; Scenarios'!$C$18+4)</f>
        <v>27679.996653258335</v>
      </c>
      <c r="I386" s="209">
        <f>('Sensitivity &amp; Scenarios'!$C$6*(1+$E386)^5*$G386+'Sensitivity &amp; Scenarios'!$C$11*'Sensitivity &amp; Scenarios'!$C$6*((1+$E386)^5-(1+$E386)^4))*(1+$D386)/($C386-$D386)/(1+$C386)^('Sensitivity &amp; Scenarios'!$C$18+4)</f>
        <v>82549.745910812926</v>
      </c>
      <c r="J386" s="209">
        <f>($H386+$I386-'Sensitivity &amp; Scenarios'!$C$15+'Sensitivity &amp; Scenarios'!$C$16)/'Sensitivity &amp; Scenarios'!$C$17</f>
        <v>2606.7623597489642</v>
      </c>
    </row>
    <row r="387" spans="2:10" x14ac:dyDescent="0.3">
      <c r="B387" s="127">
        <v>357</v>
      </c>
      <c r="C387" s="206">
        <f>$D$7+0.181314*$E$7</f>
        <v>0.13936539943997797</v>
      </c>
      <c r="D387" s="206">
        <f>MIN($D$8+-0.911444*$E$8,'Debt &amp; Cost of Capital'!$C$38)</f>
        <v>4.9531336000000002E-2</v>
      </c>
      <c r="E387" s="207">
        <f>$D$9+0.824427*$E$9</f>
        <v>0.19195390770254633</v>
      </c>
      <c r="F387" s="207">
        <f>$D$10+0.921151*$E$10</f>
        <v>0.1560538119999999</v>
      </c>
      <c r="G387" s="208">
        <f>$F387*(1-'Sensitivity &amp; Scenarios'!$C$12)+'Sensitivity &amp; Scenarios'!$C$9*'Sensitivity &amp; Scenarios'!$C$12-'Sensitivity &amp; Scenarios'!$C$10</f>
        <v>8.597048560806464E-2</v>
      </c>
      <c r="H387" s="209">
        <f>('Sensitivity &amp; Scenarios'!$C$6*(1+$E387)^1*$G387+'Sensitivity &amp; Scenarios'!$C$11*'Sensitivity &amp; Scenarios'!$C$6*((1+$E387)^1-(1+$E387)^0))*'Sensitivity &amp; Scenarios'!$C$18/(1+$C387)^'Sensitivity &amp; Scenarios'!$C$18+('Sensitivity &amp; Scenarios'!$C$6*(1+$E387)^2*$G387+'Sensitivity &amp; Scenarios'!$C$11*'Sensitivity &amp; Scenarios'!$C$6*((1+$E387)^2-(1+$E387)^1))/(1+$C387)^('Sensitivity &amp; Scenarios'!$C$18+1)+('Sensitivity &amp; Scenarios'!$C$6*(1+$E387)^3*$G387+'Sensitivity &amp; Scenarios'!$C$11*'Sensitivity &amp; Scenarios'!$C$6*((1+$E387)^3-(1+$E387)^2))/(1+$C387)^('Sensitivity &amp; Scenarios'!$C$18+2)+('Sensitivity &amp; Scenarios'!$C$6*(1+$E387)^4*$G387+'Sensitivity &amp; Scenarios'!$C$11*'Sensitivity &amp; Scenarios'!$C$6*((1+$E387)^4-(1+$E387)^3))/(1+$C387)^('Sensitivity &amp; Scenarios'!$C$18+3)+('Sensitivity &amp; Scenarios'!$C$6*(1+$E387)^5*$G387+'Sensitivity &amp; Scenarios'!$C$11*'Sensitivity &amp; Scenarios'!$C$6*((1+$E387)^5-(1+$E387)^4))/(1+$C387)^('Sensitivity &amp; Scenarios'!$C$18+4)</f>
        <v>27520.165218177877</v>
      </c>
      <c r="I387" s="209">
        <f>('Sensitivity &amp; Scenarios'!$C$6*(1+$E387)^5*$G387+'Sensitivity &amp; Scenarios'!$C$11*'Sensitivity &amp; Scenarios'!$C$6*((1+$E387)^5-(1+$E387)^4))*(1+$D387)/($C387-$D387)/(1+$C387)^('Sensitivity &amp; Scenarios'!$C$18+4)</f>
        <v>75273.229844863672</v>
      </c>
      <c r="J387" s="209">
        <f>($H387+$I387-'Sensitivity &amp; Scenarios'!$C$15+'Sensitivity &amp; Scenarios'!$C$16)/'Sensitivity &amp; Scenarios'!$C$17</f>
        <v>2450.2363444921853</v>
      </c>
    </row>
    <row r="388" spans="2:10" x14ac:dyDescent="0.3">
      <c r="B388" s="127">
        <v>358</v>
      </c>
      <c r="C388" s="206">
        <f>$D$7+0.65466*$E$7</f>
        <v>0.14409885943997799</v>
      </c>
      <c r="D388" s="206">
        <f>MIN($D$8+0.745499*$E$8,'Debt &amp; Cost of Capital'!$C$38)</f>
        <v>5.9472994000000001E-2</v>
      </c>
      <c r="E388" s="207">
        <f>$D$9+-0.270928*$E$9</f>
        <v>0.15909325770254634</v>
      </c>
      <c r="F388" s="207">
        <f>$D$10+-0.928989*$E$10</f>
        <v>0.1338521319999999</v>
      </c>
      <c r="G388" s="208">
        <f>$F388*(1-'Sensitivity &amp; Scenarios'!$C$12)+'Sensitivity &amp; Scenarios'!$C$9*'Sensitivity &amp; Scenarios'!$C$12-'Sensitivity &amp; Scenarios'!$C$10</f>
        <v>6.9356968464064639E-2</v>
      </c>
      <c r="H388" s="209">
        <f>('Sensitivity &amp; Scenarios'!$C$6*(1+$E388)^1*$G388+'Sensitivity &amp; Scenarios'!$C$11*'Sensitivity &amp; Scenarios'!$C$6*((1+$E388)^1-(1+$E388)^0))*'Sensitivity &amp; Scenarios'!$C$18/(1+$C388)^'Sensitivity &amp; Scenarios'!$C$18+('Sensitivity &amp; Scenarios'!$C$6*(1+$E388)^2*$G388+'Sensitivity &amp; Scenarios'!$C$11*'Sensitivity &amp; Scenarios'!$C$6*((1+$E388)^2-(1+$E388)^1))/(1+$C388)^('Sensitivity &amp; Scenarios'!$C$18+1)+('Sensitivity &amp; Scenarios'!$C$6*(1+$E388)^3*$G388+'Sensitivity &amp; Scenarios'!$C$11*'Sensitivity &amp; Scenarios'!$C$6*((1+$E388)^3-(1+$E388)^2))/(1+$C388)^('Sensitivity &amp; Scenarios'!$C$18+2)+('Sensitivity &amp; Scenarios'!$C$6*(1+$E388)^4*$G388+'Sensitivity &amp; Scenarios'!$C$11*'Sensitivity &amp; Scenarios'!$C$6*((1+$E388)^4-(1+$E388)^3))/(1+$C388)^('Sensitivity &amp; Scenarios'!$C$18+3)+('Sensitivity &amp; Scenarios'!$C$6*(1+$E388)^5*$G388+'Sensitivity &amp; Scenarios'!$C$11*'Sensitivity &amp; Scenarios'!$C$6*((1+$E388)^5-(1+$E388)^4))/(1+$C388)^('Sensitivity &amp; Scenarios'!$C$18+4)</f>
        <v>20251.332077066869</v>
      </c>
      <c r="I388" s="209">
        <f>('Sensitivity &amp; Scenarios'!$C$6*(1+$E388)^5*$G388+'Sensitivity &amp; Scenarios'!$C$11*'Sensitivity &amp; Scenarios'!$C$6*((1+$E388)^5-(1+$E388)^4))*(1+$D388)/($C388-$D388)/(1+$C388)^('Sensitivity &amp; Scenarios'!$C$18+4)</f>
        <v>56044.917113919095</v>
      </c>
      <c r="J388" s="209">
        <f>($H388+$I388-'Sensitivity &amp; Scenarios'!$C$15+'Sensitivity &amp; Scenarios'!$C$16)/'Sensitivity &amp; Scenarios'!$C$17</f>
        <v>1892.5038476641182</v>
      </c>
    </row>
    <row r="389" spans="2:10" x14ac:dyDescent="0.3">
      <c r="B389" s="127">
        <v>359</v>
      </c>
      <c r="C389" s="206">
        <f>$D$7+-0.868193*$E$7</f>
        <v>0.12887032943997798</v>
      </c>
      <c r="D389" s="206">
        <f>MIN($D$8+-1.635463*$E$8,'Debt &amp; Cost of Capital'!$C$38)</f>
        <v>4.5187221999999999E-2</v>
      </c>
      <c r="E389" s="207">
        <f>$D$9+0.236949*$E$9</f>
        <v>0.17432956770254635</v>
      </c>
      <c r="F389" s="207">
        <f>$D$10+-0.083449*$E$10</f>
        <v>0.14399861199999991</v>
      </c>
      <c r="G389" s="208">
        <f>$F389*(1-'Sensitivity &amp; Scenarios'!$C$12)+'Sensitivity &amp; Scenarios'!$C$9*'Sensitivity &amp; Scenarios'!$C$12-'Sensitivity &amp; Scenarios'!$C$10</f>
        <v>7.6949579448064645E-2</v>
      </c>
      <c r="H389" s="209">
        <f>('Sensitivity &amp; Scenarios'!$C$6*(1+$E389)^1*$G389+'Sensitivity &amp; Scenarios'!$C$11*'Sensitivity &amp; Scenarios'!$C$6*((1+$E389)^1-(1+$E389)^0))*'Sensitivity &amp; Scenarios'!$C$18/(1+$C389)^'Sensitivity &amp; Scenarios'!$C$18+('Sensitivity &amp; Scenarios'!$C$6*(1+$E389)^2*$G389+'Sensitivity &amp; Scenarios'!$C$11*'Sensitivity &amp; Scenarios'!$C$6*((1+$E389)^2-(1+$E389)^1))/(1+$C389)^('Sensitivity &amp; Scenarios'!$C$18+1)+('Sensitivity &amp; Scenarios'!$C$6*(1+$E389)^3*$G389+'Sensitivity &amp; Scenarios'!$C$11*'Sensitivity &amp; Scenarios'!$C$6*((1+$E389)^3-(1+$E389)^2))/(1+$C389)^('Sensitivity &amp; Scenarios'!$C$18+2)+('Sensitivity &amp; Scenarios'!$C$6*(1+$E389)^4*$G389+'Sensitivity &amp; Scenarios'!$C$11*'Sensitivity &amp; Scenarios'!$C$6*((1+$E389)^4-(1+$E389)^3))/(1+$C389)^('Sensitivity &amp; Scenarios'!$C$18+3)+('Sensitivity &amp; Scenarios'!$C$6*(1+$E389)^5*$G389+'Sensitivity &amp; Scenarios'!$C$11*'Sensitivity &amp; Scenarios'!$C$6*((1+$E389)^5-(1+$E389)^4))/(1+$C389)^('Sensitivity &amp; Scenarios'!$C$18+4)</f>
        <v>24227.933686383527</v>
      </c>
      <c r="I389" s="209">
        <f>('Sensitivity &amp; Scenarios'!$C$6*(1+$E389)^5*$G389+'Sensitivity &amp; Scenarios'!$C$11*'Sensitivity &amp; Scenarios'!$C$6*((1+$E389)^5-(1+$E389)^4))*(1+$D389)/($C389-$D389)/(1+$C389)^('Sensitivity &amp; Scenarios'!$C$18+4)</f>
        <v>70142.758806674872</v>
      </c>
      <c r="J389" s="209">
        <f>($H389+$I389-'Sensitivity &amp; Scenarios'!$C$15+'Sensitivity &amp; Scenarios'!$C$16)/'Sensitivity &amp; Scenarios'!$C$17</f>
        <v>2272.9487620076479</v>
      </c>
    </row>
    <row r="390" spans="2:10" x14ac:dyDescent="0.3">
      <c r="B390" s="127">
        <v>360</v>
      </c>
      <c r="C390" s="206">
        <f>$D$7+-0.439988*$E$7</f>
        <v>0.13315237943997799</v>
      </c>
      <c r="D390" s="206">
        <f>MIN($D$8+-2.955619*$E$8,'Debt &amp; Cost of Capital'!$C$38)</f>
        <v>3.7266285999999996E-2</v>
      </c>
      <c r="E390" s="207">
        <f>$D$9+-1.247317*$E$9</f>
        <v>0.12980158770254635</v>
      </c>
      <c r="F390" s="207">
        <f>$D$10+1.120841*$E$10</f>
        <v>0.1584500919999999</v>
      </c>
      <c r="G390" s="208">
        <f>$F390*(1-'Sensitivity &amp; Scenarios'!$C$12)+'Sensitivity &amp; Scenarios'!$C$9*'Sensitivity &amp; Scenarios'!$C$12-'Sensitivity &amp; Scenarios'!$C$10</f>
        <v>8.7763621932064634E-2</v>
      </c>
      <c r="H390" s="209">
        <f>('Sensitivity &amp; Scenarios'!$C$6*(1+$E390)^1*$G390+'Sensitivity &amp; Scenarios'!$C$11*'Sensitivity &amp; Scenarios'!$C$6*((1+$E390)^1-(1+$E390)^0))*'Sensitivity &amp; Scenarios'!$C$18/(1+$C390)^'Sensitivity &amp; Scenarios'!$C$18+('Sensitivity &amp; Scenarios'!$C$6*(1+$E390)^2*$G390+'Sensitivity &amp; Scenarios'!$C$11*'Sensitivity &amp; Scenarios'!$C$6*((1+$E390)^2-(1+$E390)^1))/(1+$C390)^('Sensitivity &amp; Scenarios'!$C$18+1)+('Sensitivity &amp; Scenarios'!$C$6*(1+$E390)^3*$G390+'Sensitivity &amp; Scenarios'!$C$11*'Sensitivity &amp; Scenarios'!$C$6*((1+$E390)^3-(1+$E390)^2))/(1+$C390)^('Sensitivity &amp; Scenarios'!$C$18+2)+('Sensitivity &amp; Scenarios'!$C$6*(1+$E390)^4*$G390+'Sensitivity &amp; Scenarios'!$C$11*'Sensitivity &amp; Scenarios'!$C$6*((1+$E390)^4-(1+$E390)^3))/(1+$C390)^('Sensitivity &amp; Scenarios'!$C$18+3)+('Sensitivity &amp; Scenarios'!$C$6*(1+$E390)^5*$G390+'Sensitivity &amp; Scenarios'!$C$11*'Sensitivity &amp; Scenarios'!$C$6*((1+$E390)^5-(1+$E390)^4))/(1+$C390)^('Sensitivity &amp; Scenarios'!$C$18+4)</f>
        <v>22805.931408581331</v>
      </c>
      <c r="I390" s="209">
        <f>('Sensitivity &amp; Scenarios'!$C$6*(1+$E390)^5*$G390+'Sensitivity &amp; Scenarios'!$C$11*'Sensitivity &amp; Scenarios'!$C$6*((1+$E390)^5-(1+$E390)^4))*(1+$D390)/($C390-$D390)/(1+$C390)^('Sensitivity &amp; Scenarios'!$C$18+4)</f>
        <v>52961.443555832229</v>
      </c>
      <c r="J390" s="209">
        <f>($H390+$I390-'Sensitivity &amp; Scenarios'!$C$15+'Sensitivity &amp; Scenarios'!$C$16)/'Sensitivity &amp; Scenarios'!$C$17</f>
        <v>1881.3716923626178</v>
      </c>
    </row>
    <row r="391" spans="2:10" x14ac:dyDescent="0.3">
      <c r="B391" s="127">
        <v>361</v>
      </c>
      <c r="C391" s="206">
        <f>$D$7+-0.664626*$E$7</f>
        <v>0.13090599943997799</v>
      </c>
      <c r="D391" s="206">
        <f>MIN($D$8+0.360592*$E$8,'Debt &amp; Cost of Capital'!$C$38)</f>
        <v>5.7163551999999999E-2</v>
      </c>
      <c r="E391" s="207">
        <f>$D$9+-1.390685*$E$9</f>
        <v>0.12550054770254634</v>
      </c>
      <c r="F391" s="207">
        <f>$D$10+1.438705*$E$10</f>
        <v>0.16226445999999992</v>
      </c>
      <c r="G391" s="208">
        <f>$F391*(1-'Sensitivity &amp; Scenarios'!$C$12)+'Sensitivity &amp; Scenarios'!$C$9*'Sensitivity &amp; Scenarios'!$C$12-'Sensitivity &amp; Scenarios'!$C$10</f>
        <v>9.0617913506464642E-2</v>
      </c>
      <c r="H391" s="209">
        <f>('Sensitivity &amp; Scenarios'!$C$6*(1+$E391)^1*$G391+'Sensitivity &amp; Scenarios'!$C$11*'Sensitivity &amp; Scenarios'!$C$6*((1+$E391)^1-(1+$E391)^0))*'Sensitivity &amp; Scenarios'!$C$18/(1+$C391)^'Sensitivity &amp; Scenarios'!$C$18+('Sensitivity &amp; Scenarios'!$C$6*(1+$E391)^2*$G391+'Sensitivity &amp; Scenarios'!$C$11*'Sensitivity &amp; Scenarios'!$C$6*((1+$E391)^2-(1+$E391)^1))/(1+$C391)^('Sensitivity &amp; Scenarios'!$C$18+1)+('Sensitivity &amp; Scenarios'!$C$6*(1+$E391)^3*$G391+'Sensitivity &amp; Scenarios'!$C$11*'Sensitivity &amp; Scenarios'!$C$6*((1+$E391)^3-(1+$E391)^2))/(1+$C391)^('Sensitivity &amp; Scenarios'!$C$18+2)+('Sensitivity &amp; Scenarios'!$C$6*(1+$E391)^4*$G391+'Sensitivity &amp; Scenarios'!$C$11*'Sensitivity &amp; Scenarios'!$C$6*((1+$E391)^4-(1+$E391)^3))/(1+$C391)^('Sensitivity &amp; Scenarios'!$C$18+3)+('Sensitivity &amp; Scenarios'!$C$6*(1+$E391)^5*$G391+'Sensitivity &amp; Scenarios'!$C$11*'Sensitivity &amp; Scenarios'!$C$6*((1+$E391)^5-(1+$E391)^4))/(1+$C391)^('Sensitivity &amp; Scenarios'!$C$18+4)</f>
        <v>23218.469422565548</v>
      </c>
      <c r="I391" s="209">
        <f>('Sensitivity &amp; Scenarios'!$C$6*(1+$E391)^5*$G391+'Sensitivity &amp; Scenarios'!$C$11*'Sensitivity &amp; Scenarios'!$C$6*((1+$E391)^5-(1+$E391)^4))*(1+$D391)/($C391-$D391)/(1+$C391)^('Sensitivity &amp; Scenarios'!$C$18+4)</f>
        <v>71214.200840936304</v>
      </c>
      <c r="J391" s="209">
        <f>($H391+$I391-'Sensitivity &amp; Scenarios'!$C$15+'Sensitivity &amp; Scenarios'!$C$16)/'Sensitivity &amp; Scenarios'!$C$17</f>
        <v>2274.2533182351062</v>
      </c>
    </row>
    <row r="392" spans="2:10" x14ac:dyDescent="0.3">
      <c r="B392" s="127">
        <v>362</v>
      </c>
      <c r="C392" s="206">
        <f>$D$7+-0.144028*$E$7</f>
        <v>0.13611197943997799</v>
      </c>
      <c r="D392" s="206">
        <f>MIN($D$8+0.29004*$E$8,'Debt &amp; Cost of Capital'!$C$38)</f>
        <v>5.6740239999999997E-2</v>
      </c>
      <c r="E392" s="207">
        <f>$D$9+2.32578*$E$9</f>
        <v>0.23699449770254633</v>
      </c>
      <c r="F392" s="207">
        <f>$D$10+1.51644*$E$10</f>
        <v>0.16319727999999992</v>
      </c>
      <c r="G392" s="208">
        <f>$F392*(1-'Sensitivity &amp; Scenarios'!$C$12)+'Sensitivity &amp; Scenarios'!$C$9*'Sensitivity &amp; Scenarios'!$C$12-'Sensitivity &amp; Scenarios'!$C$10</f>
        <v>9.1315942712464654E-2</v>
      </c>
      <c r="H392" s="209">
        <f>('Sensitivity &amp; Scenarios'!$C$6*(1+$E392)^1*$G392+'Sensitivity &amp; Scenarios'!$C$11*'Sensitivity &amp; Scenarios'!$C$6*((1+$E392)^1-(1+$E392)^0))*'Sensitivity &amp; Scenarios'!$C$18/(1+$C392)^'Sensitivity &amp; Scenarios'!$C$18+('Sensitivity &amp; Scenarios'!$C$6*(1+$E392)^2*$G392+'Sensitivity &amp; Scenarios'!$C$11*'Sensitivity &amp; Scenarios'!$C$6*((1+$E392)^2-(1+$E392)^1))/(1+$C392)^('Sensitivity &amp; Scenarios'!$C$18+1)+('Sensitivity &amp; Scenarios'!$C$6*(1+$E392)^3*$G392+'Sensitivity &amp; Scenarios'!$C$11*'Sensitivity &amp; Scenarios'!$C$6*((1+$E392)^3-(1+$E392)^2))/(1+$C392)^('Sensitivity &amp; Scenarios'!$C$18+2)+('Sensitivity &amp; Scenarios'!$C$6*(1+$E392)^4*$G392+'Sensitivity &amp; Scenarios'!$C$11*'Sensitivity &amp; Scenarios'!$C$6*((1+$E392)^4-(1+$E392)^3))/(1+$C392)^('Sensitivity &amp; Scenarios'!$C$18+3)+('Sensitivity &amp; Scenarios'!$C$6*(1+$E392)^5*$G392+'Sensitivity &amp; Scenarios'!$C$11*'Sensitivity &amp; Scenarios'!$C$6*((1+$E392)^5-(1+$E392)^4))/(1+$C392)^('Sensitivity &amp; Scenarios'!$C$18+4)</f>
        <v>33966.369045110681</v>
      </c>
      <c r="I392" s="209">
        <f>('Sensitivity &amp; Scenarios'!$C$6*(1+$E392)^5*$G392+'Sensitivity &amp; Scenarios'!$C$11*'Sensitivity &amp; Scenarios'!$C$6*((1+$E392)^5-(1+$E392)^4))*(1+$D392)/($C392-$D392)/(1+$C392)^('Sensitivity &amp; Scenarios'!$C$18+4)</f>
        <v>113422.17529491773</v>
      </c>
      <c r="J392" s="209">
        <f>($H392+$I392-'Sensitivity &amp; Scenarios'!$C$15+'Sensitivity &amp; Scenarios'!$C$16)/'Sensitivity &amp; Scenarios'!$C$17</f>
        <v>3388.9096669991554</v>
      </c>
    </row>
    <row r="393" spans="2:10" x14ac:dyDescent="0.3">
      <c r="B393" s="127">
        <v>363</v>
      </c>
      <c r="C393" s="206">
        <f>$D$7+-0.306566*$E$7</f>
        <v>0.13448659943997798</v>
      </c>
      <c r="D393" s="206">
        <f>MIN($D$8+-0.59322*$E$8,'Debt &amp; Cost of Capital'!$C$38)</f>
        <v>5.1440680000000003E-2</v>
      </c>
      <c r="E393" s="207">
        <f>$D$9+-0.325545*$E$9</f>
        <v>0.15745474770254633</v>
      </c>
      <c r="F393" s="207">
        <f>$D$10+0.509898*$E$10</f>
        <v>0.1511187759999999</v>
      </c>
      <c r="G393" s="208">
        <f>$F393*(1-'Sensitivity &amp; Scenarios'!$C$12)+'Sensitivity &amp; Scenarios'!$C$9*'Sensitivity &amp; Scenarios'!$C$12-'Sensitivity &amp; Scenarios'!$C$10</f>
        <v>8.2277598169264624E-2</v>
      </c>
      <c r="H393" s="209">
        <f>('Sensitivity &amp; Scenarios'!$C$6*(1+$E393)^1*$G393+'Sensitivity &amp; Scenarios'!$C$11*'Sensitivity &amp; Scenarios'!$C$6*((1+$E393)^1-(1+$E393)^0))*'Sensitivity &amp; Scenarios'!$C$18/(1+$C393)^'Sensitivity &amp; Scenarios'!$C$18+('Sensitivity &amp; Scenarios'!$C$6*(1+$E393)^2*$G393+'Sensitivity &amp; Scenarios'!$C$11*'Sensitivity &amp; Scenarios'!$C$6*((1+$E393)^2-(1+$E393)^1))/(1+$C393)^('Sensitivity &amp; Scenarios'!$C$18+1)+('Sensitivity &amp; Scenarios'!$C$6*(1+$E393)^3*$G393+'Sensitivity &amp; Scenarios'!$C$11*'Sensitivity &amp; Scenarios'!$C$6*((1+$E393)^3-(1+$E393)^2))/(1+$C393)^('Sensitivity &amp; Scenarios'!$C$18+2)+('Sensitivity &amp; Scenarios'!$C$6*(1+$E393)^4*$G393+'Sensitivity &amp; Scenarios'!$C$11*'Sensitivity &amp; Scenarios'!$C$6*((1+$E393)^4-(1+$E393)^3))/(1+$C393)^('Sensitivity &amp; Scenarios'!$C$18+3)+('Sensitivity &amp; Scenarios'!$C$6*(1+$E393)^5*$G393+'Sensitivity &amp; Scenarios'!$C$11*'Sensitivity &amp; Scenarios'!$C$6*((1+$E393)^5-(1+$E393)^4))/(1+$C393)^('Sensitivity &amp; Scenarios'!$C$18+4)</f>
        <v>23771.570569798339</v>
      </c>
      <c r="I393" s="209">
        <f>('Sensitivity &amp; Scenarios'!$C$6*(1+$E393)^5*$G393+'Sensitivity &amp; Scenarios'!$C$11*'Sensitivity &amp; Scenarios'!$C$6*((1+$E393)^5-(1+$E393)^4))*(1+$D393)/($C393-$D393)/(1+$C393)^('Sensitivity &amp; Scenarios'!$C$18+4)</f>
        <v>67382.177418726365</v>
      </c>
      <c r="J393" s="209">
        <f>($H393+$I393-'Sensitivity &amp; Scenarios'!$C$15+'Sensitivity &amp; Scenarios'!$C$16)/'Sensitivity &amp; Scenarios'!$C$17</f>
        <v>2205.236016667664</v>
      </c>
    </row>
    <row r="394" spans="2:10" x14ac:dyDescent="0.3">
      <c r="B394" s="127">
        <v>364</v>
      </c>
      <c r="C394" s="206">
        <f>$D$7+-0.105224*$E$7</f>
        <v>0.13650001943997797</v>
      </c>
      <c r="D394" s="206">
        <f>MIN($D$8+-0.395244*$E$8,'Debt &amp; Cost of Capital'!$C$38)</f>
        <v>5.2628536000000004E-2</v>
      </c>
      <c r="E394" s="207">
        <f>$D$9+1.467181*$E$9</f>
        <v>0.21123652770254633</v>
      </c>
      <c r="F394" s="207">
        <f>$D$10+-0.11421*$E$10</f>
        <v>0.14362947999999992</v>
      </c>
      <c r="G394" s="208">
        <f>$F394*(1-'Sensitivity &amp; Scenarios'!$C$12)+'Sensitivity &amp; Scenarios'!$C$9*'Sensitivity &amp; Scenarios'!$C$12-'Sensitivity &amp; Scenarios'!$C$10</f>
        <v>7.6673357972464648E-2</v>
      </c>
      <c r="H394" s="209">
        <f>('Sensitivity &amp; Scenarios'!$C$6*(1+$E394)^1*$G394+'Sensitivity &amp; Scenarios'!$C$11*'Sensitivity &amp; Scenarios'!$C$6*((1+$E394)^1-(1+$E394)^0))*'Sensitivity &amp; Scenarios'!$C$18/(1+$C394)^'Sensitivity &amp; Scenarios'!$C$18+('Sensitivity &amp; Scenarios'!$C$6*(1+$E394)^2*$G394+'Sensitivity &amp; Scenarios'!$C$11*'Sensitivity &amp; Scenarios'!$C$6*((1+$E394)^2-(1+$E394)^1))/(1+$C394)^('Sensitivity &amp; Scenarios'!$C$18+1)+('Sensitivity &amp; Scenarios'!$C$6*(1+$E394)^3*$G394+'Sensitivity &amp; Scenarios'!$C$11*'Sensitivity &amp; Scenarios'!$C$6*((1+$E394)^3-(1+$E394)^2))/(1+$C394)^('Sensitivity &amp; Scenarios'!$C$18+2)+('Sensitivity &amp; Scenarios'!$C$6*(1+$E394)^4*$G394+'Sensitivity &amp; Scenarios'!$C$11*'Sensitivity &amp; Scenarios'!$C$6*((1+$E394)^4-(1+$E394)^3))/(1+$C394)^('Sensitivity &amp; Scenarios'!$C$18+3)+('Sensitivity &amp; Scenarios'!$C$6*(1+$E394)^5*$G394+'Sensitivity &amp; Scenarios'!$C$11*'Sensitivity &amp; Scenarios'!$C$6*((1+$E394)^5-(1+$E394)^4))/(1+$C394)^('Sensitivity &amp; Scenarios'!$C$18+4)</f>
        <v>27003.364173140824</v>
      </c>
      <c r="I394" s="209">
        <f>('Sensitivity &amp; Scenarios'!$C$6*(1+$E394)^5*$G394+'Sensitivity &amp; Scenarios'!$C$11*'Sensitivity &amp; Scenarios'!$C$6*((1+$E394)^5-(1+$E394)^4))*(1+$D394)/($C394-$D394)/(1+$C394)^('Sensitivity &amp; Scenarios'!$C$18+4)</f>
        <v>81953.779219144417</v>
      </c>
      <c r="J394" s="209">
        <f>($H394+$I394-'Sensitivity &amp; Scenarios'!$C$15+'Sensitivity &amp; Scenarios'!$C$16)/'Sensitivity &amp; Scenarios'!$C$17</f>
        <v>2579.9757044250755</v>
      </c>
    </row>
    <row r="395" spans="2:10" x14ac:dyDescent="0.3">
      <c r="B395" s="127">
        <v>365</v>
      </c>
      <c r="C395" s="206">
        <f>$D$7+2.299589*$E$7</f>
        <v>0.16054814943997797</v>
      </c>
      <c r="D395" s="206">
        <f>MIN($D$8+0.090743*$E$8,'Debt &amp; Cost of Capital'!$C$38)</f>
        <v>5.5544457999999998E-2</v>
      </c>
      <c r="E395" s="207">
        <f>$D$9+1.785318*$E$9</f>
        <v>0.22078063770254633</v>
      </c>
      <c r="F395" s="207">
        <f>$D$10+0.357319*$E$10</f>
        <v>0.1492878279999999</v>
      </c>
      <c r="G395" s="208">
        <f>$F395*(1-'Sensitivity &amp; Scenarios'!$C$12)+'Sensitivity &amp; Scenarios'!$C$9*'Sensitivity &amp; Scenarios'!$C$12-'Sensitivity &amp; Scenarios'!$C$10</f>
        <v>8.0907499780864631E-2</v>
      </c>
      <c r="H395" s="209">
        <f>('Sensitivity &amp; Scenarios'!$C$6*(1+$E395)^1*$G395+'Sensitivity &amp; Scenarios'!$C$11*'Sensitivity &amp; Scenarios'!$C$6*((1+$E395)^1-(1+$E395)^0))*'Sensitivity &amp; Scenarios'!$C$18/(1+$C395)^'Sensitivity &amp; Scenarios'!$C$18+('Sensitivity &amp; Scenarios'!$C$6*(1+$E395)^2*$G395+'Sensitivity &amp; Scenarios'!$C$11*'Sensitivity &amp; Scenarios'!$C$6*((1+$E395)^2-(1+$E395)^1))/(1+$C395)^('Sensitivity &amp; Scenarios'!$C$18+1)+('Sensitivity &amp; Scenarios'!$C$6*(1+$E395)^3*$G395+'Sensitivity &amp; Scenarios'!$C$11*'Sensitivity &amp; Scenarios'!$C$6*((1+$E395)^3-(1+$E395)^2))/(1+$C395)^('Sensitivity &amp; Scenarios'!$C$18+2)+('Sensitivity &amp; Scenarios'!$C$6*(1+$E395)^4*$G395+'Sensitivity &amp; Scenarios'!$C$11*'Sensitivity &amp; Scenarios'!$C$6*((1+$E395)^4-(1+$E395)^3))/(1+$C395)^('Sensitivity &amp; Scenarios'!$C$18+3)+('Sensitivity &amp; Scenarios'!$C$6*(1+$E395)^5*$G395+'Sensitivity &amp; Scenarios'!$C$11*'Sensitivity &amp; Scenarios'!$C$6*((1+$E395)^5-(1+$E395)^4))/(1+$C395)^('Sensitivity &amp; Scenarios'!$C$18+4)</f>
        <v>27419.194099057338</v>
      </c>
      <c r="I395" s="209">
        <f>('Sensitivity &amp; Scenarios'!$C$6*(1+$E395)^5*$G395+'Sensitivity &amp; Scenarios'!$C$11*'Sensitivity &amp; Scenarios'!$C$6*((1+$E395)^5-(1+$E395)^4))*(1+$D395)/($C395-$D395)/(1+$C395)^('Sensitivity &amp; Scenarios'!$C$18+4)</f>
        <v>65153.096054822498</v>
      </c>
      <c r="J395" s="209">
        <f>($H395+$I395-'Sensitivity &amp; Scenarios'!$C$15+'Sensitivity &amp; Scenarios'!$C$16)/'Sensitivity &amp; Scenarios'!$C$17</f>
        <v>2235.0945934200295</v>
      </c>
    </row>
    <row r="396" spans="2:10" x14ac:dyDescent="0.3">
      <c r="B396" s="127">
        <v>366</v>
      </c>
      <c r="C396" s="206">
        <f>$D$7+0.962961*$E$7</f>
        <v>0.14718186943997799</v>
      </c>
      <c r="D396" s="206">
        <f>MIN($D$8+-0.724611*$E$8,'Debt &amp; Cost of Capital'!$C$38)</f>
        <v>5.0652334E-2</v>
      </c>
      <c r="E396" s="207">
        <f>$D$9+-0.853759*$E$9</f>
        <v>0.14160832770254633</v>
      </c>
      <c r="F396" s="207">
        <f>$D$10+0.459706*$E$10</f>
        <v>0.1505164719999999</v>
      </c>
      <c r="G396" s="208">
        <f>$F396*(1-'Sensitivity &amp; Scenarios'!$C$12)+'Sensitivity &amp; Scenarios'!$C$9*'Sensitivity &amp; Scenarios'!$C$12-'Sensitivity &amp; Scenarios'!$C$10</f>
        <v>8.1826894086064625E-2</v>
      </c>
      <c r="H396" s="209">
        <f>('Sensitivity &amp; Scenarios'!$C$6*(1+$E396)^1*$G396+'Sensitivity &amp; Scenarios'!$C$11*'Sensitivity &amp; Scenarios'!$C$6*((1+$E396)^1-(1+$E396)^0))*'Sensitivity &amp; Scenarios'!$C$18/(1+$C396)^'Sensitivity &amp; Scenarios'!$C$18+('Sensitivity &amp; Scenarios'!$C$6*(1+$E396)^2*$G396+'Sensitivity &amp; Scenarios'!$C$11*'Sensitivity &amp; Scenarios'!$C$6*((1+$E396)^2-(1+$E396)^1))/(1+$C396)^('Sensitivity &amp; Scenarios'!$C$18+1)+('Sensitivity &amp; Scenarios'!$C$6*(1+$E396)^3*$G396+'Sensitivity &amp; Scenarios'!$C$11*'Sensitivity &amp; Scenarios'!$C$6*((1+$E396)^3-(1+$E396)^2))/(1+$C396)^('Sensitivity &amp; Scenarios'!$C$18+2)+('Sensitivity &amp; Scenarios'!$C$6*(1+$E396)^4*$G396+'Sensitivity &amp; Scenarios'!$C$11*'Sensitivity &amp; Scenarios'!$C$6*((1+$E396)^4-(1+$E396)^3))/(1+$C396)^('Sensitivity &amp; Scenarios'!$C$18+3)+('Sensitivity &amp; Scenarios'!$C$6*(1+$E396)^5*$G396+'Sensitivity &amp; Scenarios'!$C$11*'Sensitivity &amp; Scenarios'!$C$6*((1+$E396)^5-(1+$E396)^4))/(1+$C396)^('Sensitivity &amp; Scenarios'!$C$18+4)</f>
        <v>21653.677514526571</v>
      </c>
      <c r="I396" s="209">
        <f>('Sensitivity &amp; Scenarios'!$C$6*(1+$E396)^5*$G396+'Sensitivity &amp; Scenarios'!$C$11*'Sensitivity &amp; Scenarios'!$C$6*((1+$E396)^5-(1+$E396)^4))*(1+$D396)/($C396-$D396)/(1+$C396)^('Sensitivity &amp; Scenarios'!$C$18+4)</f>
        <v>50416.803327345806</v>
      </c>
      <c r="J396" s="209">
        <f>($H396+$I396-'Sensitivity &amp; Scenarios'!$C$15+'Sensitivity &amp; Scenarios'!$C$16)/'Sensitivity &amp; Scenarios'!$C$17</f>
        <v>1803.5565948638189</v>
      </c>
    </row>
    <row r="397" spans="2:10" x14ac:dyDescent="0.3">
      <c r="B397" s="127">
        <v>367</v>
      </c>
      <c r="C397" s="206">
        <f>$D$7+0.988553*$E$7</f>
        <v>0.14743778943997798</v>
      </c>
      <c r="D397" s="206">
        <f>MIN($D$8+0.040257*$E$8,'Debt &amp; Cost of Capital'!$C$38)</f>
        <v>5.5241541999999998E-2</v>
      </c>
      <c r="E397" s="207">
        <f>$D$9+-1.286393*$E$9</f>
        <v>0.12862930770254635</v>
      </c>
      <c r="F397" s="207">
        <f>$D$10+-1.360258*$E$10</f>
        <v>0.1286769039999999</v>
      </c>
      <c r="G397" s="208">
        <f>$F397*(1-'Sensitivity &amp; Scenarios'!$C$12)+'Sensitivity &amp; Scenarios'!$C$9*'Sensitivity &amp; Scenarios'!$C$12-'Sensitivity &amp; Scenarios'!$C$10</f>
        <v>6.5484345351664627E-2</v>
      </c>
      <c r="H397" s="209">
        <f>('Sensitivity &amp; Scenarios'!$C$6*(1+$E397)^1*$G397+'Sensitivity &amp; Scenarios'!$C$11*'Sensitivity &amp; Scenarios'!$C$6*((1+$E397)^1-(1+$E397)^0))*'Sensitivity &amp; Scenarios'!$C$18/(1+$C397)^'Sensitivity &amp; Scenarios'!$C$18+('Sensitivity &amp; Scenarios'!$C$6*(1+$E397)^2*$G397+'Sensitivity &amp; Scenarios'!$C$11*'Sensitivity &amp; Scenarios'!$C$6*((1+$E397)^2-(1+$E397)^1))/(1+$C397)^('Sensitivity &amp; Scenarios'!$C$18+1)+('Sensitivity &amp; Scenarios'!$C$6*(1+$E397)^3*$G397+'Sensitivity &amp; Scenarios'!$C$11*'Sensitivity &amp; Scenarios'!$C$6*((1+$E397)^3-(1+$E397)^2))/(1+$C397)^('Sensitivity &amp; Scenarios'!$C$18+2)+('Sensitivity &amp; Scenarios'!$C$6*(1+$E397)^4*$G397+'Sensitivity &amp; Scenarios'!$C$11*'Sensitivity &amp; Scenarios'!$C$6*((1+$E397)^4-(1+$E397)^3))/(1+$C397)^('Sensitivity &amp; Scenarios'!$C$18+3)+('Sensitivity &amp; Scenarios'!$C$6*(1+$E397)^5*$G397+'Sensitivity &amp; Scenarios'!$C$11*'Sensitivity &amp; Scenarios'!$C$6*((1+$E397)^5-(1+$E397)^4))/(1+$C397)^('Sensitivity &amp; Scenarios'!$C$18+4)</f>
        <v>17061.315398003262</v>
      </c>
      <c r="I397" s="209">
        <f>('Sensitivity &amp; Scenarios'!$C$6*(1+$E397)^5*$G397+'Sensitivity &amp; Scenarios'!$C$11*'Sensitivity &amp; Scenarios'!$C$6*((1+$E397)^5-(1+$E397)^4))*(1+$D397)/($C397-$D397)/(1+$C397)^('Sensitivity &amp; Scenarios'!$C$18+4)</f>
        <v>40876.577526016175</v>
      </c>
      <c r="J397" s="209">
        <f>($H397+$I397-'Sensitivity &amp; Scenarios'!$C$15+'Sensitivity &amp; Scenarios'!$C$16)/'Sensitivity &amp; Scenarios'!$C$17</f>
        <v>1506.08291282552</v>
      </c>
    </row>
    <row r="398" spans="2:10" x14ac:dyDescent="0.3">
      <c r="B398" s="127">
        <v>368</v>
      </c>
      <c r="C398" s="206">
        <f>$D$7+-1.427136*$E$7</f>
        <v>0.12328089943997798</v>
      </c>
      <c r="D398" s="206">
        <f>MIN($D$8+-1.767622*$E$8,'Debt &amp; Cost of Capital'!$C$38)</f>
        <v>4.4394268000000001E-2</v>
      </c>
      <c r="E398" s="207">
        <f>$D$9+0.109485*$E$9</f>
        <v>0.17050564770254634</v>
      </c>
      <c r="F398" s="207">
        <f>$D$10+1.125044*$E$10</f>
        <v>0.15850052799999992</v>
      </c>
      <c r="G398" s="208">
        <f>$F398*(1-'Sensitivity &amp; Scenarios'!$C$12)+'Sensitivity &amp; Scenarios'!$C$9*'Sensitivity &amp; Scenarios'!$C$12-'Sensitivity &amp; Scenarios'!$C$10</f>
        <v>8.7801363190864651E-2</v>
      </c>
      <c r="H398" s="209">
        <f>('Sensitivity &amp; Scenarios'!$C$6*(1+$E398)^1*$G398+'Sensitivity &amp; Scenarios'!$C$11*'Sensitivity &amp; Scenarios'!$C$6*((1+$E398)^1-(1+$E398)^0))*'Sensitivity &amp; Scenarios'!$C$18/(1+$C398)^'Sensitivity &amp; Scenarios'!$C$18+('Sensitivity &amp; Scenarios'!$C$6*(1+$E398)^2*$G398+'Sensitivity &amp; Scenarios'!$C$11*'Sensitivity &amp; Scenarios'!$C$6*((1+$E398)^2-(1+$E398)^1))/(1+$C398)^('Sensitivity &amp; Scenarios'!$C$18+1)+('Sensitivity &amp; Scenarios'!$C$6*(1+$E398)^3*$G398+'Sensitivity &amp; Scenarios'!$C$11*'Sensitivity &amp; Scenarios'!$C$6*((1+$E398)^3-(1+$E398)^2))/(1+$C398)^('Sensitivity &amp; Scenarios'!$C$18+2)+('Sensitivity &amp; Scenarios'!$C$6*(1+$E398)^4*$G398+'Sensitivity &amp; Scenarios'!$C$11*'Sensitivity &amp; Scenarios'!$C$6*((1+$E398)^4-(1+$E398)^3))/(1+$C398)^('Sensitivity &amp; Scenarios'!$C$18+3)+('Sensitivity &amp; Scenarios'!$C$6*(1+$E398)^5*$G398+'Sensitivity &amp; Scenarios'!$C$11*'Sensitivity &amp; Scenarios'!$C$6*((1+$E398)^5-(1+$E398)^4))/(1+$C398)^('Sensitivity &amp; Scenarios'!$C$18+4)</f>
        <v>27066.416799550214</v>
      </c>
      <c r="I398" s="209">
        <f>('Sensitivity &amp; Scenarios'!$C$6*(1+$E398)^5*$G398+'Sensitivity &amp; Scenarios'!$C$11*'Sensitivity &amp; Scenarios'!$C$6*((1+$E398)^5-(1+$E398)^4))*(1+$D398)/($C398-$D398)/(1+$C398)^('Sensitivity &amp; Scenarios'!$C$18+4)</f>
        <v>83312.329632944049</v>
      </c>
      <c r="J398" s="209">
        <f>($H398+$I398-'Sensitivity &amp; Scenarios'!$C$15+'Sensitivity &amp; Scenarios'!$C$16)/'Sensitivity &amp; Scenarios'!$C$17</f>
        <v>2609.8987088476133</v>
      </c>
    </row>
    <row r="399" spans="2:10" x14ac:dyDescent="0.3">
      <c r="B399" s="127">
        <v>369</v>
      </c>
      <c r="C399" s="206">
        <f>$D$7+-0.013416*$E$7</f>
        <v>0.13741809943997799</v>
      </c>
      <c r="D399" s="206">
        <f>MIN($D$8+-2.260415*$E$8,'Debt &amp; Cost of Capital'!$C$38)</f>
        <v>4.1437509999999997E-2</v>
      </c>
      <c r="E399" s="207">
        <f>$D$9+-0.19076*$E$9</f>
        <v>0.16149829770254634</v>
      </c>
      <c r="F399" s="207">
        <f>$D$10+-0.162799*$E$10</f>
        <v>0.1430464119999999</v>
      </c>
      <c r="G399" s="208">
        <f>$F399*(1-'Sensitivity &amp; Scenarios'!$C$12)+'Sensitivity &amp; Scenarios'!$C$9*'Sensitivity &amp; Scenarios'!$C$12-'Sensitivity &amp; Scenarios'!$C$10</f>
        <v>7.6237048188064635E-2</v>
      </c>
      <c r="H399" s="209">
        <f>('Sensitivity &amp; Scenarios'!$C$6*(1+$E399)^1*$G399+'Sensitivity &amp; Scenarios'!$C$11*'Sensitivity &amp; Scenarios'!$C$6*((1+$E399)^1-(1+$E399)^0))*'Sensitivity &amp; Scenarios'!$C$18/(1+$C399)^'Sensitivity &amp; Scenarios'!$C$18+('Sensitivity &amp; Scenarios'!$C$6*(1+$E399)^2*$G399+'Sensitivity &amp; Scenarios'!$C$11*'Sensitivity &amp; Scenarios'!$C$6*((1+$E399)^2-(1+$E399)^1))/(1+$C399)^('Sensitivity &amp; Scenarios'!$C$18+1)+('Sensitivity &amp; Scenarios'!$C$6*(1+$E399)^3*$G399+'Sensitivity &amp; Scenarios'!$C$11*'Sensitivity &amp; Scenarios'!$C$6*((1+$E399)^3-(1+$E399)^2))/(1+$C399)^('Sensitivity &amp; Scenarios'!$C$18+2)+('Sensitivity &amp; Scenarios'!$C$6*(1+$E399)^4*$G399+'Sensitivity &amp; Scenarios'!$C$11*'Sensitivity &amp; Scenarios'!$C$6*((1+$E399)^4-(1+$E399)^3))/(1+$C399)^('Sensitivity &amp; Scenarios'!$C$18+3)+('Sensitivity &amp; Scenarios'!$C$6*(1+$E399)^5*$G399+'Sensitivity &amp; Scenarios'!$C$11*'Sensitivity &amp; Scenarios'!$C$6*((1+$E399)^5-(1+$E399)^4))/(1+$C399)^('Sensitivity &amp; Scenarios'!$C$18+4)</f>
        <v>22461.984248539578</v>
      </c>
      <c r="I399" s="209">
        <f>('Sensitivity &amp; Scenarios'!$C$6*(1+$E399)^5*$G399+'Sensitivity &amp; Scenarios'!$C$11*'Sensitivity &amp; Scenarios'!$C$6*((1+$E399)^5-(1+$E399)^4))*(1+$D399)/($C399-$D399)/(1+$C399)^('Sensitivity &amp; Scenarios'!$C$18+4)</f>
        <v>54654.904937545769</v>
      </c>
      <c r="J399" s="209">
        <f>($H399+$I399-'Sensitivity &amp; Scenarios'!$C$15+'Sensitivity &amp; Scenarios'!$C$16)/'Sensitivity &amp; Scenarios'!$C$17</f>
        <v>1909.7773153679154</v>
      </c>
    </row>
    <row r="400" spans="2:10" x14ac:dyDescent="0.3">
      <c r="B400" s="127">
        <v>370</v>
      </c>
      <c r="C400" s="206">
        <f>$D$7+2.095999*$E$7</f>
        <v>0.15851224943997799</v>
      </c>
      <c r="D400" s="206">
        <f>MIN($D$8+-1.457138*$E$8,'Debt &amp; Cost of Capital'!$C$38)</f>
        <v>4.6257171999999999E-2</v>
      </c>
      <c r="E400" s="207">
        <f>$D$9+-0.390678*$E$9</f>
        <v>0.15550075770254634</v>
      </c>
      <c r="F400" s="207">
        <f>$D$10+1.705853*$E$10</f>
        <v>0.16547023599999991</v>
      </c>
      <c r="G400" s="208">
        <f>$F400*(1-'Sensitivity &amp; Scenarios'!$C$12)+'Sensitivity &amp; Scenarios'!$C$9*'Sensitivity &amp; Scenarios'!$C$12-'Sensitivity &amp; Scenarios'!$C$10</f>
        <v>9.3016795687264647E-2</v>
      </c>
      <c r="H400" s="209">
        <f>('Sensitivity &amp; Scenarios'!$C$6*(1+$E400)^1*$G400+'Sensitivity &amp; Scenarios'!$C$11*'Sensitivity &amp; Scenarios'!$C$6*((1+$E400)^1-(1+$E400)^0))*'Sensitivity &amp; Scenarios'!$C$18/(1+$C400)^'Sensitivity &amp; Scenarios'!$C$18+('Sensitivity &amp; Scenarios'!$C$6*(1+$E400)^2*$G400+'Sensitivity &amp; Scenarios'!$C$11*'Sensitivity &amp; Scenarios'!$C$6*((1+$E400)^2-(1+$E400)^1))/(1+$C400)^('Sensitivity &amp; Scenarios'!$C$18+1)+('Sensitivity &amp; Scenarios'!$C$6*(1+$E400)^3*$G400+'Sensitivity &amp; Scenarios'!$C$11*'Sensitivity &amp; Scenarios'!$C$6*((1+$E400)^3-(1+$E400)^2))/(1+$C400)^('Sensitivity &amp; Scenarios'!$C$18+2)+('Sensitivity &amp; Scenarios'!$C$6*(1+$E400)^4*$G400+'Sensitivity &amp; Scenarios'!$C$11*'Sensitivity &amp; Scenarios'!$C$6*((1+$E400)^4-(1+$E400)^3))/(1+$C400)^('Sensitivity &amp; Scenarios'!$C$18+3)+('Sensitivity &amp; Scenarios'!$C$6*(1+$E400)^5*$G400+'Sensitivity &amp; Scenarios'!$C$11*'Sensitivity &amp; Scenarios'!$C$6*((1+$E400)^5-(1+$E400)^4))/(1+$C400)^('Sensitivity &amp; Scenarios'!$C$18+4)</f>
        <v>24718.795810574295</v>
      </c>
      <c r="I400" s="209">
        <f>('Sensitivity &amp; Scenarios'!$C$6*(1+$E400)^5*$G400+'Sensitivity &amp; Scenarios'!$C$11*'Sensitivity &amp; Scenarios'!$C$6*((1+$E400)^5-(1+$E400)^4))*(1+$D400)/($C400-$D400)/(1+$C400)^('Sensitivity &amp; Scenarios'!$C$18+4)</f>
        <v>49490.826845344898</v>
      </c>
      <c r="J400" s="209">
        <f>($H400+$I400-'Sensitivity &amp; Scenarios'!$C$15+'Sensitivity &amp; Scenarios'!$C$16)/'Sensitivity &amp; Scenarios'!$C$17</f>
        <v>1848.582912444532</v>
      </c>
    </row>
    <row r="401" spans="2:10" x14ac:dyDescent="0.3">
      <c r="B401" s="127">
        <v>371</v>
      </c>
      <c r="C401" s="206">
        <f>$D$7+0.449978*$E$7</f>
        <v>0.14205203943997799</v>
      </c>
      <c r="D401" s="206">
        <f>MIN($D$8+0.563313*$E$8,'Debt &amp; Cost of Capital'!$C$38)</f>
        <v>5.8379878000000003E-2</v>
      </c>
      <c r="E401" s="207">
        <f>$D$9+0.114584*$E$9</f>
        <v>0.17065861770254634</v>
      </c>
      <c r="F401" s="207">
        <f>$D$10+0.329944*$E$10</f>
        <v>0.14895932799999992</v>
      </c>
      <c r="G401" s="208">
        <f>$F401*(1-'Sensitivity &amp; Scenarios'!$C$12)+'Sensitivity &amp; Scenarios'!$C$9*'Sensitivity &amp; Scenarios'!$C$12-'Sensitivity &amp; Scenarios'!$C$10</f>
        <v>8.0661683230864645E-2</v>
      </c>
      <c r="H401" s="209">
        <f>('Sensitivity &amp; Scenarios'!$C$6*(1+$E401)^1*$G401+'Sensitivity &amp; Scenarios'!$C$11*'Sensitivity &amp; Scenarios'!$C$6*((1+$E401)^1-(1+$E401)^0))*'Sensitivity &amp; Scenarios'!$C$18/(1+$C401)^'Sensitivity &amp; Scenarios'!$C$18+('Sensitivity &amp; Scenarios'!$C$6*(1+$E401)^2*$G401+'Sensitivity &amp; Scenarios'!$C$11*'Sensitivity &amp; Scenarios'!$C$6*((1+$E401)^2-(1+$E401)^1))/(1+$C401)^('Sensitivity &amp; Scenarios'!$C$18+1)+('Sensitivity &amp; Scenarios'!$C$6*(1+$E401)^3*$G401+'Sensitivity &amp; Scenarios'!$C$11*'Sensitivity &amp; Scenarios'!$C$6*((1+$E401)^3-(1+$E401)^2))/(1+$C401)^('Sensitivity &amp; Scenarios'!$C$18+2)+('Sensitivity &amp; Scenarios'!$C$6*(1+$E401)^4*$G401+'Sensitivity &amp; Scenarios'!$C$11*'Sensitivity &amp; Scenarios'!$C$6*((1+$E401)^4-(1+$E401)^3))/(1+$C401)^('Sensitivity &amp; Scenarios'!$C$18+3)+('Sensitivity &amp; Scenarios'!$C$6*(1+$E401)^5*$G401+'Sensitivity &amp; Scenarios'!$C$11*'Sensitivity &amp; Scenarios'!$C$6*((1+$E401)^5-(1+$E401)^4))/(1+$C401)^('Sensitivity &amp; Scenarios'!$C$18+4)</f>
        <v>24055.059424749008</v>
      </c>
      <c r="I401" s="209">
        <f>('Sensitivity &amp; Scenarios'!$C$6*(1+$E401)^5*$G401+'Sensitivity &amp; Scenarios'!$C$11*'Sensitivity &amp; Scenarios'!$C$6*((1+$E401)^5-(1+$E401)^4))*(1+$D401)/($C401-$D401)/(1+$C401)^('Sensitivity &amp; Scenarios'!$C$18+4)</f>
        <v>68700.683897789204</v>
      </c>
      <c r="J401" s="209">
        <f>($H401+$I401-'Sensitivity &amp; Scenarios'!$C$15+'Sensitivity &amp; Scenarios'!$C$16)/'Sensitivity &amp; Scenarios'!$C$17</f>
        <v>2238.9560581340374</v>
      </c>
    </row>
    <row r="402" spans="2:10" x14ac:dyDescent="0.3">
      <c r="B402" s="127">
        <v>372</v>
      </c>
      <c r="C402" s="206">
        <f>$D$7+0.77761*$E$7</f>
        <v>0.14532835943997799</v>
      </c>
      <c r="D402" s="206">
        <f>MIN($D$8+-0.809486*$E$8,'Debt &amp; Cost of Capital'!$C$38)</f>
        <v>5.0143083999999997E-2</v>
      </c>
      <c r="E402" s="207">
        <f>$D$9+0.878059*$E$9</f>
        <v>0.19356286770254633</v>
      </c>
      <c r="F402" s="207">
        <f>$D$10+-1.373003*$E$10</f>
        <v>0.12852396399999991</v>
      </c>
      <c r="G402" s="208">
        <f>$F402*(1-'Sensitivity &amp; Scenarios'!$C$12)+'Sensitivity &amp; Scenarios'!$C$9*'Sensitivity &amp; Scenarios'!$C$12-'Sensitivity &amp; Scenarios'!$C$10</f>
        <v>6.5369900349664639E-2</v>
      </c>
      <c r="H402" s="209">
        <f>('Sensitivity &amp; Scenarios'!$C$6*(1+$E402)^1*$G402+'Sensitivity &amp; Scenarios'!$C$11*'Sensitivity &amp; Scenarios'!$C$6*((1+$E402)^1-(1+$E402)^0))*'Sensitivity &amp; Scenarios'!$C$18/(1+$C402)^'Sensitivity &amp; Scenarios'!$C$18+('Sensitivity &amp; Scenarios'!$C$6*(1+$E402)^2*$G402+'Sensitivity &amp; Scenarios'!$C$11*'Sensitivity &amp; Scenarios'!$C$6*((1+$E402)^2-(1+$E402)^1))/(1+$C402)^('Sensitivity &amp; Scenarios'!$C$18+1)+('Sensitivity &amp; Scenarios'!$C$6*(1+$E402)^3*$G402+'Sensitivity &amp; Scenarios'!$C$11*'Sensitivity &amp; Scenarios'!$C$6*((1+$E402)^3-(1+$E402)^2))/(1+$C402)^('Sensitivity &amp; Scenarios'!$C$18+2)+('Sensitivity &amp; Scenarios'!$C$6*(1+$E402)^4*$G402+'Sensitivity &amp; Scenarios'!$C$11*'Sensitivity &amp; Scenarios'!$C$6*((1+$E402)^4-(1+$E402)^3))/(1+$C402)^('Sensitivity &amp; Scenarios'!$C$18+3)+('Sensitivity &amp; Scenarios'!$C$6*(1+$E402)^5*$G402+'Sensitivity &amp; Scenarios'!$C$11*'Sensitivity &amp; Scenarios'!$C$6*((1+$E402)^5-(1+$E402)^4))/(1+$C402)^('Sensitivity &amp; Scenarios'!$C$18+4)</f>
        <v>21852.214301287786</v>
      </c>
      <c r="I402" s="209">
        <f>('Sensitivity &amp; Scenarios'!$C$6*(1+$E402)^5*$G402+'Sensitivity &amp; Scenarios'!$C$11*'Sensitivity &amp; Scenarios'!$C$6*((1+$E402)^5-(1+$E402)^4))*(1+$D402)/($C402-$D402)/(1+$C402)^('Sensitivity &amp; Scenarios'!$C$18+4)</f>
        <v>56058.937924052843</v>
      </c>
      <c r="J402" s="209">
        <f>($H402+$I402-'Sensitivity &amp; Scenarios'!$C$15+'Sensitivity &amp; Scenarios'!$C$16)/'Sensitivity &amp; Scenarios'!$C$17</f>
        <v>1926.4955804279</v>
      </c>
    </row>
    <row r="403" spans="2:10" x14ac:dyDescent="0.3">
      <c r="B403" s="127">
        <v>373</v>
      </c>
      <c r="C403" s="206">
        <f>$D$7+0.328368*$E$7</f>
        <v>0.14083593943997799</v>
      </c>
      <c r="D403" s="206">
        <f>MIN($D$8+0.178741*$E$8,'Debt &amp; Cost of Capital'!$C$38)</f>
        <v>5.6072445999999998E-2</v>
      </c>
      <c r="E403" s="207">
        <f>$D$9+-0.616293*$E$9</f>
        <v>0.14873230770254633</v>
      </c>
      <c r="F403" s="207">
        <f>$D$10+-0.022685*$E$10</f>
        <v>0.14472777999999992</v>
      </c>
      <c r="G403" s="208">
        <f>$F403*(1-'Sensitivity &amp; Scenarios'!$C$12)+'Sensitivity &amp; Scenarios'!$C$9*'Sensitivity &amp; Scenarios'!$C$12-'Sensitivity &amp; Scenarios'!$C$10</f>
        <v>7.7495215862464648E-2</v>
      </c>
      <c r="H403" s="209">
        <f>('Sensitivity &amp; Scenarios'!$C$6*(1+$E403)^1*$G403+'Sensitivity &amp; Scenarios'!$C$11*'Sensitivity &amp; Scenarios'!$C$6*((1+$E403)^1-(1+$E403)^0))*'Sensitivity &amp; Scenarios'!$C$18/(1+$C403)^'Sensitivity &amp; Scenarios'!$C$18+('Sensitivity &amp; Scenarios'!$C$6*(1+$E403)^2*$G403+'Sensitivity &amp; Scenarios'!$C$11*'Sensitivity &amp; Scenarios'!$C$6*((1+$E403)^2-(1+$E403)^1))/(1+$C403)^('Sensitivity &amp; Scenarios'!$C$18+1)+('Sensitivity &amp; Scenarios'!$C$6*(1+$E403)^3*$G403+'Sensitivity &amp; Scenarios'!$C$11*'Sensitivity &amp; Scenarios'!$C$6*((1+$E403)^3-(1+$E403)^2))/(1+$C403)^('Sensitivity &amp; Scenarios'!$C$18+2)+('Sensitivity &amp; Scenarios'!$C$6*(1+$E403)^4*$G403+'Sensitivity &amp; Scenarios'!$C$11*'Sensitivity &amp; Scenarios'!$C$6*((1+$E403)^4-(1+$E403)^3))/(1+$C403)^('Sensitivity &amp; Scenarios'!$C$18+3)+('Sensitivity &amp; Scenarios'!$C$6*(1+$E403)^5*$G403+'Sensitivity &amp; Scenarios'!$C$11*'Sensitivity &amp; Scenarios'!$C$6*((1+$E403)^5-(1+$E403)^4))/(1+$C403)^('Sensitivity &amp; Scenarios'!$C$18+4)</f>
        <v>21551.206643824138</v>
      </c>
      <c r="I403" s="209">
        <f>('Sensitivity &amp; Scenarios'!$C$6*(1+$E403)^5*$G403+'Sensitivity &amp; Scenarios'!$C$11*'Sensitivity &amp; Scenarios'!$C$6*((1+$E403)^5-(1+$E403)^4))*(1+$D403)/($C403-$D403)/(1+$C403)^('Sensitivity &amp; Scenarios'!$C$18+4)</f>
        <v>58695.318971049921</v>
      </c>
      <c r="J403" s="209">
        <f>($H403+$I403-'Sensitivity &amp; Scenarios'!$C$15+'Sensitivity &amp; Scenarios'!$C$16)/'Sensitivity &amp; Scenarios'!$C$17</f>
        <v>1975.652332549794</v>
      </c>
    </row>
    <row r="404" spans="2:10" x14ac:dyDescent="0.3">
      <c r="B404" s="127">
        <v>374</v>
      </c>
      <c r="C404" s="206">
        <f>$D$7+-0.62254*$E$7</f>
        <v>0.13132685943997799</v>
      </c>
      <c r="D404" s="206">
        <f>MIN($D$8+-1.071701*$E$8,'Debt &amp; Cost of Capital'!$C$38)</f>
        <v>4.8569793999999999E-2</v>
      </c>
      <c r="E404" s="207">
        <f>$D$9+-0.353615*$E$9</f>
        <v>0.15661264770254635</v>
      </c>
      <c r="F404" s="207">
        <f>$D$10+-1.103989*$E$10</f>
        <v>0.13175213199999991</v>
      </c>
      <c r="G404" s="208">
        <f>$F404*(1-'Sensitivity &amp; Scenarios'!$C$12)+'Sensitivity &amp; Scenarios'!$C$9*'Sensitivity &amp; Scenarios'!$C$12-'Sensitivity &amp; Scenarios'!$C$10</f>
        <v>6.778553846406464E-2</v>
      </c>
      <c r="H404" s="209">
        <f>('Sensitivity &amp; Scenarios'!$C$6*(1+$E404)^1*$G404+'Sensitivity &amp; Scenarios'!$C$11*'Sensitivity &amp; Scenarios'!$C$6*((1+$E404)^1-(1+$E404)^0))*'Sensitivity &amp; Scenarios'!$C$18/(1+$C404)^'Sensitivity &amp; Scenarios'!$C$18+('Sensitivity &amp; Scenarios'!$C$6*(1+$E404)^2*$G404+'Sensitivity &amp; Scenarios'!$C$11*'Sensitivity &amp; Scenarios'!$C$6*((1+$E404)^2-(1+$E404)^1))/(1+$C404)^('Sensitivity &amp; Scenarios'!$C$18+1)+('Sensitivity &amp; Scenarios'!$C$6*(1+$E404)^3*$G404+'Sensitivity &amp; Scenarios'!$C$11*'Sensitivity &amp; Scenarios'!$C$6*((1+$E404)^3-(1+$E404)^2))/(1+$C404)^('Sensitivity &amp; Scenarios'!$C$18+2)+('Sensitivity &amp; Scenarios'!$C$6*(1+$E404)^4*$G404+'Sensitivity &amp; Scenarios'!$C$11*'Sensitivity &amp; Scenarios'!$C$6*((1+$E404)^4-(1+$E404)^3))/(1+$C404)^('Sensitivity &amp; Scenarios'!$C$18+3)+('Sensitivity &amp; Scenarios'!$C$6*(1+$E404)^5*$G404+'Sensitivity &amp; Scenarios'!$C$11*'Sensitivity &amp; Scenarios'!$C$6*((1+$E404)^5-(1+$E404)^4))/(1+$C404)^('Sensitivity &amp; Scenarios'!$C$18+4)</f>
        <v>20324.737693344523</v>
      </c>
      <c r="I404" s="209">
        <f>('Sensitivity &amp; Scenarios'!$C$6*(1+$E404)^5*$G404+'Sensitivity &amp; Scenarios'!$C$11*'Sensitivity &amp; Scenarios'!$C$6*((1+$E404)^5-(1+$E404)^4))*(1+$D404)/($C404-$D404)/(1+$C404)^('Sensitivity &amp; Scenarios'!$C$18+4)</f>
        <v>57869.827088602593</v>
      </c>
      <c r="J404" s="209">
        <f>($H404+$I404-'Sensitivity &amp; Scenarios'!$C$15+'Sensitivity &amp; Scenarios'!$C$16)/'Sensitivity &amp; Scenarios'!$C$17</f>
        <v>1932.4610679408499</v>
      </c>
    </row>
    <row r="405" spans="2:10" x14ac:dyDescent="0.3">
      <c r="B405" s="127">
        <v>375</v>
      </c>
      <c r="C405" s="206">
        <f>$D$7+0.322797*$E$7</f>
        <v>0.14078022943997798</v>
      </c>
      <c r="D405" s="206">
        <f>MIN($D$8+-1.150085*$E$8,'Debt &amp; Cost of Capital'!$C$38)</f>
        <v>4.8099490000000002E-2</v>
      </c>
      <c r="E405" s="207">
        <f>$D$9+0.711977*$E$9</f>
        <v>0.18858040770254633</v>
      </c>
      <c r="F405" s="207">
        <f>$D$10+-1.181479*$E$10</f>
        <v>0.13082225199999992</v>
      </c>
      <c r="G405" s="208">
        <f>$F405*(1-'Sensitivity &amp; Scenarios'!$C$12)+'Sensitivity &amp; Scenarios'!$C$9*'Sensitivity &amp; Scenarios'!$C$12-'Sensitivity &amp; Scenarios'!$C$10</f>
        <v>6.7089709260064648E-2</v>
      </c>
      <c r="H405" s="209">
        <f>('Sensitivity &amp; Scenarios'!$C$6*(1+$E405)^1*$G405+'Sensitivity &amp; Scenarios'!$C$11*'Sensitivity &amp; Scenarios'!$C$6*((1+$E405)^1-(1+$E405)^0))*'Sensitivity &amp; Scenarios'!$C$18/(1+$C405)^'Sensitivity &amp; Scenarios'!$C$18+('Sensitivity &amp; Scenarios'!$C$6*(1+$E405)^2*$G405+'Sensitivity &amp; Scenarios'!$C$11*'Sensitivity &amp; Scenarios'!$C$6*((1+$E405)^2-(1+$E405)^1))/(1+$C405)^('Sensitivity &amp; Scenarios'!$C$18+1)+('Sensitivity &amp; Scenarios'!$C$6*(1+$E405)^3*$G405+'Sensitivity &amp; Scenarios'!$C$11*'Sensitivity &amp; Scenarios'!$C$6*((1+$E405)^3-(1+$E405)^2))/(1+$C405)^('Sensitivity &amp; Scenarios'!$C$18+2)+('Sensitivity &amp; Scenarios'!$C$6*(1+$E405)^4*$G405+'Sensitivity &amp; Scenarios'!$C$11*'Sensitivity &amp; Scenarios'!$C$6*((1+$E405)^4-(1+$E405)^3))/(1+$C405)^('Sensitivity &amp; Scenarios'!$C$18+3)+('Sensitivity &amp; Scenarios'!$C$6*(1+$E405)^5*$G405+'Sensitivity &amp; Scenarios'!$C$11*'Sensitivity &amp; Scenarios'!$C$6*((1+$E405)^5-(1+$E405)^4))/(1+$C405)^('Sensitivity &amp; Scenarios'!$C$18+4)</f>
        <v>22155.366653944908</v>
      </c>
      <c r="I405" s="209">
        <f>('Sensitivity &amp; Scenarios'!$C$6*(1+$E405)^5*$G405+'Sensitivity &amp; Scenarios'!$C$11*'Sensitivity &amp; Scenarios'!$C$6*((1+$E405)^5-(1+$E405)^4))*(1+$D405)/($C405-$D405)/(1+$C405)^('Sensitivity &amp; Scenarios'!$C$18+4)</f>
        <v>58237.929953341729</v>
      </c>
      <c r="J405" s="209">
        <f>($H405+$I405-'Sensitivity &amp; Scenarios'!$C$15+'Sensitivity &amp; Scenarios'!$C$16)/'Sensitivity &amp; Scenarios'!$C$17</f>
        <v>1978.7416823407289</v>
      </c>
    </row>
    <row r="406" spans="2:10" x14ac:dyDescent="0.3">
      <c r="B406" s="127">
        <v>376</v>
      </c>
      <c r="C406" s="206">
        <f>$D$7+-0.566295*$E$7</f>
        <v>0.13188930943997798</v>
      </c>
      <c r="D406" s="206">
        <f>MIN($D$8+-0.624603*$E$8,'Debt &amp; Cost of Capital'!$C$38)</f>
        <v>5.1252381999999999E-2</v>
      </c>
      <c r="E406" s="207">
        <f>$D$9+1.325147*$E$9</f>
        <v>0.20697550770254636</v>
      </c>
      <c r="F406" s="207">
        <f>$D$10+0.33029*$E$10</f>
        <v>0.1489634799999999</v>
      </c>
      <c r="G406" s="208">
        <f>$F406*(1-'Sensitivity &amp; Scenarios'!$C$12)+'Sensitivity &amp; Scenarios'!$C$9*'Sensitivity &amp; Scenarios'!$C$12-'Sensitivity &amp; Scenarios'!$C$10</f>
        <v>8.0664790172464626E-2</v>
      </c>
      <c r="H406" s="209">
        <f>('Sensitivity &amp; Scenarios'!$C$6*(1+$E406)^1*$G406+'Sensitivity &amp; Scenarios'!$C$11*'Sensitivity &amp; Scenarios'!$C$6*((1+$E406)^1-(1+$E406)^0))*'Sensitivity &amp; Scenarios'!$C$18/(1+$C406)^'Sensitivity &amp; Scenarios'!$C$18+('Sensitivity &amp; Scenarios'!$C$6*(1+$E406)^2*$G406+'Sensitivity &amp; Scenarios'!$C$11*'Sensitivity &amp; Scenarios'!$C$6*((1+$E406)^2-(1+$E406)^1))/(1+$C406)^('Sensitivity &amp; Scenarios'!$C$18+1)+('Sensitivity &amp; Scenarios'!$C$6*(1+$E406)^3*$G406+'Sensitivity &amp; Scenarios'!$C$11*'Sensitivity &amp; Scenarios'!$C$6*((1+$E406)^3-(1+$E406)^2))/(1+$C406)^('Sensitivity &amp; Scenarios'!$C$18+2)+('Sensitivity &amp; Scenarios'!$C$6*(1+$E406)^4*$G406+'Sensitivity &amp; Scenarios'!$C$11*'Sensitivity &amp; Scenarios'!$C$6*((1+$E406)^4-(1+$E406)^3))/(1+$C406)^('Sensitivity &amp; Scenarios'!$C$18+3)+('Sensitivity &amp; Scenarios'!$C$6*(1+$E406)^5*$G406+'Sensitivity &amp; Scenarios'!$C$11*'Sensitivity &amp; Scenarios'!$C$6*((1+$E406)^5-(1+$E406)^4))/(1+$C406)^('Sensitivity &amp; Scenarios'!$C$18+4)</f>
        <v>28045.276263582709</v>
      </c>
      <c r="I406" s="209">
        <f>('Sensitivity &amp; Scenarios'!$C$6*(1+$E406)^5*$G406+'Sensitivity &amp; Scenarios'!$C$11*'Sensitivity &amp; Scenarios'!$C$6*((1+$E406)^5-(1+$E406)^4))*(1+$D406)/($C406-$D406)/(1+$C406)^('Sensitivity &amp; Scenarios'!$C$18+4)</f>
        <v>88497.015848029638</v>
      </c>
      <c r="J406" s="209">
        <f>($H406+$I406-'Sensitivity &amp; Scenarios'!$C$15+'Sensitivity &amp; Scenarios'!$C$16)/'Sensitivity &amp; Scenarios'!$C$17</f>
        <v>2739.6338032433359</v>
      </c>
    </row>
    <row r="407" spans="2:10" x14ac:dyDescent="0.3">
      <c r="B407" s="127">
        <v>377</v>
      </c>
      <c r="C407" s="206">
        <f>$D$7+-0.211734*$E$7</f>
        <v>0.13543491943997799</v>
      </c>
      <c r="D407" s="206">
        <f>MIN($D$8+0.498719*$E$8,'Debt &amp; Cost of Capital'!$C$38)</f>
        <v>5.7992314000000003E-2</v>
      </c>
      <c r="E407" s="207">
        <f>$D$9+-2.107192*$E$9</f>
        <v>0.10400533770254634</v>
      </c>
      <c r="F407" s="207">
        <f>$D$10+-0.043134*$E$10</f>
        <v>0.1444823919999999</v>
      </c>
      <c r="G407" s="208">
        <f>$F407*(1-'Sensitivity &amp; Scenarios'!$C$12)+'Sensitivity &amp; Scenarios'!$C$9*'Sensitivity &amp; Scenarios'!$C$12-'Sensitivity &amp; Scenarios'!$C$10</f>
        <v>7.731159202206464E-2</v>
      </c>
      <c r="H407" s="209">
        <f>('Sensitivity &amp; Scenarios'!$C$6*(1+$E407)^1*$G407+'Sensitivity &amp; Scenarios'!$C$11*'Sensitivity &amp; Scenarios'!$C$6*((1+$E407)^1-(1+$E407)^0))*'Sensitivity &amp; Scenarios'!$C$18/(1+$C407)^'Sensitivity &amp; Scenarios'!$C$18+('Sensitivity &amp; Scenarios'!$C$6*(1+$E407)^2*$G407+'Sensitivity &amp; Scenarios'!$C$11*'Sensitivity &amp; Scenarios'!$C$6*((1+$E407)^2-(1+$E407)^1))/(1+$C407)^('Sensitivity &amp; Scenarios'!$C$18+1)+('Sensitivity &amp; Scenarios'!$C$6*(1+$E407)^3*$G407+'Sensitivity &amp; Scenarios'!$C$11*'Sensitivity &amp; Scenarios'!$C$6*((1+$E407)^3-(1+$E407)^2))/(1+$C407)^('Sensitivity &amp; Scenarios'!$C$18+2)+('Sensitivity &amp; Scenarios'!$C$6*(1+$E407)^4*$G407+'Sensitivity &amp; Scenarios'!$C$11*'Sensitivity &amp; Scenarios'!$C$6*((1+$E407)^4-(1+$E407)^3))/(1+$C407)^('Sensitivity &amp; Scenarios'!$C$18+3)+('Sensitivity &amp; Scenarios'!$C$6*(1+$E407)^5*$G407+'Sensitivity &amp; Scenarios'!$C$11*'Sensitivity &amp; Scenarios'!$C$6*((1+$E407)^5-(1+$E407)^4))/(1+$C407)^('Sensitivity &amp; Scenarios'!$C$18+4)</f>
        <v>18423.250181773925</v>
      </c>
      <c r="I407" s="209">
        <f>('Sensitivity &amp; Scenarios'!$C$6*(1+$E407)^5*$G407+'Sensitivity &amp; Scenarios'!$C$11*'Sensitivity &amp; Scenarios'!$C$6*((1+$E407)^5-(1+$E407)^4))*(1+$D407)/($C407-$D407)/(1+$C407)^('Sensitivity &amp; Scenarios'!$C$18+4)</f>
        <v>51553.35143582047</v>
      </c>
      <c r="J407" s="209">
        <f>($H407+$I407-'Sensitivity &amp; Scenarios'!$C$15+'Sensitivity &amp; Scenarios'!$C$16)/'Sensitivity &amp; Scenarios'!$C$17</f>
        <v>1759.4829994112392</v>
      </c>
    </row>
    <row r="408" spans="2:10" x14ac:dyDescent="0.3">
      <c r="B408" s="127">
        <v>378</v>
      </c>
      <c r="C408" s="206">
        <f>$D$7+1.997514*$E$7</f>
        <v>0.15752739943997798</v>
      </c>
      <c r="D408" s="206">
        <f>MIN($D$8+0.132347*$E$8,'Debt &amp; Cost of Capital'!$C$38)</f>
        <v>5.5794082000000002E-2</v>
      </c>
      <c r="E408" s="207">
        <f>$D$9+0.067913*$E$9</f>
        <v>0.16925848770254634</v>
      </c>
      <c r="F408" s="207">
        <f>$D$10+0.548128*$E$10</f>
        <v>0.1515775359999999</v>
      </c>
      <c r="G408" s="208">
        <f>$F408*(1-'Sensitivity &amp; Scenarios'!$C$12)+'Sensitivity &amp; Scenarios'!$C$9*'Sensitivity &amp; Scenarios'!$C$12-'Sensitivity &amp; Scenarios'!$C$10</f>
        <v>8.2620888277264631E-2</v>
      </c>
      <c r="H408" s="209">
        <f>('Sensitivity &amp; Scenarios'!$C$6*(1+$E408)^1*$G408+'Sensitivity &amp; Scenarios'!$C$11*'Sensitivity &amp; Scenarios'!$C$6*((1+$E408)^1-(1+$E408)^0))*'Sensitivity &amp; Scenarios'!$C$18/(1+$C408)^'Sensitivity &amp; Scenarios'!$C$18+('Sensitivity &amp; Scenarios'!$C$6*(1+$E408)^2*$G408+'Sensitivity &amp; Scenarios'!$C$11*'Sensitivity &amp; Scenarios'!$C$6*((1+$E408)^2-(1+$E408)^1))/(1+$C408)^('Sensitivity &amp; Scenarios'!$C$18+1)+('Sensitivity &amp; Scenarios'!$C$6*(1+$E408)^3*$G408+'Sensitivity &amp; Scenarios'!$C$11*'Sensitivity &amp; Scenarios'!$C$6*((1+$E408)^3-(1+$E408)^2))/(1+$C408)^('Sensitivity &amp; Scenarios'!$C$18+2)+('Sensitivity &amp; Scenarios'!$C$6*(1+$E408)^4*$G408+'Sensitivity &amp; Scenarios'!$C$11*'Sensitivity &amp; Scenarios'!$C$6*((1+$E408)^4-(1+$E408)^3))/(1+$C408)^('Sensitivity &amp; Scenarios'!$C$18+3)+('Sensitivity &amp; Scenarios'!$C$6*(1+$E408)^5*$G408+'Sensitivity &amp; Scenarios'!$C$11*'Sensitivity &amp; Scenarios'!$C$6*((1+$E408)^5-(1+$E408)^4))/(1+$C408)^('Sensitivity &amp; Scenarios'!$C$18+4)</f>
        <v>23510.560872398757</v>
      </c>
      <c r="I408" s="209">
        <f>('Sensitivity &amp; Scenarios'!$C$6*(1+$E408)^5*$G408+'Sensitivity &amp; Scenarios'!$C$11*'Sensitivity &amp; Scenarios'!$C$6*((1+$E408)^5-(1+$E408)^4))*(1+$D408)/($C408-$D408)/(1+$C408)^('Sensitivity &amp; Scenarios'!$C$18+4)</f>
        <v>53647.887923529655</v>
      </c>
      <c r="J408" s="209">
        <f>($H408+$I408-'Sensitivity &amp; Scenarios'!$C$15+'Sensitivity &amp; Scenarios'!$C$16)/'Sensitivity &amp; Scenarios'!$C$17</f>
        <v>1910.6520942998388</v>
      </c>
    </row>
    <row r="409" spans="2:10" x14ac:dyDescent="0.3">
      <c r="B409" s="127">
        <v>379</v>
      </c>
      <c r="C409" s="206">
        <f>$D$7+0.895605*$E$7</f>
        <v>0.14650830943997797</v>
      </c>
      <c r="D409" s="206">
        <f>MIN($D$8+-1.997467*$E$8,'Debt &amp; Cost of Capital'!$C$38)</f>
        <v>4.3015197999999998E-2</v>
      </c>
      <c r="E409" s="207">
        <f>$D$9+-1.682326*$E$9</f>
        <v>0.11675131770254635</v>
      </c>
      <c r="F409" s="207">
        <f>$D$10+0.210291*$E$10</f>
        <v>0.1475234919999999</v>
      </c>
      <c r="G409" s="208">
        <f>$F409*(1-'Sensitivity &amp; Scenarios'!$C$12)+'Sensitivity &amp; Scenarios'!$C$9*'Sensitivity &amp; Scenarios'!$C$12-'Sensitivity &amp; Scenarios'!$C$10</f>
        <v>7.9587247152064625E-2</v>
      </c>
      <c r="H409" s="209">
        <f>('Sensitivity &amp; Scenarios'!$C$6*(1+$E409)^1*$G409+'Sensitivity &amp; Scenarios'!$C$11*'Sensitivity &amp; Scenarios'!$C$6*((1+$E409)^1-(1+$E409)^0))*'Sensitivity &amp; Scenarios'!$C$18/(1+$C409)^'Sensitivity &amp; Scenarios'!$C$18+('Sensitivity &amp; Scenarios'!$C$6*(1+$E409)^2*$G409+'Sensitivity &amp; Scenarios'!$C$11*'Sensitivity &amp; Scenarios'!$C$6*((1+$E409)^2-(1+$E409)^1))/(1+$C409)^('Sensitivity &amp; Scenarios'!$C$18+1)+('Sensitivity &amp; Scenarios'!$C$6*(1+$E409)^3*$G409+'Sensitivity &amp; Scenarios'!$C$11*'Sensitivity &amp; Scenarios'!$C$6*((1+$E409)^3-(1+$E409)^2))/(1+$C409)^('Sensitivity &amp; Scenarios'!$C$18+2)+('Sensitivity &amp; Scenarios'!$C$6*(1+$E409)^4*$G409+'Sensitivity &amp; Scenarios'!$C$11*'Sensitivity &amp; Scenarios'!$C$6*((1+$E409)^4-(1+$E409)^3))/(1+$C409)^('Sensitivity &amp; Scenarios'!$C$18+3)+('Sensitivity &amp; Scenarios'!$C$6*(1+$E409)^5*$G409+'Sensitivity &amp; Scenarios'!$C$11*'Sensitivity &amp; Scenarios'!$C$6*((1+$E409)^5-(1+$E409)^4))/(1+$C409)^('Sensitivity &amp; Scenarios'!$C$18+4)</f>
        <v>19314.946385582829</v>
      </c>
      <c r="I409" s="209">
        <f>('Sensitivity &amp; Scenarios'!$C$6*(1+$E409)^5*$G409+'Sensitivity &amp; Scenarios'!$C$11*'Sensitivity &amp; Scenarios'!$C$6*((1+$E409)^5-(1+$E409)^4))*(1+$D409)/($C409-$D409)/(1+$C409)^('Sensitivity &amp; Scenarios'!$C$18+4)</f>
        <v>40005.295478704043</v>
      </c>
      <c r="J409" s="209">
        <f>($H409+$I409-'Sensitivity &amp; Scenarios'!$C$15+'Sensitivity &amp; Scenarios'!$C$16)/'Sensitivity &amp; Scenarios'!$C$17</f>
        <v>1535.1796664783758</v>
      </c>
    </row>
    <row r="410" spans="2:10" x14ac:dyDescent="0.3">
      <c r="B410" s="127">
        <v>380</v>
      </c>
      <c r="C410" s="206">
        <f>$D$7+-0.714877*$E$7</f>
        <v>0.13040348943997798</v>
      </c>
      <c r="D410" s="206">
        <f>MIN($D$8+1.312025*$E$8,'Debt &amp; Cost of Capital'!$C$38)</f>
        <v>6.2872150000000002E-2</v>
      </c>
      <c r="E410" s="207">
        <f>$D$9+-0.315174*$E$9</f>
        <v>0.15776587770254635</v>
      </c>
      <c r="F410" s="207">
        <f>$D$10+-1.934531*$E$10</f>
        <v>0.12178562799999991</v>
      </c>
      <c r="G410" s="208">
        <f>$F410*(1-'Sensitivity &amp; Scenarios'!$C$12)+'Sensitivity &amp; Scenarios'!$C$9*'Sensitivity &amp; Scenarios'!$C$12-'Sensitivity &amp; Scenarios'!$C$10</f>
        <v>6.0327603520864637E-2</v>
      </c>
      <c r="H410" s="209">
        <f>('Sensitivity &amp; Scenarios'!$C$6*(1+$E410)^1*$G410+'Sensitivity &amp; Scenarios'!$C$11*'Sensitivity &amp; Scenarios'!$C$6*((1+$E410)^1-(1+$E410)^0))*'Sensitivity &amp; Scenarios'!$C$18/(1+$C410)^'Sensitivity &amp; Scenarios'!$C$18+('Sensitivity &amp; Scenarios'!$C$6*(1+$E410)^2*$G410+'Sensitivity &amp; Scenarios'!$C$11*'Sensitivity &amp; Scenarios'!$C$6*((1+$E410)^2-(1+$E410)^1))/(1+$C410)^('Sensitivity &amp; Scenarios'!$C$18+1)+('Sensitivity &amp; Scenarios'!$C$6*(1+$E410)^3*$G410+'Sensitivity &amp; Scenarios'!$C$11*'Sensitivity &amp; Scenarios'!$C$6*((1+$E410)^3-(1+$E410)^2))/(1+$C410)^('Sensitivity &amp; Scenarios'!$C$18+2)+('Sensitivity &amp; Scenarios'!$C$6*(1+$E410)^4*$G410+'Sensitivity &amp; Scenarios'!$C$11*'Sensitivity &amp; Scenarios'!$C$6*((1+$E410)^4-(1+$E410)^3))/(1+$C410)^('Sensitivity &amp; Scenarios'!$C$18+3)+('Sensitivity &amp; Scenarios'!$C$6*(1+$E410)^5*$G410+'Sensitivity &amp; Scenarios'!$C$11*'Sensitivity &amp; Scenarios'!$C$6*((1+$E410)^5-(1+$E410)^4))/(1+$C410)^('Sensitivity &amp; Scenarios'!$C$18+4)</f>
        <v>18616.848539742372</v>
      </c>
      <c r="I410" s="209">
        <f>('Sensitivity &amp; Scenarios'!$C$6*(1+$E410)^5*$G410+'Sensitivity &amp; Scenarios'!$C$11*'Sensitivity &amp; Scenarios'!$C$6*((1+$E410)^5-(1+$E410)^4))*(1+$D410)/($C410-$D410)/(1+$C410)^('Sensitivity &amp; Scenarios'!$C$18+4)</f>
        <v>66059.302983950489</v>
      </c>
      <c r="J410" s="209">
        <f>($H410+$I410-'Sensitivity &amp; Scenarios'!$C$15+'Sensitivity &amp; Scenarios'!$C$16)/'Sensitivity &amp; Scenarios'!$C$17</f>
        <v>2068.8905375273835</v>
      </c>
    </row>
    <row r="411" spans="2:10" x14ac:dyDescent="0.3">
      <c r="B411" s="127">
        <v>381</v>
      </c>
      <c r="C411" s="206">
        <f>$D$7+-1.268014*$E$7</f>
        <v>0.12487211943997797</v>
      </c>
      <c r="D411" s="206">
        <f>MIN($D$8+-2.749676*$E$8,'Debt &amp; Cost of Capital'!$C$38)</f>
        <v>3.8501943999999996E-2</v>
      </c>
      <c r="E411" s="207">
        <f>$D$9+-0.234126*$E$9</f>
        <v>0.16019731770254633</v>
      </c>
      <c r="F411" s="207">
        <f>$D$10+-0.188384*$E$10</f>
        <v>0.14273939199999991</v>
      </c>
      <c r="G411" s="208">
        <f>$F411*(1-'Sensitivity &amp; Scenarios'!$C$12)+'Sensitivity &amp; Scenarios'!$C$9*'Sensitivity &amp; Scenarios'!$C$12-'Sensitivity &amp; Scenarios'!$C$10</f>
        <v>7.6007305122064633E-2</v>
      </c>
      <c r="H411" s="209">
        <f>('Sensitivity &amp; Scenarios'!$C$6*(1+$E411)^1*$G411+'Sensitivity &amp; Scenarios'!$C$11*'Sensitivity &amp; Scenarios'!$C$6*((1+$E411)^1-(1+$E411)^0))*'Sensitivity &amp; Scenarios'!$C$18/(1+$C411)^'Sensitivity &amp; Scenarios'!$C$18+('Sensitivity &amp; Scenarios'!$C$6*(1+$E411)^2*$G411+'Sensitivity &amp; Scenarios'!$C$11*'Sensitivity &amp; Scenarios'!$C$6*((1+$E411)^2-(1+$E411)^1))/(1+$C411)^('Sensitivity &amp; Scenarios'!$C$18+1)+('Sensitivity &amp; Scenarios'!$C$6*(1+$E411)^3*$G411+'Sensitivity &amp; Scenarios'!$C$11*'Sensitivity &amp; Scenarios'!$C$6*((1+$E411)^3-(1+$E411)^2))/(1+$C411)^('Sensitivity &amp; Scenarios'!$C$18+2)+('Sensitivity &amp; Scenarios'!$C$6*(1+$E411)^4*$G411+'Sensitivity &amp; Scenarios'!$C$11*'Sensitivity &amp; Scenarios'!$C$6*((1+$E411)^4-(1+$E411)^3))/(1+$C411)^('Sensitivity &amp; Scenarios'!$C$18+3)+('Sensitivity &amp; Scenarios'!$C$6*(1+$E411)^5*$G411+'Sensitivity &amp; Scenarios'!$C$11*'Sensitivity &amp; Scenarios'!$C$6*((1+$E411)^5-(1+$E411)^4))/(1+$C411)^('Sensitivity &amp; Scenarios'!$C$18+4)</f>
        <v>23012.482943440424</v>
      </c>
      <c r="I411" s="209">
        <f>('Sensitivity &amp; Scenarios'!$C$6*(1+$E411)^5*$G411+'Sensitivity &amp; Scenarios'!$C$11*'Sensitivity &amp; Scenarios'!$C$6*((1+$E411)^5-(1+$E411)^4))*(1+$D411)/($C411-$D411)/(1+$C411)^('Sensitivity &amp; Scenarios'!$C$18+4)</f>
        <v>63169.705552079569</v>
      </c>
      <c r="J411" s="209">
        <f>($H411+$I411-'Sensitivity &amp; Scenarios'!$C$15+'Sensitivity &amp; Scenarios'!$C$16)/'Sensitivity &amp; Scenarios'!$C$17</f>
        <v>2100.5907728911616</v>
      </c>
    </row>
    <row r="412" spans="2:10" x14ac:dyDescent="0.3">
      <c r="B412" s="127">
        <v>382</v>
      </c>
      <c r="C412" s="206">
        <f>$D$7+-0.424463*$E$7</f>
        <v>0.13330762943997798</v>
      </c>
      <c r="D412" s="206">
        <f>MIN($D$8+1.078879*$E$8,'Debt &amp; Cost of Capital'!$C$38)</f>
        <v>6.1473274000000001E-2</v>
      </c>
      <c r="E412" s="207">
        <f>$D$9+1.19852*$E$9</f>
        <v>0.20317669770254634</v>
      </c>
      <c r="F412" s="207">
        <f>$D$10+-0.170388*$E$10</f>
        <v>0.1429553439999999</v>
      </c>
      <c r="G412" s="208">
        <f>$F412*(1-'Sensitivity &amp; Scenarios'!$C$12)+'Sensitivity &amp; Scenarios'!$C$9*'Sensitivity &amp; Scenarios'!$C$12-'Sensitivity &amp; Scenarios'!$C$10</f>
        <v>7.6168902003664635E-2</v>
      </c>
      <c r="H412" s="209">
        <f>('Sensitivity &amp; Scenarios'!$C$6*(1+$E412)^1*$G412+'Sensitivity &amp; Scenarios'!$C$11*'Sensitivity &amp; Scenarios'!$C$6*((1+$E412)^1-(1+$E412)^0))*'Sensitivity &amp; Scenarios'!$C$18/(1+$C412)^'Sensitivity &amp; Scenarios'!$C$18+('Sensitivity &amp; Scenarios'!$C$6*(1+$E412)^2*$G412+'Sensitivity &amp; Scenarios'!$C$11*'Sensitivity &amp; Scenarios'!$C$6*((1+$E412)^2-(1+$E412)^1))/(1+$C412)^('Sensitivity &amp; Scenarios'!$C$18+1)+('Sensitivity &amp; Scenarios'!$C$6*(1+$E412)^3*$G412+'Sensitivity &amp; Scenarios'!$C$11*'Sensitivity &amp; Scenarios'!$C$6*((1+$E412)^3-(1+$E412)^2))/(1+$C412)^('Sensitivity &amp; Scenarios'!$C$18+2)+('Sensitivity &amp; Scenarios'!$C$6*(1+$E412)^4*$G412+'Sensitivity &amp; Scenarios'!$C$11*'Sensitivity &amp; Scenarios'!$C$6*((1+$E412)^4-(1+$E412)^3))/(1+$C412)^('Sensitivity &amp; Scenarios'!$C$18+3)+('Sensitivity &amp; Scenarios'!$C$6*(1+$E412)^5*$G412+'Sensitivity &amp; Scenarios'!$C$11*'Sensitivity &amp; Scenarios'!$C$6*((1+$E412)^5-(1+$E412)^4))/(1+$C412)^('Sensitivity &amp; Scenarios'!$C$18+4)</f>
        <v>26327.598178222721</v>
      </c>
      <c r="I412" s="209">
        <f>('Sensitivity &amp; Scenarios'!$C$6*(1+$E412)^5*$G412+'Sensitivity &amp; Scenarios'!$C$11*'Sensitivity &amp; Scenarios'!$C$6*((1+$E412)^5-(1+$E412)^4))*(1+$D412)/($C412-$D412)/(1+$C412)^('Sensitivity &amp; Scenarios'!$C$18+4)</f>
        <v>93449.227802618654</v>
      </c>
      <c r="J412" s="209">
        <f>($H412+$I412-'Sensitivity &amp; Scenarios'!$C$15+'Sensitivity &amp; Scenarios'!$C$16)/'Sensitivity &amp; Scenarios'!$C$17</f>
        <v>2807.7167831865681</v>
      </c>
    </row>
    <row r="413" spans="2:10" x14ac:dyDescent="0.3">
      <c r="B413" s="127">
        <v>383</v>
      </c>
      <c r="C413" s="206">
        <f>$D$7+-2.134694*$E$7</f>
        <v>0.11620531943997797</v>
      </c>
      <c r="D413" s="206">
        <f>MIN($D$8+0.617282*$E$8,'Debt &amp; Cost of Capital'!$C$38)</f>
        <v>5.8703692000000002E-2</v>
      </c>
      <c r="E413" s="207">
        <f>$D$9+0.55536*$E$9</f>
        <v>0.18388189770254634</v>
      </c>
      <c r="F413" s="207">
        <f>$D$10+0.309392*$E$10</f>
        <v>0.14871270399999992</v>
      </c>
      <c r="G413" s="208">
        <f>$F413*(1-'Sensitivity &amp; Scenarios'!$C$12)+'Sensitivity &amp; Scenarios'!$C$9*'Sensitivity &amp; Scenarios'!$C$12-'Sensitivity &amp; Scenarios'!$C$10</f>
        <v>8.0477134491664645E-2</v>
      </c>
      <c r="H413" s="209">
        <f>('Sensitivity &amp; Scenarios'!$C$6*(1+$E413)^1*$G413+'Sensitivity &amp; Scenarios'!$C$11*'Sensitivity &amp; Scenarios'!$C$6*((1+$E413)^1-(1+$E413)^0))*'Sensitivity &amp; Scenarios'!$C$18/(1+$C413)^'Sensitivity &amp; Scenarios'!$C$18+('Sensitivity &amp; Scenarios'!$C$6*(1+$E413)^2*$G413+'Sensitivity &amp; Scenarios'!$C$11*'Sensitivity &amp; Scenarios'!$C$6*((1+$E413)^2-(1+$E413)^1))/(1+$C413)^('Sensitivity &amp; Scenarios'!$C$18+1)+('Sensitivity &amp; Scenarios'!$C$6*(1+$E413)^3*$G413+'Sensitivity &amp; Scenarios'!$C$11*'Sensitivity &amp; Scenarios'!$C$6*((1+$E413)^3-(1+$E413)^2))/(1+$C413)^('Sensitivity &amp; Scenarios'!$C$18+2)+('Sensitivity &amp; Scenarios'!$C$6*(1+$E413)^4*$G413+'Sensitivity &amp; Scenarios'!$C$11*'Sensitivity &amp; Scenarios'!$C$6*((1+$E413)^4-(1+$E413)^3))/(1+$C413)^('Sensitivity &amp; Scenarios'!$C$18+3)+('Sensitivity &amp; Scenarios'!$C$6*(1+$E413)^5*$G413+'Sensitivity &amp; Scenarios'!$C$11*'Sensitivity &amp; Scenarios'!$C$6*((1+$E413)^5-(1+$E413)^4))/(1+$C413)^('Sensitivity &amp; Scenarios'!$C$18+4)</f>
        <v>26875.335113009682</v>
      </c>
      <c r="I413" s="209">
        <f>('Sensitivity &amp; Scenarios'!$C$6*(1+$E413)^5*$G413+'Sensitivity &amp; Scenarios'!$C$11*'Sensitivity &amp; Scenarios'!$C$6*((1+$E413)^5-(1+$E413)^4))*(1+$D413)/($C413-$D413)/(1+$C413)^('Sensitivity &amp; Scenarios'!$C$18+4)</f>
        <v>118662.11016506644</v>
      </c>
      <c r="J413" s="209">
        <f>($H413+$I413-'Sensitivity &amp; Scenarios'!$C$15+'Sensitivity &amp; Scenarios'!$C$16)/'Sensitivity &amp; Scenarios'!$C$17</f>
        <v>3349.946296880581</v>
      </c>
    </row>
    <row r="414" spans="2:10" x14ac:dyDescent="0.3">
      <c r="B414" s="127">
        <v>384</v>
      </c>
      <c r="C414" s="206">
        <f>$D$7+0.98148*$E$7</f>
        <v>0.14736705943997799</v>
      </c>
      <c r="D414" s="206">
        <f>MIN($D$8+-1.164828*$E$8,'Debt &amp; Cost of Capital'!$C$38)</f>
        <v>4.8011032000000002E-2</v>
      </c>
      <c r="E414" s="207">
        <f>$D$9+2.008755*$E$9</f>
        <v>0.22748374770254634</v>
      </c>
      <c r="F414" s="207">
        <f>$D$10+-0.959428*$E$10</f>
        <v>0.1334868639999999</v>
      </c>
      <c r="G414" s="208">
        <f>$F414*(1-'Sensitivity &amp; Scenarios'!$C$12)+'Sensitivity &amp; Scenarios'!$C$9*'Sensitivity &amp; Scenarios'!$C$12-'Sensitivity &amp; Scenarios'!$C$10</f>
        <v>6.9083638419664625E-2</v>
      </c>
      <c r="H414" s="209">
        <f>('Sensitivity &amp; Scenarios'!$C$6*(1+$E414)^1*$G414+'Sensitivity &amp; Scenarios'!$C$11*'Sensitivity &amp; Scenarios'!$C$6*((1+$E414)^1-(1+$E414)^0))*'Sensitivity &amp; Scenarios'!$C$18/(1+$C414)^'Sensitivity &amp; Scenarios'!$C$18+('Sensitivity &amp; Scenarios'!$C$6*(1+$E414)^2*$G414+'Sensitivity &amp; Scenarios'!$C$11*'Sensitivity &amp; Scenarios'!$C$6*((1+$E414)^2-(1+$E414)^1))/(1+$C414)^('Sensitivity &amp; Scenarios'!$C$18+1)+('Sensitivity &amp; Scenarios'!$C$6*(1+$E414)^3*$G414+'Sensitivity &amp; Scenarios'!$C$11*'Sensitivity &amp; Scenarios'!$C$6*((1+$E414)^3-(1+$E414)^2))/(1+$C414)^('Sensitivity &amp; Scenarios'!$C$18+2)+('Sensitivity &amp; Scenarios'!$C$6*(1+$E414)^4*$G414+'Sensitivity &amp; Scenarios'!$C$11*'Sensitivity &amp; Scenarios'!$C$6*((1+$E414)^4-(1+$E414)^3))/(1+$C414)^('Sensitivity &amp; Scenarios'!$C$18+3)+('Sensitivity &amp; Scenarios'!$C$6*(1+$E414)^5*$G414+'Sensitivity &amp; Scenarios'!$C$11*'Sensitivity &amp; Scenarios'!$C$6*((1+$E414)^5-(1+$E414)^4))/(1+$C414)^('Sensitivity &amp; Scenarios'!$C$18+4)</f>
        <v>25609.742589682341</v>
      </c>
      <c r="I414" s="209">
        <f>('Sensitivity &amp; Scenarios'!$C$6*(1+$E414)^5*$G414+'Sensitivity &amp; Scenarios'!$C$11*'Sensitivity &amp; Scenarios'!$C$6*((1+$E414)^5-(1+$E414)^4))*(1+$D414)/($C414-$D414)/(1+$C414)^('Sensitivity &amp; Scenarios'!$C$18+4)</f>
        <v>65753.192902631461</v>
      </c>
      <c r="J414" s="209">
        <f>($H414+$I414-'Sensitivity &amp; Scenarios'!$C$15+'Sensitivity &amp; Scenarios'!$C$16)/'Sensitivity &amp; Scenarios'!$C$17</f>
        <v>2209.6391576458232</v>
      </c>
    </row>
    <row r="415" spans="2:10" x14ac:dyDescent="0.3">
      <c r="B415" s="127">
        <v>385</v>
      </c>
      <c r="C415" s="206">
        <f>$D$7+0.749223*$E$7</f>
        <v>0.14504448943997797</v>
      </c>
      <c r="D415" s="206">
        <f>MIN($D$8+-1.687348*$E$8,'Debt &amp; Cost of Capital'!$C$38)</f>
        <v>4.4875912000000004E-2</v>
      </c>
      <c r="E415" s="207">
        <f>$D$9+-0.930265*$E$9</f>
        <v>0.13931314770254632</v>
      </c>
      <c r="F415" s="207">
        <f>$D$10+1.516369*$E$10</f>
        <v>0.16319642799999989</v>
      </c>
      <c r="G415" s="208">
        <f>$F415*(1-'Sensitivity &amp; Scenarios'!$C$12)+'Sensitivity &amp; Scenarios'!$C$9*'Sensitivity &amp; Scenarios'!$C$12-'Sensitivity &amp; Scenarios'!$C$10</f>
        <v>9.131530516086464E-2</v>
      </c>
      <c r="H415" s="209">
        <f>('Sensitivity &amp; Scenarios'!$C$6*(1+$E415)^1*$G415+'Sensitivity &amp; Scenarios'!$C$11*'Sensitivity &amp; Scenarios'!$C$6*((1+$E415)^1-(1+$E415)^0))*'Sensitivity &amp; Scenarios'!$C$18/(1+$C415)^'Sensitivity &amp; Scenarios'!$C$18+('Sensitivity &amp; Scenarios'!$C$6*(1+$E415)^2*$G415+'Sensitivity &amp; Scenarios'!$C$11*'Sensitivity &amp; Scenarios'!$C$6*((1+$E415)^2-(1+$E415)^1))/(1+$C415)^('Sensitivity &amp; Scenarios'!$C$18+1)+('Sensitivity &amp; Scenarios'!$C$6*(1+$E415)^3*$G415+'Sensitivity &amp; Scenarios'!$C$11*'Sensitivity &amp; Scenarios'!$C$6*((1+$E415)^3-(1+$E415)^2))/(1+$C415)^('Sensitivity &amp; Scenarios'!$C$18+2)+('Sensitivity &amp; Scenarios'!$C$6*(1+$E415)^4*$G415+'Sensitivity &amp; Scenarios'!$C$11*'Sensitivity &amp; Scenarios'!$C$6*((1+$E415)^4-(1+$E415)^3))/(1+$C415)^('Sensitivity &amp; Scenarios'!$C$18+3)+('Sensitivity &amp; Scenarios'!$C$6*(1+$E415)^5*$G415+'Sensitivity &amp; Scenarios'!$C$11*'Sensitivity &amp; Scenarios'!$C$6*((1+$E415)^5-(1+$E415)^4))/(1+$C415)^('Sensitivity &amp; Scenarios'!$C$18+4)</f>
        <v>23734.395412223905</v>
      </c>
      <c r="I415" s="209">
        <f>('Sensitivity &amp; Scenarios'!$C$6*(1+$E415)^5*$G415+'Sensitivity &amp; Scenarios'!$C$11*'Sensitivity &amp; Scenarios'!$C$6*((1+$E415)^5-(1+$E415)^4))*(1+$D415)/($C415-$D415)/(1+$C415)^('Sensitivity &amp; Scenarios'!$C$18+4)</f>
        <v>52946.540079813225</v>
      </c>
      <c r="J415" s="209">
        <f>($H415+$I415-'Sensitivity &amp; Scenarios'!$C$15+'Sensitivity &amp; Scenarios'!$C$16)/'Sensitivity &amp; Scenarios'!$C$17</f>
        <v>1900.6010235719241</v>
      </c>
    </row>
    <row r="416" spans="2:10" x14ac:dyDescent="0.3">
      <c r="B416" s="127">
        <v>386</v>
      </c>
      <c r="C416" s="206">
        <f>$D$7+-0.2609*$E$7</f>
        <v>0.13494325943997798</v>
      </c>
      <c r="D416" s="206">
        <f>MIN($D$8+0.839923*$E$8,'Debt &amp; Cost of Capital'!$C$38)</f>
        <v>6.0039538000000003E-2</v>
      </c>
      <c r="E416" s="207">
        <f>$D$9+0.236955*$E$9</f>
        <v>0.17432974770254633</v>
      </c>
      <c r="F416" s="207">
        <f>$D$10+-0.104958*$E$10</f>
        <v>0.14374050399999991</v>
      </c>
      <c r="G416" s="208">
        <f>$F416*(1-'Sensitivity &amp; Scenarios'!$C$12)+'Sensitivity &amp; Scenarios'!$C$9*'Sensitivity &amp; Scenarios'!$C$12-'Sensitivity &amp; Scenarios'!$C$10</f>
        <v>7.6756437231664643E-2</v>
      </c>
      <c r="H416" s="209">
        <f>('Sensitivity &amp; Scenarios'!$C$6*(1+$E416)^1*$G416+'Sensitivity &amp; Scenarios'!$C$11*'Sensitivity &amp; Scenarios'!$C$6*((1+$E416)^1-(1+$E416)^0))*'Sensitivity &amp; Scenarios'!$C$18/(1+$C416)^'Sensitivity &amp; Scenarios'!$C$18+('Sensitivity &amp; Scenarios'!$C$6*(1+$E416)^2*$G416+'Sensitivity &amp; Scenarios'!$C$11*'Sensitivity &amp; Scenarios'!$C$6*((1+$E416)^2-(1+$E416)^1))/(1+$C416)^('Sensitivity &amp; Scenarios'!$C$18+1)+('Sensitivity &amp; Scenarios'!$C$6*(1+$E416)^3*$G416+'Sensitivity &amp; Scenarios'!$C$11*'Sensitivity &amp; Scenarios'!$C$6*((1+$E416)^3-(1+$E416)^2))/(1+$C416)^('Sensitivity &amp; Scenarios'!$C$18+2)+('Sensitivity &amp; Scenarios'!$C$6*(1+$E416)^4*$G416+'Sensitivity &amp; Scenarios'!$C$11*'Sensitivity &amp; Scenarios'!$C$6*((1+$E416)^4-(1+$E416)^3))/(1+$C416)^('Sensitivity &amp; Scenarios'!$C$18+3)+('Sensitivity &amp; Scenarios'!$C$6*(1+$E416)^5*$G416+'Sensitivity &amp; Scenarios'!$C$11*'Sensitivity &amp; Scenarios'!$C$6*((1+$E416)^5-(1+$E416)^4))/(1+$C416)^('Sensitivity &amp; Scenarios'!$C$18+4)</f>
        <v>23809.871821924258</v>
      </c>
      <c r="I416" s="209">
        <f>('Sensitivity &amp; Scenarios'!$C$6*(1+$E416)^5*$G416+'Sensitivity &amp; Scenarios'!$C$11*'Sensitivity &amp; Scenarios'!$C$6*((1+$E416)^5-(1+$E416)^4))*(1+$D416)/($C416-$D416)/(1+$C416)^('Sensitivity &amp; Scenarios'!$C$18+4)</f>
        <v>77366.048797260431</v>
      </c>
      <c r="J416" s="209">
        <f>($H416+$I416-'Sensitivity &amp; Scenarios'!$C$15+'Sensitivity &amp; Scenarios'!$C$16)/'Sensitivity &amp; Scenarios'!$C$17</f>
        <v>2416.1904867049407</v>
      </c>
    </row>
    <row r="417" spans="2:10" x14ac:dyDescent="0.3">
      <c r="B417" s="127">
        <v>387</v>
      </c>
      <c r="C417" s="206">
        <f>$D$7+1.36385*$E$7</f>
        <v>0.15119075943997798</v>
      </c>
      <c r="D417" s="206">
        <f>MIN($D$8+-0.236659*$E$8,'Debt &amp; Cost of Capital'!$C$38)</f>
        <v>5.3580045999999999E-2</v>
      </c>
      <c r="E417" s="207">
        <f>$D$9+-1.780738*$E$9</f>
        <v>0.11379895770254635</v>
      </c>
      <c r="F417" s="207">
        <f>$D$10+-0.80324*$E$10</f>
        <v>0.13536111999999992</v>
      </c>
      <c r="G417" s="208">
        <f>$F417*(1-'Sensitivity &amp; Scenarios'!$C$12)+'Sensitivity &amp; Scenarios'!$C$9*'Sensitivity &amp; Scenarios'!$C$12-'Sensitivity &amp; Scenarios'!$C$10</f>
        <v>7.0486144184464639E-2</v>
      </c>
      <c r="H417" s="209">
        <f>('Sensitivity &amp; Scenarios'!$C$6*(1+$E417)^1*$G417+'Sensitivity &amp; Scenarios'!$C$11*'Sensitivity &amp; Scenarios'!$C$6*((1+$E417)^1-(1+$E417)^0))*'Sensitivity &amp; Scenarios'!$C$18/(1+$C417)^'Sensitivity &amp; Scenarios'!$C$18+('Sensitivity &amp; Scenarios'!$C$6*(1+$E417)^2*$G417+'Sensitivity &amp; Scenarios'!$C$11*'Sensitivity &amp; Scenarios'!$C$6*((1+$E417)^2-(1+$E417)^1))/(1+$C417)^('Sensitivity &amp; Scenarios'!$C$18+1)+('Sensitivity &amp; Scenarios'!$C$6*(1+$E417)^3*$G417+'Sensitivity &amp; Scenarios'!$C$11*'Sensitivity &amp; Scenarios'!$C$6*((1+$E417)^3-(1+$E417)^2))/(1+$C417)^('Sensitivity &amp; Scenarios'!$C$18+2)+('Sensitivity &amp; Scenarios'!$C$6*(1+$E417)^4*$G417+'Sensitivity &amp; Scenarios'!$C$11*'Sensitivity &amp; Scenarios'!$C$6*((1+$E417)^4-(1+$E417)^3))/(1+$C417)^('Sensitivity &amp; Scenarios'!$C$18+3)+('Sensitivity &amp; Scenarios'!$C$6*(1+$E417)^5*$G417+'Sensitivity &amp; Scenarios'!$C$11*'Sensitivity &amp; Scenarios'!$C$6*((1+$E417)^5-(1+$E417)^4))/(1+$C417)^('Sensitivity &amp; Scenarios'!$C$18+4)</f>
        <v>16997.165446041745</v>
      </c>
      <c r="I417" s="209">
        <f>('Sensitivity &amp; Scenarios'!$C$6*(1+$E417)^5*$G417+'Sensitivity &amp; Scenarios'!$C$11*'Sensitivity &amp; Scenarios'!$C$6*((1+$E417)^5-(1+$E417)^4))*(1+$D417)/($C417-$D417)/(1+$C417)^('Sensitivity &amp; Scenarios'!$C$18+4)</f>
        <v>37226.912819204641</v>
      </c>
      <c r="J417" s="209">
        <f>($H417+$I417-'Sensitivity &amp; Scenarios'!$C$15+'Sensitivity &amp; Scenarios'!$C$16)/'Sensitivity &amp; Scenarios'!$C$17</f>
        <v>1427.9116587442031</v>
      </c>
    </row>
    <row r="418" spans="2:10" x14ac:dyDescent="0.3">
      <c r="B418" s="127">
        <v>388</v>
      </c>
      <c r="C418" s="206">
        <f>$D$7+0.551192*$E$7</f>
        <v>0.14306417943997798</v>
      </c>
      <c r="D418" s="206">
        <f>MIN($D$8+0.395509*$E$8,'Debt &amp; Cost of Capital'!$C$38)</f>
        <v>5.7373054E-2</v>
      </c>
      <c r="E418" s="207">
        <f>$D$9+-1.567058*$E$9</f>
        <v>0.12020935770254634</v>
      </c>
      <c r="F418" s="207">
        <f>$D$10+-0.724343*$E$10</f>
        <v>0.13630788399999991</v>
      </c>
      <c r="G418" s="208">
        <f>$F418*(1-'Sensitivity &amp; Scenarios'!$C$12)+'Sensitivity &amp; Scenarios'!$C$9*'Sensitivity &amp; Scenarios'!$C$12-'Sensitivity &amp; Scenarios'!$C$10</f>
        <v>7.1194607685664643E-2</v>
      </c>
      <c r="H418" s="209">
        <f>('Sensitivity &amp; Scenarios'!$C$6*(1+$E418)^1*$G418+'Sensitivity &amp; Scenarios'!$C$11*'Sensitivity &amp; Scenarios'!$C$6*((1+$E418)^1-(1+$E418)^0))*'Sensitivity &amp; Scenarios'!$C$18/(1+$C418)^'Sensitivity &amp; Scenarios'!$C$18+('Sensitivity &amp; Scenarios'!$C$6*(1+$E418)^2*$G418+'Sensitivity &amp; Scenarios'!$C$11*'Sensitivity &amp; Scenarios'!$C$6*((1+$E418)^2-(1+$E418)^1))/(1+$C418)^('Sensitivity &amp; Scenarios'!$C$18+1)+('Sensitivity &amp; Scenarios'!$C$6*(1+$E418)^3*$G418+'Sensitivity &amp; Scenarios'!$C$11*'Sensitivity &amp; Scenarios'!$C$6*((1+$E418)^3-(1+$E418)^2))/(1+$C418)^('Sensitivity &amp; Scenarios'!$C$18+2)+('Sensitivity &amp; Scenarios'!$C$6*(1+$E418)^4*$G418+'Sensitivity &amp; Scenarios'!$C$11*'Sensitivity &amp; Scenarios'!$C$6*((1+$E418)^4-(1+$E418)^3))/(1+$C418)^('Sensitivity &amp; Scenarios'!$C$18+3)+('Sensitivity &amp; Scenarios'!$C$6*(1+$E418)^5*$G418+'Sensitivity &amp; Scenarios'!$C$11*'Sensitivity &amp; Scenarios'!$C$6*((1+$E418)^5-(1+$E418)^4))/(1+$C418)^('Sensitivity &amp; Scenarios'!$C$18+4)</f>
        <v>17917.739042079618</v>
      </c>
      <c r="I418" s="209">
        <f>('Sensitivity &amp; Scenarios'!$C$6*(1+$E418)^5*$G418+'Sensitivity &amp; Scenarios'!$C$11*'Sensitivity &amp; Scenarios'!$C$6*((1+$E418)^5-(1+$E418)^4))*(1+$D418)/($C418-$D418)/(1+$C418)^('Sensitivity &amp; Scenarios'!$C$18+4)</f>
        <v>45963.294059021828</v>
      </c>
      <c r="J418" s="209">
        <f>($H418+$I418-'Sensitivity &amp; Scenarios'!$C$15+'Sensitivity &amp; Scenarios'!$C$16)/'Sensitivity &amp; Scenarios'!$C$17</f>
        <v>1631.1787411071191</v>
      </c>
    </row>
    <row r="419" spans="2:10" x14ac:dyDescent="0.3">
      <c r="B419" s="127">
        <v>389</v>
      </c>
      <c r="C419" s="206">
        <f>$D$7+-0.581721*$E$7</f>
        <v>0.13173504943997799</v>
      </c>
      <c r="D419" s="206">
        <f>MIN($D$8+-0.36547*$E$8,'Debt &amp; Cost of Capital'!$C$38)</f>
        <v>5.2807180000000002E-2</v>
      </c>
      <c r="E419" s="207">
        <f>$D$9+-1.375914*$E$9</f>
        <v>0.12594367770254633</v>
      </c>
      <c r="F419" s="207">
        <f>$D$10+-0.628371*$E$10</f>
        <v>0.1374595479999999</v>
      </c>
      <c r="G419" s="208">
        <f>$F419*(1-'Sensitivity &amp; Scenarios'!$C$12)+'Sensitivity &amp; Scenarios'!$C$9*'Sensitivity &amp; Scenarios'!$C$12-'Sensitivity &amp; Scenarios'!$C$10</f>
        <v>7.2056397856864629E-2</v>
      </c>
      <c r="H419" s="209">
        <f>('Sensitivity &amp; Scenarios'!$C$6*(1+$E419)^1*$G419+'Sensitivity &amp; Scenarios'!$C$11*'Sensitivity &amp; Scenarios'!$C$6*((1+$E419)^1-(1+$E419)^0))*'Sensitivity &amp; Scenarios'!$C$18/(1+$C419)^'Sensitivity &amp; Scenarios'!$C$18+('Sensitivity &amp; Scenarios'!$C$6*(1+$E419)^2*$G419+'Sensitivity &amp; Scenarios'!$C$11*'Sensitivity &amp; Scenarios'!$C$6*((1+$E419)^2-(1+$E419)^1))/(1+$C419)^('Sensitivity &amp; Scenarios'!$C$18+1)+('Sensitivity &amp; Scenarios'!$C$6*(1+$E419)^3*$G419+'Sensitivity &amp; Scenarios'!$C$11*'Sensitivity &amp; Scenarios'!$C$6*((1+$E419)^3-(1+$E419)^2))/(1+$C419)^('Sensitivity &amp; Scenarios'!$C$18+2)+('Sensitivity &amp; Scenarios'!$C$6*(1+$E419)^4*$G419+'Sensitivity &amp; Scenarios'!$C$11*'Sensitivity &amp; Scenarios'!$C$6*((1+$E419)^4-(1+$E419)^3))/(1+$C419)^('Sensitivity &amp; Scenarios'!$C$18+3)+('Sensitivity &amp; Scenarios'!$C$6*(1+$E419)^5*$G419+'Sensitivity &amp; Scenarios'!$C$11*'Sensitivity &amp; Scenarios'!$C$6*((1+$E419)^5-(1+$E419)^4))/(1+$C419)^('Sensitivity &amp; Scenarios'!$C$18+4)</f>
        <v>19023.033280473523</v>
      </c>
      <c r="I419" s="209">
        <f>('Sensitivity &amp; Scenarios'!$C$6*(1+$E419)^5*$G419+'Sensitivity &amp; Scenarios'!$C$11*'Sensitivity &amp; Scenarios'!$C$6*((1+$E419)^5-(1+$E419)^4))*(1+$D419)/($C419-$D419)/(1+$C419)^('Sensitivity &amp; Scenarios'!$C$18+4)</f>
        <v>54254.282333364303</v>
      </c>
      <c r="J419" s="209">
        <f>($H419+$I419-'Sensitivity &amp; Scenarios'!$C$15+'Sensitivity &amp; Scenarios'!$C$16)/'Sensitivity &amp; Scenarios'!$C$17</f>
        <v>1828.9589900454478</v>
      </c>
    </row>
    <row r="420" spans="2:10" x14ac:dyDescent="0.3">
      <c r="B420" s="127">
        <v>390</v>
      </c>
      <c r="C420" s="206">
        <f>$D$7+-0.72861*$E$7</f>
        <v>0.13026615943997799</v>
      </c>
      <c r="D420" s="206">
        <f>MIN($D$8+0.771533*$E$8,'Debt &amp; Cost of Capital'!$C$38)</f>
        <v>5.9629198000000001E-2</v>
      </c>
      <c r="E420" s="207">
        <f>$D$9+0.809121*$E$9</f>
        <v>0.19149472770254633</v>
      </c>
      <c r="F420" s="207">
        <f>$D$10+-0.14581*$E$10</f>
        <v>0.1432502799999999</v>
      </c>
      <c r="G420" s="208">
        <f>$F420*(1-'Sensitivity &amp; Scenarios'!$C$12)+'Sensitivity &amp; Scenarios'!$C$9*'Sensitivity &amp; Scenarios'!$C$12-'Sensitivity &amp; Scenarios'!$C$10</f>
        <v>7.6389602612464622E-2</v>
      </c>
      <c r="H420" s="209">
        <f>('Sensitivity &amp; Scenarios'!$C$6*(1+$E420)^1*$G420+'Sensitivity &amp; Scenarios'!$C$11*'Sensitivity &amp; Scenarios'!$C$6*((1+$E420)^1-(1+$E420)^0))*'Sensitivity &amp; Scenarios'!$C$18/(1+$C420)^'Sensitivity &amp; Scenarios'!$C$18+('Sensitivity &amp; Scenarios'!$C$6*(1+$E420)^2*$G420+'Sensitivity &amp; Scenarios'!$C$11*'Sensitivity &amp; Scenarios'!$C$6*((1+$E420)^2-(1+$E420)^1))/(1+$C420)^('Sensitivity &amp; Scenarios'!$C$18+1)+('Sensitivity &amp; Scenarios'!$C$6*(1+$E420)^3*$G420+'Sensitivity &amp; Scenarios'!$C$11*'Sensitivity &amp; Scenarios'!$C$6*((1+$E420)^3-(1+$E420)^2))/(1+$C420)^('Sensitivity &amp; Scenarios'!$C$18+2)+('Sensitivity &amp; Scenarios'!$C$6*(1+$E420)^4*$G420+'Sensitivity &amp; Scenarios'!$C$11*'Sensitivity &amp; Scenarios'!$C$6*((1+$E420)^4-(1+$E420)^3))/(1+$C420)^('Sensitivity &amp; Scenarios'!$C$18+3)+('Sensitivity &amp; Scenarios'!$C$6*(1+$E420)^5*$G420+'Sensitivity &amp; Scenarios'!$C$11*'Sensitivity &amp; Scenarios'!$C$6*((1+$E420)^5-(1+$E420)^4))/(1+$C420)^('Sensitivity &amp; Scenarios'!$C$18+4)</f>
        <v>25519.073726741852</v>
      </c>
      <c r="I420" s="209">
        <f>('Sensitivity &amp; Scenarios'!$C$6*(1+$E420)^5*$G420+'Sensitivity &amp; Scenarios'!$C$11*'Sensitivity &amp; Scenarios'!$C$6*((1+$E420)^5-(1+$E420)^4))*(1+$D420)/($C420-$D420)/(1+$C420)^('Sensitivity &amp; Scenarios'!$C$18+4)</f>
        <v>90830.776411127343</v>
      </c>
      <c r="J420" s="209">
        <f>($H420+$I420-'Sensitivity &amp; Scenarios'!$C$15+'Sensitivity &amp; Scenarios'!$C$16)/'Sensitivity &amp; Scenarios'!$C$17</f>
        <v>2735.5831351816305</v>
      </c>
    </row>
    <row r="421" spans="2:10" x14ac:dyDescent="0.3">
      <c r="B421" s="127">
        <v>391</v>
      </c>
      <c r="C421" s="206">
        <f>$D$7+-0.39204*$E$7</f>
        <v>0.13363185943997799</v>
      </c>
      <c r="D421" s="206">
        <f>MIN($D$8+0.139924*$E$8,'Debt &amp; Cost of Capital'!$C$38)</f>
        <v>5.5839543999999998E-2</v>
      </c>
      <c r="E421" s="207">
        <f>$D$9+-0.816575*$E$9</f>
        <v>0.14272384770254634</v>
      </c>
      <c r="F421" s="207">
        <f>$D$10+-1.146832*$E$10</f>
        <v>0.1312380159999999</v>
      </c>
      <c r="G421" s="208">
        <f>$F421*(1-'Sensitivity &amp; Scenarios'!$C$12)+'Sensitivity &amp; Scenarios'!$C$9*'Sensitivity &amp; Scenarios'!$C$12-'Sensitivity &amp; Scenarios'!$C$10</f>
        <v>6.7400825461264635E-2</v>
      </c>
      <c r="H421" s="209">
        <f>('Sensitivity &amp; Scenarios'!$C$6*(1+$E421)^1*$G421+'Sensitivity &amp; Scenarios'!$C$11*'Sensitivity &amp; Scenarios'!$C$6*((1+$E421)^1-(1+$E421)^0))*'Sensitivity &amp; Scenarios'!$C$18/(1+$C421)^'Sensitivity &amp; Scenarios'!$C$18+('Sensitivity &amp; Scenarios'!$C$6*(1+$E421)^2*$G421+'Sensitivity &amp; Scenarios'!$C$11*'Sensitivity &amp; Scenarios'!$C$6*((1+$E421)^2-(1+$E421)^1))/(1+$C421)^('Sensitivity &amp; Scenarios'!$C$18+1)+('Sensitivity &amp; Scenarios'!$C$6*(1+$E421)^3*$G421+'Sensitivity &amp; Scenarios'!$C$11*'Sensitivity &amp; Scenarios'!$C$6*((1+$E421)^3-(1+$E421)^2))/(1+$C421)^('Sensitivity &amp; Scenarios'!$C$18+2)+('Sensitivity &amp; Scenarios'!$C$6*(1+$E421)^4*$G421+'Sensitivity &amp; Scenarios'!$C$11*'Sensitivity &amp; Scenarios'!$C$6*((1+$E421)^4-(1+$E421)^3))/(1+$C421)^('Sensitivity &amp; Scenarios'!$C$18+3)+('Sensitivity &amp; Scenarios'!$C$6*(1+$E421)^5*$G421+'Sensitivity &amp; Scenarios'!$C$11*'Sensitivity &amp; Scenarios'!$C$6*((1+$E421)^5-(1+$E421)^4))/(1+$C421)^('Sensitivity &amp; Scenarios'!$C$18+4)</f>
        <v>19083.14216143942</v>
      </c>
      <c r="I421" s="209">
        <f>('Sensitivity &amp; Scenarios'!$C$6*(1+$E421)^5*$G421+'Sensitivity &amp; Scenarios'!$C$11*'Sensitivity &amp; Scenarios'!$C$6*((1+$E421)^5-(1+$E421)^4))*(1+$D421)/($C421-$D421)/(1+$C421)^('Sensitivity &amp; Scenarios'!$C$18+4)</f>
        <v>56731.448994148341</v>
      </c>
      <c r="J421" s="209">
        <f>($H421+$I421-'Sensitivity &amp; Scenarios'!$C$15+'Sensitivity &amp; Scenarios'!$C$16)/'Sensitivity &amp; Scenarios'!$C$17</f>
        <v>1882.3655354097691</v>
      </c>
    </row>
    <row r="422" spans="2:10" x14ac:dyDescent="0.3">
      <c r="B422" s="127">
        <v>392</v>
      </c>
      <c r="C422" s="206">
        <f>$D$7+-0.940221*$E$7</f>
        <v>0.12815004943997799</v>
      </c>
      <c r="D422" s="206">
        <f>MIN($D$8+-0.634813*$E$8,'Debt &amp; Cost of Capital'!$C$38)</f>
        <v>5.1191121999999999E-2</v>
      </c>
      <c r="E422" s="207">
        <f>$D$9+-1.163474*$E$9</f>
        <v>0.13231687770254635</v>
      </c>
      <c r="F422" s="207">
        <f>$D$10+0.16206*$E$10</f>
        <v>0.14694471999999992</v>
      </c>
      <c r="G422" s="208">
        <f>$F422*(1-'Sensitivity &amp; Scenarios'!$C$12)+'Sensitivity &amp; Scenarios'!$C$9*'Sensitivity &amp; Scenarios'!$C$12-'Sensitivity &amp; Scenarios'!$C$10</f>
        <v>7.9154152064464647E-2</v>
      </c>
      <c r="H422" s="209">
        <f>('Sensitivity &amp; Scenarios'!$C$6*(1+$E422)^1*$G422+'Sensitivity &amp; Scenarios'!$C$11*'Sensitivity &amp; Scenarios'!$C$6*((1+$E422)^1-(1+$E422)^0))*'Sensitivity &amp; Scenarios'!$C$18/(1+$C422)^'Sensitivity &amp; Scenarios'!$C$18+('Sensitivity &amp; Scenarios'!$C$6*(1+$E422)^2*$G422+'Sensitivity &amp; Scenarios'!$C$11*'Sensitivity &amp; Scenarios'!$C$6*((1+$E422)^2-(1+$E422)^1))/(1+$C422)^('Sensitivity &amp; Scenarios'!$C$18+1)+('Sensitivity &amp; Scenarios'!$C$6*(1+$E422)^3*$G422+'Sensitivity &amp; Scenarios'!$C$11*'Sensitivity &amp; Scenarios'!$C$6*((1+$E422)^3-(1+$E422)^2))/(1+$C422)^('Sensitivity &amp; Scenarios'!$C$18+2)+('Sensitivity &amp; Scenarios'!$C$6*(1+$E422)^4*$G422+'Sensitivity &amp; Scenarios'!$C$11*'Sensitivity &amp; Scenarios'!$C$6*((1+$E422)^4-(1+$E422)^3))/(1+$C422)^('Sensitivity &amp; Scenarios'!$C$18+3)+('Sensitivity &amp; Scenarios'!$C$6*(1+$E422)^5*$G422+'Sensitivity &amp; Scenarios'!$C$11*'Sensitivity &amp; Scenarios'!$C$6*((1+$E422)^5-(1+$E422)^4))/(1+$C422)^('Sensitivity &amp; Scenarios'!$C$18+4)</f>
        <v>21308.380198042785</v>
      </c>
      <c r="I422" s="209">
        <f>('Sensitivity &amp; Scenarios'!$C$6*(1+$E422)^5*$G422+'Sensitivity &amp; Scenarios'!$C$11*'Sensitivity &amp; Scenarios'!$C$6*((1+$E422)^5-(1+$E422)^4))*(1+$D422)/($C422-$D422)/(1+$C422)^('Sensitivity &amp; Scenarios'!$C$18+4)</f>
        <v>63250.721731340112</v>
      </c>
      <c r="J422" s="209">
        <f>($H422+$I422-'Sensitivity &amp; Scenarios'!$C$15+'Sensitivity &amp; Scenarios'!$C$16)/'Sensitivity &amp; Scenarios'!$C$17</f>
        <v>2066.4267867973072</v>
      </c>
    </row>
    <row r="423" spans="2:10" x14ac:dyDescent="0.3">
      <c r="B423" s="127">
        <v>393</v>
      </c>
      <c r="C423" s="206">
        <f>$D$7+0.729716*$E$7</f>
        <v>0.14484941943997798</v>
      </c>
      <c r="D423" s="206">
        <f>MIN($D$8+-1.587098*$E$8,'Debt &amp; Cost of Capital'!$C$38)</f>
        <v>4.5477412000000002E-2</v>
      </c>
      <c r="E423" s="207">
        <f>$D$9+0.025129*$E$9</f>
        <v>0.16797496770254633</v>
      </c>
      <c r="F423" s="207">
        <f>$D$10+-0.219936*$E$10</f>
        <v>0.14236076799999992</v>
      </c>
      <c r="G423" s="208">
        <f>$F423*(1-'Sensitivity &amp; Scenarios'!$C$12)+'Sensitivity &amp; Scenarios'!$C$9*'Sensitivity &amp; Scenarios'!$C$12-'Sensitivity &amp; Scenarios'!$C$10</f>
        <v>7.5723980782864644E-2</v>
      </c>
      <c r="H423" s="209">
        <f>('Sensitivity &amp; Scenarios'!$C$6*(1+$E423)^1*$G423+'Sensitivity &amp; Scenarios'!$C$11*'Sensitivity &amp; Scenarios'!$C$6*((1+$E423)^1-(1+$E423)^0))*'Sensitivity &amp; Scenarios'!$C$18/(1+$C423)^'Sensitivity &amp; Scenarios'!$C$18+('Sensitivity &amp; Scenarios'!$C$6*(1+$E423)^2*$G423+'Sensitivity &amp; Scenarios'!$C$11*'Sensitivity &amp; Scenarios'!$C$6*((1+$E423)^2-(1+$E423)^1))/(1+$C423)^('Sensitivity &amp; Scenarios'!$C$18+1)+('Sensitivity &amp; Scenarios'!$C$6*(1+$E423)^3*$G423+'Sensitivity &amp; Scenarios'!$C$11*'Sensitivity &amp; Scenarios'!$C$6*((1+$E423)^3-(1+$E423)^2))/(1+$C423)^('Sensitivity &amp; Scenarios'!$C$18+2)+('Sensitivity &amp; Scenarios'!$C$6*(1+$E423)^4*$G423+'Sensitivity &amp; Scenarios'!$C$11*'Sensitivity &amp; Scenarios'!$C$6*((1+$E423)^4-(1+$E423)^3))/(1+$C423)^('Sensitivity &amp; Scenarios'!$C$18+3)+('Sensitivity &amp; Scenarios'!$C$6*(1+$E423)^5*$G423+'Sensitivity &amp; Scenarios'!$C$11*'Sensitivity &amp; Scenarios'!$C$6*((1+$E423)^5-(1+$E423)^4))/(1+$C423)^('Sensitivity &amp; Scenarios'!$C$18+4)</f>
        <v>22450.350801344965</v>
      </c>
      <c r="I423" s="209">
        <f>('Sensitivity &amp; Scenarios'!$C$6*(1+$E423)^5*$G423+'Sensitivity &amp; Scenarios'!$C$11*'Sensitivity &amp; Scenarios'!$C$6*((1+$E423)^5-(1+$E423)^4))*(1+$D423)/($C423-$D423)/(1+$C423)^('Sensitivity &amp; Scenarios'!$C$18+4)</f>
        <v>52876.078339177351</v>
      </c>
      <c r="J423" s="209">
        <f>($H423+$I423-'Sensitivity &amp; Scenarios'!$C$15+'Sensitivity &amp; Scenarios'!$C$16)/'Sensitivity &amp; Scenarios'!$C$17</f>
        <v>1872.0903223421533</v>
      </c>
    </row>
    <row r="424" spans="2:10" x14ac:dyDescent="0.3">
      <c r="B424" s="127">
        <v>394</v>
      </c>
      <c r="C424" s="206">
        <f>$D$7+0.341509*$E$7</f>
        <v>0.14096734943997799</v>
      </c>
      <c r="D424" s="206">
        <f>MIN($D$8+-0.012939*$E$8,'Debt &amp; Cost of Capital'!$C$38)</f>
        <v>5.4922366E-2</v>
      </c>
      <c r="E424" s="207">
        <f>$D$9+-1.453599*$E$9</f>
        <v>0.12361312770254634</v>
      </c>
      <c r="F424" s="207">
        <f>$D$10+-1.262389*$E$10</f>
        <v>0.1298513319999999</v>
      </c>
      <c r="G424" s="208">
        <f>$F424*(1-'Sensitivity &amp; Scenarios'!$C$12)+'Sensitivity &amp; Scenarios'!$C$9*'Sensitivity &amp; Scenarios'!$C$12-'Sensitivity &amp; Scenarios'!$C$10</f>
        <v>6.6363169824064636E-2</v>
      </c>
      <c r="H424" s="209">
        <f>('Sensitivity &amp; Scenarios'!$C$6*(1+$E424)^1*$G424+'Sensitivity &amp; Scenarios'!$C$11*'Sensitivity &amp; Scenarios'!$C$6*((1+$E424)^1-(1+$E424)^0))*'Sensitivity &amp; Scenarios'!$C$18/(1+$C424)^'Sensitivity &amp; Scenarios'!$C$18+('Sensitivity &amp; Scenarios'!$C$6*(1+$E424)^2*$G424+'Sensitivity &amp; Scenarios'!$C$11*'Sensitivity &amp; Scenarios'!$C$6*((1+$E424)^2-(1+$E424)^1))/(1+$C424)^('Sensitivity &amp; Scenarios'!$C$18+1)+('Sensitivity &amp; Scenarios'!$C$6*(1+$E424)^3*$G424+'Sensitivity &amp; Scenarios'!$C$11*'Sensitivity &amp; Scenarios'!$C$6*((1+$E424)^3-(1+$E424)^2))/(1+$C424)^('Sensitivity &amp; Scenarios'!$C$18+2)+('Sensitivity &amp; Scenarios'!$C$6*(1+$E424)^4*$G424+'Sensitivity &amp; Scenarios'!$C$11*'Sensitivity &amp; Scenarios'!$C$6*((1+$E424)^4-(1+$E424)^3))/(1+$C424)^('Sensitivity &amp; Scenarios'!$C$18+3)+('Sensitivity &amp; Scenarios'!$C$6*(1+$E424)^5*$G424+'Sensitivity &amp; Scenarios'!$C$11*'Sensitivity &amp; Scenarios'!$C$6*((1+$E424)^5-(1+$E424)^4))/(1+$C424)^('Sensitivity &amp; Scenarios'!$C$18+4)</f>
        <v>17187.216733071939</v>
      </c>
      <c r="I424" s="209">
        <f>('Sensitivity &amp; Scenarios'!$C$6*(1+$E424)^5*$G424+'Sensitivity &amp; Scenarios'!$C$11*'Sensitivity &amp; Scenarios'!$C$6*((1+$E424)^5-(1+$E424)^4))*(1+$D424)/($C424-$D424)/(1+$C424)^('Sensitivity &amp; Scenarios'!$C$18+4)</f>
        <v>44207.826839754649</v>
      </c>
      <c r="J424" s="209">
        <f>($H424+$I424-'Sensitivity &amp; Scenarios'!$C$15+'Sensitivity &amp; Scenarios'!$C$16)/'Sensitivity &amp; Scenarios'!$C$17</f>
        <v>1578.8517035692605</v>
      </c>
    </row>
    <row r="425" spans="2:10" x14ac:dyDescent="0.3">
      <c r="B425" s="127">
        <v>395</v>
      </c>
      <c r="C425" s="206">
        <f>$D$7+0.029424*$E$7</f>
        <v>0.13784649943997798</v>
      </c>
      <c r="D425" s="206">
        <f>MIN($D$8+1.028781*$E$8,'Debt &amp; Cost of Capital'!$C$38)</f>
        <v>6.1172686000000004E-2</v>
      </c>
      <c r="E425" s="207">
        <f>$D$9+-2.214187*$E$9</f>
        <v>0.10079548770254634</v>
      </c>
      <c r="F425" s="207">
        <f>$D$10+0.345727*$E$10</f>
        <v>0.1491487239999999</v>
      </c>
      <c r="G425" s="208">
        <f>$F425*(1-'Sensitivity &amp; Scenarios'!$C$12)+'Sensitivity &amp; Scenarios'!$C$9*'Sensitivity &amp; Scenarios'!$C$12-'Sensitivity &amp; Scenarios'!$C$10</f>
        <v>8.0803408257664633E-2</v>
      </c>
      <c r="H425" s="209">
        <f>('Sensitivity &amp; Scenarios'!$C$6*(1+$E425)^1*$G425+'Sensitivity &amp; Scenarios'!$C$11*'Sensitivity &amp; Scenarios'!$C$6*((1+$E425)^1-(1+$E425)^0))*'Sensitivity &amp; Scenarios'!$C$18/(1+$C425)^'Sensitivity &amp; Scenarios'!$C$18+('Sensitivity &amp; Scenarios'!$C$6*(1+$E425)^2*$G425+'Sensitivity &amp; Scenarios'!$C$11*'Sensitivity &amp; Scenarios'!$C$6*((1+$E425)^2-(1+$E425)^1))/(1+$C425)^('Sensitivity &amp; Scenarios'!$C$18+1)+('Sensitivity &amp; Scenarios'!$C$6*(1+$E425)^3*$G425+'Sensitivity &amp; Scenarios'!$C$11*'Sensitivity &amp; Scenarios'!$C$6*((1+$E425)^3-(1+$E425)^2))/(1+$C425)^('Sensitivity &amp; Scenarios'!$C$18+2)+('Sensitivity &amp; Scenarios'!$C$6*(1+$E425)^4*$G425+'Sensitivity &amp; Scenarios'!$C$11*'Sensitivity &amp; Scenarios'!$C$6*((1+$E425)^4-(1+$E425)^3))/(1+$C425)^('Sensitivity &amp; Scenarios'!$C$18+3)+('Sensitivity &amp; Scenarios'!$C$6*(1+$E425)^5*$G425+'Sensitivity &amp; Scenarios'!$C$11*'Sensitivity &amp; Scenarios'!$C$6*((1+$E425)^5-(1+$E425)^4))/(1+$C425)^('Sensitivity &amp; Scenarios'!$C$18+4)</f>
        <v>18814.674775312949</v>
      </c>
      <c r="I425" s="209">
        <f>('Sensitivity &amp; Scenarios'!$C$6*(1+$E425)^5*$G425+'Sensitivity &amp; Scenarios'!$C$11*'Sensitivity &amp; Scenarios'!$C$6*((1+$E425)^5-(1+$E425)^4))*(1+$D425)/($C425-$D425)/(1+$C425)^('Sensitivity &amp; Scenarios'!$C$18+4)</f>
        <v>52829.521927818132</v>
      </c>
      <c r="J425" s="209">
        <f>($H425+$I425-'Sensitivity &amp; Scenarios'!$C$15+'Sensitivity &amp; Scenarios'!$C$16)/'Sensitivity &amp; Scenarios'!$C$17</f>
        <v>1794.5838353746876</v>
      </c>
    </row>
    <row r="426" spans="2:10" x14ac:dyDescent="0.3">
      <c r="B426" s="127">
        <v>396</v>
      </c>
      <c r="C426" s="206">
        <f>$D$7+1.189622*$E$7</f>
        <v>0.14944847943997797</v>
      </c>
      <c r="D426" s="206">
        <f>MIN($D$8+-0.153026*$E$8,'Debt &amp; Cost of Capital'!$C$38)</f>
        <v>5.4081843999999997E-2</v>
      </c>
      <c r="E426" s="207">
        <f>$D$9+0.550202*$E$9</f>
        <v>0.18372715770254633</v>
      </c>
      <c r="F426" s="207">
        <f>$D$10+-0.703069*$E$10</f>
        <v>0.1365631719999999</v>
      </c>
      <c r="G426" s="208">
        <f>$F426*(1-'Sensitivity &amp; Scenarios'!$C$12)+'Sensitivity &amp; Scenarios'!$C$9*'Sensitivity &amp; Scenarios'!$C$12-'Sensitivity &amp; Scenarios'!$C$10</f>
        <v>7.1385639696064637E-2</v>
      </c>
      <c r="H426" s="209">
        <f>('Sensitivity &amp; Scenarios'!$C$6*(1+$E426)^1*$G426+'Sensitivity &amp; Scenarios'!$C$11*'Sensitivity &amp; Scenarios'!$C$6*((1+$E426)^1-(1+$E426)^0))*'Sensitivity &amp; Scenarios'!$C$18/(1+$C426)^'Sensitivity &amp; Scenarios'!$C$18+('Sensitivity &amp; Scenarios'!$C$6*(1+$E426)^2*$G426+'Sensitivity &amp; Scenarios'!$C$11*'Sensitivity &amp; Scenarios'!$C$6*((1+$E426)^2-(1+$E426)^1))/(1+$C426)^('Sensitivity &amp; Scenarios'!$C$18+1)+('Sensitivity &amp; Scenarios'!$C$6*(1+$E426)^3*$G426+'Sensitivity &amp; Scenarios'!$C$11*'Sensitivity &amp; Scenarios'!$C$6*((1+$E426)^3-(1+$E426)^2))/(1+$C426)^('Sensitivity &amp; Scenarios'!$C$18+2)+('Sensitivity &amp; Scenarios'!$C$6*(1+$E426)^4*$G426+'Sensitivity &amp; Scenarios'!$C$11*'Sensitivity &amp; Scenarios'!$C$6*((1+$E426)^4-(1+$E426)^3))/(1+$C426)^('Sensitivity &amp; Scenarios'!$C$18+3)+('Sensitivity &amp; Scenarios'!$C$6*(1+$E426)^5*$G426+'Sensitivity &amp; Scenarios'!$C$11*'Sensitivity &amp; Scenarios'!$C$6*((1+$E426)^5-(1+$E426)^4))/(1+$C426)^('Sensitivity &amp; Scenarios'!$C$18+4)</f>
        <v>22388.945040227634</v>
      </c>
      <c r="I426" s="209">
        <f>('Sensitivity &amp; Scenarios'!$C$6*(1+$E426)^5*$G426+'Sensitivity &amp; Scenarios'!$C$11*'Sensitivity &amp; Scenarios'!$C$6*((1+$E426)^5-(1+$E426)^4))*(1+$D426)/($C426-$D426)/(1+$C426)^('Sensitivity &amp; Scenarios'!$C$18+4)</f>
        <v>56340.699122151149</v>
      </c>
      <c r="J426" s="209">
        <f>($H426+$I426-'Sensitivity &amp; Scenarios'!$C$15+'Sensitivity &amp; Scenarios'!$C$16)/'Sensitivity &amp; Scenarios'!$C$17</f>
        <v>1943.7238341380234</v>
      </c>
    </row>
    <row r="427" spans="2:10" x14ac:dyDescent="0.3">
      <c r="B427" s="127">
        <v>397</v>
      </c>
      <c r="C427" s="206">
        <f>$D$7+-0.119366*$E$7</f>
        <v>0.13635859943997797</v>
      </c>
      <c r="D427" s="206">
        <f>MIN($D$8+-1.620914*$E$8,'Debt &amp; Cost of Capital'!$C$38)</f>
        <v>4.5274516000000001E-2</v>
      </c>
      <c r="E427" s="207">
        <f>$D$9+-2.344343*$E$9</f>
        <v>9.689080770254635E-2</v>
      </c>
      <c r="F427" s="207">
        <f>$D$10+0.942766*$E$10</f>
        <v>0.15631319199999991</v>
      </c>
      <c r="G427" s="208">
        <f>$F427*(1-'Sensitivity &amp; Scenarios'!$C$12)+'Sensitivity &amp; Scenarios'!$C$9*'Sensitivity &amp; Scenarios'!$C$12-'Sensitivity &amp; Scenarios'!$C$10</f>
        <v>8.616457966206463E-2</v>
      </c>
      <c r="H427" s="209">
        <f>('Sensitivity &amp; Scenarios'!$C$6*(1+$E427)^1*$G427+'Sensitivity &amp; Scenarios'!$C$11*'Sensitivity &amp; Scenarios'!$C$6*((1+$E427)^1-(1+$E427)^0))*'Sensitivity &amp; Scenarios'!$C$18/(1+$C427)^'Sensitivity &amp; Scenarios'!$C$18+('Sensitivity &amp; Scenarios'!$C$6*(1+$E427)^2*$G427+'Sensitivity &amp; Scenarios'!$C$11*'Sensitivity &amp; Scenarios'!$C$6*((1+$E427)^2-(1+$E427)^1))/(1+$C427)^('Sensitivity &amp; Scenarios'!$C$18+1)+('Sensitivity &amp; Scenarios'!$C$6*(1+$E427)^3*$G427+'Sensitivity &amp; Scenarios'!$C$11*'Sensitivity &amp; Scenarios'!$C$6*((1+$E427)^3-(1+$E427)^2))/(1+$C427)^('Sensitivity &amp; Scenarios'!$C$18+2)+('Sensitivity &amp; Scenarios'!$C$6*(1+$E427)^4*$G427+'Sensitivity &amp; Scenarios'!$C$11*'Sensitivity &amp; Scenarios'!$C$6*((1+$E427)^4-(1+$E427)^3))/(1+$C427)^('Sensitivity &amp; Scenarios'!$C$18+3)+('Sensitivity &amp; Scenarios'!$C$6*(1+$E427)^5*$G427+'Sensitivity &amp; Scenarios'!$C$11*'Sensitivity &amp; Scenarios'!$C$6*((1+$E427)^5-(1+$E427)^4))/(1+$C427)^('Sensitivity &amp; Scenarios'!$C$18+4)</f>
        <v>19704.021066380108</v>
      </c>
      <c r="I427" s="209">
        <f>('Sensitivity &amp; Scenarios'!$C$6*(1+$E427)^5*$G427+'Sensitivity &amp; Scenarios'!$C$11*'Sensitivity &amp; Scenarios'!$C$6*((1+$E427)^5-(1+$E427)^4))*(1+$D427)/($C427-$D427)/(1+$C427)^('Sensitivity &amp; Scenarios'!$C$18+4)</f>
        <v>45680.154004873162</v>
      </c>
      <c r="J427" s="209">
        <f>($H427+$I427-'Sensitivity &amp; Scenarios'!$C$15+'Sensitivity &amp; Scenarios'!$C$16)/'Sensitivity &amp; Scenarios'!$C$17</f>
        <v>1662.8180402281605</v>
      </c>
    </row>
    <row r="428" spans="2:10" x14ac:dyDescent="0.3">
      <c r="B428" s="127">
        <v>398</v>
      </c>
      <c r="C428" s="206">
        <f>$D$7+-0.984995*$E$7</f>
        <v>0.12770230943997798</v>
      </c>
      <c r="D428" s="206">
        <f>MIN($D$8+-0.455528*$E$8,'Debt &amp; Cost of Capital'!$C$38)</f>
        <v>5.2266831999999999E-2</v>
      </c>
      <c r="E428" s="207">
        <f>$D$9+-1.386442*$E$9</f>
        <v>0.12562783770254635</v>
      </c>
      <c r="F428" s="207">
        <f>$D$10+-1.40997*$E$10</f>
        <v>0.12808035999999989</v>
      </c>
      <c r="G428" s="208">
        <f>$F428*(1-'Sensitivity &amp; Scenarios'!$C$12)+'Sensitivity &amp; Scenarios'!$C$9*'Sensitivity &amp; Scenarios'!$C$12-'Sensitivity &amp; Scenarios'!$C$10</f>
        <v>6.5037951476464628E-2</v>
      </c>
      <c r="H428" s="209">
        <f>('Sensitivity &amp; Scenarios'!$C$6*(1+$E428)^1*$G428+'Sensitivity &amp; Scenarios'!$C$11*'Sensitivity &amp; Scenarios'!$C$6*((1+$E428)^1-(1+$E428)^0))*'Sensitivity &amp; Scenarios'!$C$18/(1+$C428)^'Sensitivity &amp; Scenarios'!$C$18+('Sensitivity &amp; Scenarios'!$C$6*(1+$E428)^2*$G428+'Sensitivity &amp; Scenarios'!$C$11*'Sensitivity &amp; Scenarios'!$C$6*((1+$E428)^2-(1+$E428)^1))/(1+$C428)^('Sensitivity &amp; Scenarios'!$C$18+1)+('Sensitivity &amp; Scenarios'!$C$6*(1+$E428)^3*$G428+'Sensitivity &amp; Scenarios'!$C$11*'Sensitivity &amp; Scenarios'!$C$6*((1+$E428)^3-(1+$E428)^2))/(1+$C428)^('Sensitivity &amp; Scenarios'!$C$18+2)+('Sensitivity &amp; Scenarios'!$C$6*(1+$E428)^4*$G428+'Sensitivity &amp; Scenarios'!$C$11*'Sensitivity &amp; Scenarios'!$C$6*((1+$E428)^4-(1+$E428)^3))/(1+$C428)^('Sensitivity &amp; Scenarios'!$C$18+3)+('Sensitivity &amp; Scenarios'!$C$6*(1+$E428)^5*$G428+'Sensitivity &amp; Scenarios'!$C$11*'Sensitivity &amp; Scenarios'!$C$6*((1+$E428)^5-(1+$E428)^4))/(1+$C428)^('Sensitivity &amp; Scenarios'!$C$18+4)</f>
        <v>17592.840173723649</v>
      </c>
      <c r="I428" s="209">
        <f>('Sensitivity &amp; Scenarios'!$C$6*(1+$E428)^5*$G428+'Sensitivity &amp; Scenarios'!$C$11*'Sensitivity &amp; Scenarios'!$C$6*((1+$E428)^5-(1+$E428)^4))*(1+$D428)/($C428-$D428)/(1+$C428)^('Sensitivity &amp; Scenarios'!$C$18+4)</f>
        <v>52791.202886929212</v>
      </c>
      <c r="J428" s="209">
        <f>($H428+$I428-'Sensitivity &amp; Scenarios'!$C$15+'Sensitivity &amp; Scenarios'!$C$16)/'Sensitivity &amp; Scenarios'!$C$17</f>
        <v>1768.0591432134997</v>
      </c>
    </row>
    <row r="429" spans="2:10" x14ac:dyDescent="0.3">
      <c r="B429" s="127">
        <v>399</v>
      </c>
      <c r="C429" s="206">
        <f>$D$7+-0.173838*$E$7</f>
        <v>0.13581387943997797</v>
      </c>
      <c r="D429" s="206">
        <f>MIN($D$8+-0.729577*$E$8,'Debt &amp; Cost of Capital'!$C$38)</f>
        <v>5.0622538000000002E-2</v>
      </c>
      <c r="E429" s="207">
        <f>$D$9+0.377971*$E$9</f>
        <v>0.17856022770254634</v>
      </c>
      <c r="F429" s="207">
        <f>$D$10+0.452538*$E$10</f>
        <v>0.15043045599999991</v>
      </c>
      <c r="G429" s="208">
        <f>$F429*(1-'Sensitivity &amp; Scenarios'!$C$12)+'Sensitivity &amp; Scenarios'!$C$9*'Sensitivity &amp; Scenarios'!$C$12-'Sensitivity &amp; Scenarios'!$C$10</f>
        <v>8.1762528313264637E-2</v>
      </c>
      <c r="H429" s="209">
        <f>('Sensitivity &amp; Scenarios'!$C$6*(1+$E429)^1*$G429+'Sensitivity &amp; Scenarios'!$C$11*'Sensitivity &amp; Scenarios'!$C$6*((1+$E429)^1-(1+$E429)^0))*'Sensitivity &amp; Scenarios'!$C$18/(1+$C429)^'Sensitivity &amp; Scenarios'!$C$18+('Sensitivity &amp; Scenarios'!$C$6*(1+$E429)^2*$G429+'Sensitivity &amp; Scenarios'!$C$11*'Sensitivity &amp; Scenarios'!$C$6*((1+$E429)^2-(1+$E429)^1))/(1+$C429)^('Sensitivity &amp; Scenarios'!$C$18+1)+('Sensitivity &amp; Scenarios'!$C$6*(1+$E429)^3*$G429+'Sensitivity &amp; Scenarios'!$C$11*'Sensitivity &amp; Scenarios'!$C$6*((1+$E429)^3-(1+$E429)^2))/(1+$C429)^('Sensitivity &amp; Scenarios'!$C$18+2)+('Sensitivity &amp; Scenarios'!$C$6*(1+$E429)^4*$G429+'Sensitivity &amp; Scenarios'!$C$11*'Sensitivity &amp; Scenarios'!$C$6*((1+$E429)^4-(1+$E429)^3))/(1+$C429)^('Sensitivity &amp; Scenarios'!$C$18+3)+('Sensitivity &amp; Scenarios'!$C$6*(1+$E429)^5*$G429+'Sensitivity &amp; Scenarios'!$C$11*'Sensitivity &amp; Scenarios'!$C$6*((1+$E429)^5-(1+$E429)^4))/(1+$C429)^('Sensitivity &amp; Scenarios'!$C$18+4)</f>
        <v>25414.112267001834</v>
      </c>
      <c r="I429" s="209">
        <f>('Sensitivity &amp; Scenarios'!$C$6*(1+$E429)^5*$G429+'Sensitivity &amp; Scenarios'!$C$11*'Sensitivity &amp; Scenarios'!$C$6*((1+$E429)^5-(1+$E429)^4))*(1+$D429)/($C429-$D429)/(1+$C429)^('Sensitivity &amp; Scenarios'!$C$18+4)</f>
        <v>72324.339649396949</v>
      </c>
      <c r="J429" s="209">
        <f>($H429+$I429-'Sensitivity &amp; Scenarios'!$C$15+'Sensitivity &amp; Scenarios'!$C$16)/'Sensitivity &amp; Scenarios'!$C$17</f>
        <v>2343.8359768407286</v>
      </c>
    </row>
    <row r="430" spans="2:10" x14ac:dyDescent="0.3">
      <c r="B430" s="127">
        <v>400</v>
      </c>
      <c r="C430" s="206">
        <f>$D$7+0.32085*$E$7</f>
        <v>0.14076075943997798</v>
      </c>
      <c r="D430" s="206">
        <f>MIN($D$8+0.238601*$E$8,'Debt &amp; Cost of Capital'!$C$38)</f>
        <v>5.6431606000000002E-2</v>
      </c>
      <c r="E430" s="207">
        <f>$D$9+1.577768*$E$9</f>
        <v>0.21455413770254633</v>
      </c>
      <c r="F430" s="207">
        <f>$D$10+-1.067594*$E$10</f>
        <v>0.1321888719999999</v>
      </c>
      <c r="G430" s="208">
        <f>$F430*(1-'Sensitivity &amp; Scenarios'!$C$12)+'Sensitivity &amp; Scenarios'!$C$9*'Sensitivity &amp; Scenarios'!$C$12-'Sensitivity &amp; Scenarios'!$C$10</f>
        <v>6.8112351006064636E-2</v>
      </c>
      <c r="H430" s="209">
        <f>('Sensitivity &amp; Scenarios'!$C$6*(1+$E430)^1*$G430+'Sensitivity &amp; Scenarios'!$C$11*'Sensitivity &amp; Scenarios'!$C$6*((1+$E430)^1-(1+$E430)^0))*'Sensitivity &amp; Scenarios'!$C$18/(1+$C430)^'Sensitivity &amp; Scenarios'!$C$18+('Sensitivity &amp; Scenarios'!$C$6*(1+$E430)^2*$G430+'Sensitivity &amp; Scenarios'!$C$11*'Sensitivity &amp; Scenarios'!$C$6*((1+$E430)^2-(1+$E430)^1))/(1+$C430)^('Sensitivity &amp; Scenarios'!$C$18+1)+('Sensitivity &amp; Scenarios'!$C$6*(1+$E430)^3*$G430+'Sensitivity &amp; Scenarios'!$C$11*'Sensitivity &amp; Scenarios'!$C$6*((1+$E430)^3-(1+$E430)^2))/(1+$C430)^('Sensitivity &amp; Scenarios'!$C$18+2)+('Sensitivity &amp; Scenarios'!$C$6*(1+$E430)^4*$G430+'Sensitivity &amp; Scenarios'!$C$11*'Sensitivity &amp; Scenarios'!$C$6*((1+$E430)^4-(1+$E430)^3))/(1+$C430)^('Sensitivity &amp; Scenarios'!$C$18+3)+('Sensitivity &amp; Scenarios'!$C$6*(1+$E430)^5*$G430+'Sensitivity &amp; Scenarios'!$C$11*'Sensitivity &amp; Scenarios'!$C$6*((1+$E430)^5-(1+$E430)^4))/(1+$C430)^('Sensitivity &amp; Scenarios'!$C$18+4)</f>
        <v>24614.247907672114</v>
      </c>
      <c r="I430" s="209">
        <f>('Sensitivity &amp; Scenarios'!$C$6*(1+$E430)^5*$G430+'Sensitivity &amp; Scenarios'!$C$11*'Sensitivity &amp; Scenarios'!$C$6*((1+$E430)^5-(1+$E430)^4))*(1+$D430)/($C430-$D430)/(1+$C430)^('Sensitivity &amp; Scenarios'!$C$18+4)</f>
        <v>74436.387940811808</v>
      </c>
      <c r="J430" s="209">
        <f>($H430+$I430-'Sensitivity &amp; Scenarios'!$C$15+'Sensitivity &amp; Scenarios'!$C$16)/'Sensitivity &amp; Scenarios'!$C$17</f>
        <v>2371.4558429302056</v>
      </c>
    </row>
    <row r="431" spans="2:10" x14ac:dyDescent="0.3">
      <c r="B431" s="127">
        <v>401</v>
      </c>
      <c r="C431" s="206">
        <f>$D$7+-0.054935*$E$7</f>
        <v>0.13700290943997798</v>
      </c>
      <c r="D431" s="206">
        <f>MIN($D$8+1.13269*$E$8,'Debt &amp; Cost of Capital'!$C$38)</f>
        <v>6.1796139999999999E-2</v>
      </c>
      <c r="E431" s="207">
        <f>$D$9+1.26454*$E$9</f>
        <v>0.20515729770254634</v>
      </c>
      <c r="F431" s="207">
        <f>$D$10+-1.421764*$E$10</f>
        <v>0.12793883199999989</v>
      </c>
      <c r="G431" s="208">
        <f>$F431*(1-'Sensitivity &amp; Scenarios'!$C$12)+'Sensitivity &amp; Scenarios'!$C$9*'Sensitivity &amp; Scenarios'!$C$12-'Sensitivity &amp; Scenarios'!$C$10</f>
        <v>6.4932046074064623E-2</v>
      </c>
      <c r="H431" s="209">
        <f>('Sensitivity &amp; Scenarios'!$C$6*(1+$E431)^1*$G431+'Sensitivity &amp; Scenarios'!$C$11*'Sensitivity &amp; Scenarios'!$C$6*((1+$E431)^1-(1+$E431)^0))*'Sensitivity &amp; Scenarios'!$C$18/(1+$C431)^'Sensitivity &amp; Scenarios'!$C$18+('Sensitivity &amp; Scenarios'!$C$6*(1+$E431)^2*$G431+'Sensitivity &amp; Scenarios'!$C$11*'Sensitivity &amp; Scenarios'!$C$6*((1+$E431)^2-(1+$E431)^1))/(1+$C431)^('Sensitivity &amp; Scenarios'!$C$18+1)+('Sensitivity &amp; Scenarios'!$C$6*(1+$E431)^3*$G431+'Sensitivity &amp; Scenarios'!$C$11*'Sensitivity &amp; Scenarios'!$C$6*((1+$E431)^3-(1+$E431)^2))/(1+$C431)^('Sensitivity &amp; Scenarios'!$C$18+2)+('Sensitivity &amp; Scenarios'!$C$6*(1+$E431)^4*$G431+'Sensitivity &amp; Scenarios'!$C$11*'Sensitivity &amp; Scenarios'!$C$6*((1+$E431)^4-(1+$E431)^3))/(1+$C431)^('Sensitivity &amp; Scenarios'!$C$18+3)+('Sensitivity &amp; Scenarios'!$C$6*(1+$E431)^5*$G431+'Sensitivity &amp; Scenarios'!$C$11*'Sensitivity &amp; Scenarios'!$C$6*((1+$E431)^5-(1+$E431)^4))/(1+$C431)^('Sensitivity &amp; Scenarios'!$C$18+4)</f>
        <v>23152.573167543123</v>
      </c>
      <c r="I431" s="209">
        <f>('Sensitivity &amp; Scenarios'!$C$6*(1+$E431)^5*$G431+'Sensitivity &amp; Scenarios'!$C$11*'Sensitivity &amp; Scenarios'!$C$6*((1+$E431)^5-(1+$E431)^4))*(1+$D431)/($C431-$D431)/(1+$C431)^('Sensitivity &amp; Scenarios'!$C$18+4)</f>
        <v>78299.260239844138</v>
      </c>
      <c r="J431" s="209">
        <f>($H431+$I431-'Sensitivity &amp; Scenarios'!$C$15+'Sensitivity &amp; Scenarios'!$C$16)/'Sensitivity &amp; Scenarios'!$C$17</f>
        <v>2421.9981132702346</v>
      </c>
    </row>
    <row r="432" spans="2:10" x14ac:dyDescent="0.3">
      <c r="B432" s="127">
        <v>402</v>
      </c>
      <c r="C432" s="206">
        <f>$D$7+-0.312355*$E$7</f>
        <v>0.13442870943997798</v>
      </c>
      <c r="D432" s="206">
        <f>MIN($D$8+1.358121*$E$8,'Debt &amp; Cost of Capital'!$C$38)</f>
        <v>6.3148726000000002E-2</v>
      </c>
      <c r="E432" s="207">
        <f>$D$9+0.508079*$E$9</f>
        <v>0.18246346770254634</v>
      </c>
      <c r="F432" s="207">
        <f>$D$10+0.195263*$E$10</f>
        <v>0.14734315599999992</v>
      </c>
      <c r="G432" s="208">
        <f>$F432*(1-'Sensitivity &amp; Scenarios'!$C$12)+'Sensitivity &amp; Scenarios'!$C$9*'Sensitivity &amp; Scenarios'!$C$12-'Sensitivity &amp; Scenarios'!$C$10</f>
        <v>7.9452301723264646E-2</v>
      </c>
      <c r="H432" s="209">
        <f>('Sensitivity &amp; Scenarios'!$C$6*(1+$E432)^1*$G432+'Sensitivity &amp; Scenarios'!$C$11*'Sensitivity &amp; Scenarios'!$C$6*((1+$E432)^1-(1+$E432)^0))*'Sensitivity &amp; Scenarios'!$C$18/(1+$C432)^'Sensitivity &amp; Scenarios'!$C$18+('Sensitivity &amp; Scenarios'!$C$6*(1+$E432)^2*$G432+'Sensitivity &amp; Scenarios'!$C$11*'Sensitivity &amp; Scenarios'!$C$6*((1+$E432)^2-(1+$E432)^1))/(1+$C432)^('Sensitivity &amp; Scenarios'!$C$18+1)+('Sensitivity &amp; Scenarios'!$C$6*(1+$E432)^3*$G432+'Sensitivity &amp; Scenarios'!$C$11*'Sensitivity &amp; Scenarios'!$C$6*((1+$E432)^3-(1+$E432)^2))/(1+$C432)^('Sensitivity &amp; Scenarios'!$C$18+2)+('Sensitivity &amp; Scenarios'!$C$6*(1+$E432)^4*$G432+'Sensitivity &amp; Scenarios'!$C$11*'Sensitivity &amp; Scenarios'!$C$6*((1+$E432)^4-(1+$E432)^3))/(1+$C432)^('Sensitivity &amp; Scenarios'!$C$18+3)+('Sensitivity &amp; Scenarios'!$C$6*(1+$E432)^5*$G432+'Sensitivity &amp; Scenarios'!$C$11*'Sensitivity &amp; Scenarios'!$C$6*((1+$E432)^5-(1+$E432)^4))/(1+$C432)^('Sensitivity &amp; Scenarios'!$C$18+4)</f>
        <v>25252.487984811512</v>
      </c>
      <c r="I432" s="209">
        <f>('Sensitivity &amp; Scenarios'!$C$6*(1+$E432)^5*$G432+'Sensitivity &amp; Scenarios'!$C$11*'Sensitivity &amp; Scenarios'!$C$6*((1+$E432)^5-(1+$E432)^4))*(1+$D432)/($C432-$D432)/(1+$C432)^('Sensitivity &amp; Scenarios'!$C$18+4)</f>
        <v>87613.204717916538</v>
      </c>
      <c r="J432" s="209">
        <f>($H432+$I432-'Sensitivity &amp; Scenarios'!$C$15+'Sensitivity &amp; Scenarios'!$C$16)/'Sensitivity &amp; Scenarios'!$C$17</f>
        <v>2662.24588463297</v>
      </c>
    </row>
    <row r="433" spans="2:10" x14ac:dyDescent="0.3">
      <c r="B433" s="127">
        <v>403</v>
      </c>
      <c r="C433" s="206">
        <f>$D$7+-0.217685*$E$7</f>
        <v>0.13537540943997797</v>
      </c>
      <c r="D433" s="206">
        <f>MIN($D$8+-0.383801*$E$8,'Debt &amp; Cost of Capital'!$C$38)</f>
        <v>5.2697194000000003E-2</v>
      </c>
      <c r="E433" s="207">
        <f>$D$9+0.288219*$E$9</f>
        <v>0.17586766770254633</v>
      </c>
      <c r="F433" s="207">
        <f>$D$10+-0.252374*$E$10</f>
        <v>0.14197151199999991</v>
      </c>
      <c r="G433" s="208">
        <f>$F433*(1-'Sensitivity &amp; Scenarios'!$C$12)+'Sensitivity &amp; Scenarios'!$C$9*'Sensitivity &amp; Scenarios'!$C$12-'Sensitivity &amp; Scenarios'!$C$10</f>
        <v>7.5432700518064638E-2</v>
      </c>
      <c r="H433" s="209">
        <f>('Sensitivity &amp; Scenarios'!$C$6*(1+$E433)^1*$G433+'Sensitivity &amp; Scenarios'!$C$11*'Sensitivity &amp; Scenarios'!$C$6*((1+$E433)^1-(1+$E433)^0))*'Sensitivity &amp; Scenarios'!$C$18/(1+$C433)^'Sensitivity &amp; Scenarios'!$C$18+('Sensitivity &amp; Scenarios'!$C$6*(1+$E433)^2*$G433+'Sensitivity &amp; Scenarios'!$C$11*'Sensitivity &amp; Scenarios'!$C$6*((1+$E433)^2-(1+$E433)^1))/(1+$C433)^('Sensitivity &amp; Scenarios'!$C$18+1)+('Sensitivity &amp; Scenarios'!$C$6*(1+$E433)^3*$G433+'Sensitivity &amp; Scenarios'!$C$11*'Sensitivity &amp; Scenarios'!$C$6*((1+$E433)^3-(1+$E433)^2))/(1+$C433)^('Sensitivity &amp; Scenarios'!$C$18+2)+('Sensitivity &amp; Scenarios'!$C$6*(1+$E433)^4*$G433+'Sensitivity &amp; Scenarios'!$C$11*'Sensitivity &amp; Scenarios'!$C$6*((1+$E433)^4-(1+$E433)^3))/(1+$C433)^('Sensitivity &amp; Scenarios'!$C$18+3)+('Sensitivity &amp; Scenarios'!$C$6*(1+$E433)^5*$G433+'Sensitivity &amp; Scenarios'!$C$11*'Sensitivity &amp; Scenarios'!$C$6*((1+$E433)^5-(1+$E433)^4))/(1+$C433)^('Sensitivity &amp; Scenarios'!$C$18+4)</f>
        <v>23576.277054684164</v>
      </c>
      <c r="I433" s="209">
        <f>('Sensitivity &amp; Scenarios'!$C$6*(1+$E433)^5*$G433+'Sensitivity &amp; Scenarios'!$C$11*'Sensitivity &amp; Scenarios'!$C$6*((1+$E433)^5-(1+$E433)^4))*(1+$D433)/($C433-$D433)/(1+$C433)^('Sensitivity &amp; Scenarios'!$C$18+4)</f>
        <v>69036.579810050142</v>
      </c>
      <c r="J433" s="209">
        <f>($H433+$I433-'Sensitivity &amp; Scenarios'!$C$15+'Sensitivity &amp; Scenarios'!$C$16)/'Sensitivity &amp; Scenarios'!$C$17</f>
        <v>2235.9484730432246</v>
      </c>
    </row>
    <row r="434" spans="2:10" x14ac:dyDescent="0.3">
      <c r="B434" s="127">
        <v>404</v>
      </c>
      <c r="C434" s="206">
        <f>$D$7+-0.042579*$E$7</f>
        <v>0.13712646943997797</v>
      </c>
      <c r="D434" s="206">
        <f>MIN($D$8+0.078599*$E$8,'Debt &amp; Cost of Capital'!$C$38)</f>
        <v>5.5471593999999999E-2</v>
      </c>
      <c r="E434" s="207">
        <f>$D$9+-0.678072*$E$9</f>
        <v>0.14687893770254634</v>
      </c>
      <c r="F434" s="207">
        <f>$D$10+0.532129*$E$10</f>
        <v>0.1513855479999999</v>
      </c>
      <c r="G434" s="208">
        <f>$F434*(1-'Sensitivity &amp; Scenarios'!$C$12)+'Sensitivity &amp; Scenarios'!$C$9*'Sensitivity &amp; Scenarios'!$C$12-'Sensitivity &amp; Scenarios'!$C$10</f>
        <v>8.2477223656864634E-2</v>
      </c>
      <c r="H434" s="209">
        <f>('Sensitivity &amp; Scenarios'!$C$6*(1+$E434)^1*$G434+'Sensitivity &amp; Scenarios'!$C$11*'Sensitivity &amp; Scenarios'!$C$6*((1+$E434)^1-(1+$E434)^0))*'Sensitivity &amp; Scenarios'!$C$18/(1+$C434)^'Sensitivity &amp; Scenarios'!$C$18+('Sensitivity &amp; Scenarios'!$C$6*(1+$E434)^2*$G434+'Sensitivity &amp; Scenarios'!$C$11*'Sensitivity &amp; Scenarios'!$C$6*((1+$E434)^2-(1+$E434)^1))/(1+$C434)^('Sensitivity &amp; Scenarios'!$C$18+1)+('Sensitivity &amp; Scenarios'!$C$6*(1+$E434)^3*$G434+'Sensitivity &amp; Scenarios'!$C$11*'Sensitivity &amp; Scenarios'!$C$6*((1+$E434)^3-(1+$E434)^2))/(1+$C434)^('Sensitivity &amp; Scenarios'!$C$18+2)+('Sensitivity &amp; Scenarios'!$C$6*(1+$E434)^4*$G434+'Sensitivity &amp; Scenarios'!$C$11*'Sensitivity &amp; Scenarios'!$C$6*((1+$E434)^4-(1+$E434)^3))/(1+$C434)^('Sensitivity &amp; Scenarios'!$C$18+3)+('Sensitivity &amp; Scenarios'!$C$6*(1+$E434)^5*$G434+'Sensitivity &amp; Scenarios'!$C$11*'Sensitivity &amp; Scenarios'!$C$6*((1+$E434)^5-(1+$E434)^4))/(1+$C434)^('Sensitivity &amp; Scenarios'!$C$18+4)</f>
        <v>22776.480779195554</v>
      </c>
      <c r="I434" s="209">
        <f>('Sensitivity &amp; Scenarios'!$C$6*(1+$E434)^5*$G434+'Sensitivity &amp; Scenarios'!$C$11*'Sensitivity &amp; Scenarios'!$C$6*((1+$E434)^5-(1+$E434)^4))*(1+$D434)/($C434-$D434)/(1+$C434)^('Sensitivity &amp; Scenarios'!$C$18+4)</f>
        <v>64550.762237917283</v>
      </c>
      <c r="J434" s="209">
        <f>($H434+$I434-'Sensitivity &amp; Scenarios'!$C$15+'Sensitivity &amp; Scenarios'!$C$16)/'Sensitivity &amp; Scenarios'!$C$17</f>
        <v>2124.6927694011238</v>
      </c>
    </row>
    <row r="435" spans="2:10" x14ac:dyDescent="0.3">
      <c r="B435" s="127">
        <v>405</v>
      </c>
      <c r="C435" s="206">
        <f>$D$7+2.914245*$E$7</f>
        <v>0.16669470943997799</v>
      </c>
      <c r="D435" s="206">
        <f>MIN($D$8+-1.776987*$E$8,'Debt &amp; Cost of Capital'!$C$38)</f>
        <v>4.4338078000000003E-2</v>
      </c>
      <c r="E435" s="207">
        <f>$D$9+0.324013*$E$9</f>
        <v>0.17694148770254634</v>
      </c>
      <c r="F435" s="207">
        <f>$D$10+-0.76019*$E$10</f>
        <v>0.1358777199999999</v>
      </c>
      <c r="G435" s="208">
        <f>$F435*(1-'Sensitivity &amp; Scenarios'!$C$12)+'Sensitivity &amp; Scenarios'!$C$9*'Sensitivity &amp; Scenarios'!$C$12-'Sensitivity &amp; Scenarios'!$C$10</f>
        <v>7.0872715964464622E-2</v>
      </c>
      <c r="H435" s="209">
        <f>('Sensitivity &amp; Scenarios'!$C$6*(1+$E435)^1*$G435+'Sensitivity &amp; Scenarios'!$C$11*'Sensitivity &amp; Scenarios'!$C$6*((1+$E435)^1-(1+$E435)^0))*'Sensitivity &amp; Scenarios'!$C$18/(1+$C435)^'Sensitivity &amp; Scenarios'!$C$18+('Sensitivity &amp; Scenarios'!$C$6*(1+$E435)^2*$G435+'Sensitivity &amp; Scenarios'!$C$11*'Sensitivity &amp; Scenarios'!$C$6*((1+$E435)^2-(1+$E435)^1))/(1+$C435)^('Sensitivity &amp; Scenarios'!$C$18+1)+('Sensitivity &amp; Scenarios'!$C$6*(1+$E435)^3*$G435+'Sensitivity &amp; Scenarios'!$C$11*'Sensitivity &amp; Scenarios'!$C$6*((1+$E435)^3-(1+$E435)^2))/(1+$C435)^('Sensitivity &amp; Scenarios'!$C$18+2)+('Sensitivity &amp; Scenarios'!$C$6*(1+$E435)^4*$G435+'Sensitivity &amp; Scenarios'!$C$11*'Sensitivity &amp; Scenarios'!$C$6*((1+$E435)^4-(1+$E435)^3))/(1+$C435)^('Sensitivity &amp; Scenarios'!$C$18+3)+('Sensitivity &amp; Scenarios'!$C$6*(1+$E435)^5*$G435+'Sensitivity &amp; Scenarios'!$C$11*'Sensitivity &amp; Scenarios'!$C$6*((1+$E435)^5-(1+$E435)^4))/(1+$C435)^('Sensitivity &amp; Scenarios'!$C$18+4)</f>
        <v>20825.939424692962</v>
      </c>
      <c r="I435" s="209">
        <f>('Sensitivity &amp; Scenarios'!$C$6*(1+$E435)^5*$G435+'Sensitivity &amp; Scenarios'!$C$11*'Sensitivity &amp; Scenarios'!$C$6*((1+$E435)^5-(1+$E435)^4))*(1+$D435)/($C435-$D435)/(1+$C435)^('Sensitivity &amp; Scenarios'!$C$18+4)</f>
        <v>38987.979114147776</v>
      </c>
      <c r="J435" s="209">
        <f>($H435+$I435-'Sensitivity &amp; Scenarios'!$C$15+'Sensitivity &amp; Scenarios'!$C$16)/'Sensitivity &amp; Scenarios'!$C$17</f>
        <v>1545.5709563800963</v>
      </c>
    </row>
    <row r="436" spans="2:10" x14ac:dyDescent="0.3">
      <c r="B436" s="127">
        <v>406</v>
      </c>
      <c r="C436" s="206">
        <f>$D$7+0.577403*$E$7</f>
        <v>0.14332628943997799</v>
      </c>
      <c r="D436" s="206">
        <f>MIN($D$8+0.046557*$E$8,'Debt &amp; Cost of Capital'!$C$38)</f>
        <v>5.5279342000000002E-2</v>
      </c>
      <c r="E436" s="207">
        <f>$D$9+0.761855*$E$9</f>
        <v>0.19007674770254634</v>
      </c>
      <c r="F436" s="207">
        <f>$D$10+1.175507*$E$10</f>
        <v>0.1591060839999999</v>
      </c>
      <c r="G436" s="208">
        <f>$F436*(1-'Sensitivity &amp; Scenarios'!$C$12)+'Sensitivity &amp; Scenarios'!$C$9*'Sensitivity &amp; Scenarios'!$C$12-'Sensitivity &amp; Scenarios'!$C$10</f>
        <v>8.8254500745664627E-2</v>
      </c>
      <c r="H436" s="209">
        <f>('Sensitivity &amp; Scenarios'!$C$6*(1+$E436)^1*$G436+'Sensitivity &amp; Scenarios'!$C$11*'Sensitivity &amp; Scenarios'!$C$6*((1+$E436)^1-(1+$E436)^0))*'Sensitivity &amp; Scenarios'!$C$18/(1+$C436)^'Sensitivity &amp; Scenarios'!$C$18+('Sensitivity &amp; Scenarios'!$C$6*(1+$E436)^2*$G436+'Sensitivity &amp; Scenarios'!$C$11*'Sensitivity &amp; Scenarios'!$C$6*((1+$E436)^2-(1+$E436)^1))/(1+$C436)^('Sensitivity &amp; Scenarios'!$C$18+1)+('Sensitivity &amp; Scenarios'!$C$6*(1+$E436)^3*$G436+'Sensitivity &amp; Scenarios'!$C$11*'Sensitivity &amp; Scenarios'!$C$6*((1+$E436)^3-(1+$E436)^2))/(1+$C436)^('Sensitivity &amp; Scenarios'!$C$18+2)+('Sensitivity &amp; Scenarios'!$C$6*(1+$E436)^4*$G436+'Sensitivity &amp; Scenarios'!$C$11*'Sensitivity &amp; Scenarios'!$C$6*((1+$E436)^4-(1+$E436)^3))/(1+$C436)^('Sensitivity &amp; Scenarios'!$C$18+3)+('Sensitivity &amp; Scenarios'!$C$6*(1+$E436)^5*$G436+'Sensitivity &amp; Scenarios'!$C$11*'Sensitivity &amp; Scenarios'!$C$6*((1+$E436)^5-(1+$E436)^4))/(1+$C436)^('Sensitivity &amp; Scenarios'!$C$18+4)</f>
        <v>27668.079183839025</v>
      </c>
      <c r="I436" s="209">
        <f>('Sensitivity &amp; Scenarios'!$C$6*(1+$E436)^5*$G436+'Sensitivity &amp; Scenarios'!$C$11*'Sensitivity &amp; Scenarios'!$C$6*((1+$E436)^5-(1+$E436)^4))*(1+$D436)/($C436-$D436)/(1+$C436)^('Sensitivity &amp; Scenarios'!$C$18+4)</f>
        <v>76948.531434581892</v>
      </c>
      <c r="J436" s="209">
        <f>($H436+$I436-'Sensitivity &amp; Scenarios'!$C$15+'Sensitivity &amp; Scenarios'!$C$16)/'Sensitivity &amp; Scenarios'!$C$17</f>
        <v>2488.6128009176268</v>
      </c>
    </row>
    <row r="437" spans="2:10" x14ac:dyDescent="0.3">
      <c r="B437" s="127">
        <v>407</v>
      </c>
      <c r="C437" s="206">
        <f>$D$7+0.192421*$E$7</f>
        <v>0.13947646943997799</v>
      </c>
      <c r="D437" s="206">
        <f>MIN($D$8+1.132052*$E$8,'Debt &amp; Cost of Capital'!$C$38)</f>
        <v>6.1792312000000002E-2</v>
      </c>
      <c r="E437" s="207">
        <f>$D$9+-2.344298*$E$9</f>
        <v>9.6892157702546333E-2</v>
      </c>
      <c r="F437" s="207">
        <f>$D$10+1.590452*$E$10</f>
        <v>0.1640854239999999</v>
      </c>
      <c r="G437" s="208">
        <f>$F437*(1-'Sensitivity &amp; Scenarios'!$C$12)+'Sensitivity &amp; Scenarios'!$C$9*'Sensitivity &amp; Scenarios'!$C$12-'Sensitivity &amp; Scenarios'!$C$10</f>
        <v>9.1980540867664634E-2</v>
      </c>
      <c r="H437" s="209">
        <f>('Sensitivity &amp; Scenarios'!$C$6*(1+$E437)^1*$G437+'Sensitivity &amp; Scenarios'!$C$11*'Sensitivity &amp; Scenarios'!$C$6*((1+$E437)^1-(1+$E437)^0))*'Sensitivity &amp; Scenarios'!$C$18/(1+$C437)^'Sensitivity &amp; Scenarios'!$C$18+('Sensitivity &amp; Scenarios'!$C$6*(1+$E437)^2*$G437+'Sensitivity &amp; Scenarios'!$C$11*'Sensitivity &amp; Scenarios'!$C$6*((1+$E437)^2-(1+$E437)^1))/(1+$C437)^('Sensitivity &amp; Scenarios'!$C$18+1)+('Sensitivity &amp; Scenarios'!$C$6*(1+$E437)^3*$G437+'Sensitivity &amp; Scenarios'!$C$11*'Sensitivity &amp; Scenarios'!$C$6*((1+$E437)^3-(1+$E437)^2))/(1+$C437)^('Sensitivity &amp; Scenarios'!$C$18+2)+('Sensitivity &amp; Scenarios'!$C$6*(1+$E437)^4*$G437+'Sensitivity &amp; Scenarios'!$C$11*'Sensitivity &amp; Scenarios'!$C$6*((1+$E437)^4-(1+$E437)^3))/(1+$C437)^('Sensitivity &amp; Scenarios'!$C$18+3)+('Sensitivity &amp; Scenarios'!$C$6*(1+$E437)^5*$G437+'Sensitivity &amp; Scenarios'!$C$11*'Sensitivity &amp; Scenarios'!$C$6*((1+$E437)^5-(1+$E437)^4))/(1+$C437)^('Sensitivity &amp; Scenarios'!$C$18+4)</f>
        <v>20743.896618884435</v>
      </c>
      <c r="I437" s="209">
        <f>('Sensitivity &amp; Scenarios'!$C$6*(1+$E437)^5*$G437+'Sensitivity &amp; Scenarios'!$C$11*'Sensitivity &amp; Scenarios'!$C$6*((1+$E437)^5-(1+$E437)^4))*(1+$D437)/($C437-$D437)/(1+$C437)^('Sensitivity &amp; Scenarios'!$C$18+4)</f>
        <v>56978.690497886644</v>
      </c>
      <c r="J437" s="209">
        <f>($H437+$I437-'Sensitivity &amp; Scenarios'!$C$15+'Sensitivity &amp; Scenarios'!$C$16)/'Sensitivity &amp; Scenarios'!$C$17</f>
        <v>1922.5265156340929</v>
      </c>
    </row>
    <row r="438" spans="2:10" x14ac:dyDescent="0.3">
      <c r="B438" s="127">
        <v>408</v>
      </c>
      <c r="C438" s="206">
        <f>$D$7+0.375062*$E$7</f>
        <v>0.14130287943997799</v>
      </c>
      <c r="D438" s="206">
        <f>MIN($D$8+1.077843*$E$8,'Debt &amp; Cost of Capital'!$C$38)</f>
        <v>6.1467057999999998E-2</v>
      </c>
      <c r="E438" s="207">
        <f>$D$9+-1.219876*$E$9</f>
        <v>0.13062481770254636</v>
      </c>
      <c r="F438" s="207">
        <f>$D$10+-0.83077*$E$10</f>
        <v>0.13503075999999992</v>
      </c>
      <c r="G438" s="208">
        <f>$F438*(1-'Sensitivity &amp; Scenarios'!$C$12)+'Sensitivity &amp; Scenarios'!$C$9*'Sensitivity &amp; Scenarios'!$C$12-'Sensitivity &amp; Scenarios'!$C$10</f>
        <v>7.0238935796464647E-2</v>
      </c>
      <c r="H438" s="209">
        <f>('Sensitivity &amp; Scenarios'!$C$6*(1+$E438)^1*$G438+'Sensitivity &amp; Scenarios'!$C$11*'Sensitivity &amp; Scenarios'!$C$6*((1+$E438)^1-(1+$E438)^0))*'Sensitivity &amp; Scenarios'!$C$18/(1+$C438)^'Sensitivity &amp; Scenarios'!$C$18+('Sensitivity &amp; Scenarios'!$C$6*(1+$E438)^2*$G438+'Sensitivity &amp; Scenarios'!$C$11*'Sensitivity &amp; Scenarios'!$C$6*((1+$E438)^2-(1+$E438)^1))/(1+$C438)^('Sensitivity &amp; Scenarios'!$C$18+1)+('Sensitivity &amp; Scenarios'!$C$6*(1+$E438)^3*$G438+'Sensitivity &amp; Scenarios'!$C$11*'Sensitivity &amp; Scenarios'!$C$6*((1+$E438)^3-(1+$E438)^2))/(1+$C438)^('Sensitivity &amp; Scenarios'!$C$18+2)+('Sensitivity &amp; Scenarios'!$C$6*(1+$E438)^4*$G438+'Sensitivity &amp; Scenarios'!$C$11*'Sensitivity &amp; Scenarios'!$C$6*((1+$E438)^4-(1+$E438)^3))/(1+$C438)^('Sensitivity &amp; Scenarios'!$C$18+3)+('Sensitivity &amp; Scenarios'!$C$6*(1+$E438)^5*$G438+'Sensitivity &amp; Scenarios'!$C$11*'Sensitivity &amp; Scenarios'!$C$6*((1+$E438)^5-(1+$E438)^4))/(1+$C438)^('Sensitivity &amp; Scenarios'!$C$18+4)</f>
        <v>18512.029857419962</v>
      </c>
      <c r="I438" s="209">
        <f>('Sensitivity &amp; Scenarios'!$C$6*(1+$E438)^5*$G438+'Sensitivity &amp; Scenarios'!$C$11*'Sensitivity &amp; Scenarios'!$C$6*((1+$E438)^5-(1+$E438)^4))*(1+$D438)/($C438-$D438)/(1+$C438)^('Sensitivity &amp; Scenarios'!$C$18+4)</f>
        <v>52210.681479178776</v>
      </c>
      <c r="J438" s="209">
        <f>($H438+$I438-'Sensitivity &amp; Scenarios'!$C$15+'Sensitivity &amp; Scenarios'!$C$16)/'Sensitivity &amp; Scenarios'!$C$17</f>
        <v>1775.1876960037439</v>
      </c>
    </row>
    <row r="439" spans="2:10" x14ac:dyDescent="0.3">
      <c r="B439" s="127">
        <v>409</v>
      </c>
      <c r="C439" s="206">
        <f>$D$7+0.145938*$E$7</f>
        <v>0.13901163943997799</v>
      </c>
      <c r="D439" s="206">
        <f>MIN($D$8+-0.017038*$E$8,'Debt &amp; Cost of Capital'!$C$38)</f>
        <v>5.4897771999999997E-2</v>
      </c>
      <c r="E439" s="207">
        <f>$D$9+0.283069*$E$9</f>
        <v>0.17571316770254633</v>
      </c>
      <c r="F439" s="207">
        <f>$D$10+1.084515*$E$10</f>
        <v>0.15801417999999989</v>
      </c>
      <c r="G439" s="208">
        <f>$F439*(1-'Sensitivity &amp; Scenarios'!$C$12)+'Sensitivity &amp; Scenarios'!$C$9*'Sensitivity &amp; Scenarios'!$C$12-'Sensitivity &amp; Scenarios'!$C$10</f>
        <v>8.7437428982464621E-2</v>
      </c>
      <c r="H439" s="209">
        <f>('Sensitivity &amp; Scenarios'!$C$6*(1+$E439)^1*$G439+'Sensitivity &amp; Scenarios'!$C$11*'Sensitivity &amp; Scenarios'!$C$6*((1+$E439)^1-(1+$E439)^0))*'Sensitivity &amp; Scenarios'!$C$18/(1+$C439)^'Sensitivity &amp; Scenarios'!$C$18+('Sensitivity &amp; Scenarios'!$C$6*(1+$E439)^2*$G439+'Sensitivity &amp; Scenarios'!$C$11*'Sensitivity &amp; Scenarios'!$C$6*((1+$E439)^2-(1+$E439)^1))/(1+$C439)^('Sensitivity &amp; Scenarios'!$C$18+1)+('Sensitivity &amp; Scenarios'!$C$6*(1+$E439)^3*$G439+'Sensitivity &amp; Scenarios'!$C$11*'Sensitivity &amp; Scenarios'!$C$6*((1+$E439)^3-(1+$E439)^2))/(1+$C439)^('Sensitivity &amp; Scenarios'!$C$18+2)+('Sensitivity &amp; Scenarios'!$C$6*(1+$E439)^4*$G439+'Sensitivity &amp; Scenarios'!$C$11*'Sensitivity &amp; Scenarios'!$C$6*((1+$E439)^4-(1+$E439)^3))/(1+$C439)^('Sensitivity &amp; Scenarios'!$C$18+3)+('Sensitivity &amp; Scenarios'!$C$6*(1+$E439)^5*$G439+'Sensitivity &amp; Scenarios'!$C$11*'Sensitivity &amp; Scenarios'!$C$6*((1+$E439)^5-(1+$E439)^4))/(1+$C439)^('Sensitivity &amp; Scenarios'!$C$18+4)</f>
        <v>26400.246262441524</v>
      </c>
      <c r="I439" s="209">
        <f>('Sensitivity &amp; Scenarios'!$C$6*(1+$E439)^5*$G439+'Sensitivity &amp; Scenarios'!$C$11*'Sensitivity &amp; Scenarios'!$C$6*((1+$E439)^5-(1+$E439)^4))*(1+$D439)/($C439-$D439)/(1+$C439)^('Sensitivity &amp; Scenarios'!$C$18+4)</f>
        <v>75695.05196483995</v>
      </c>
      <c r="J439" s="209">
        <f>($H439+$I439-'Sensitivity &amp; Scenarios'!$C$15+'Sensitivity &amp; Scenarios'!$C$16)/'Sensitivity &amp; Scenarios'!$C$17</f>
        <v>2435.5422603400175</v>
      </c>
    </row>
    <row r="440" spans="2:10" x14ac:dyDescent="0.3">
      <c r="B440" s="127">
        <v>410</v>
      </c>
      <c r="C440" s="206">
        <f>$D$7+-1.76522*$E$7</f>
        <v>0.11990005943997797</v>
      </c>
      <c r="D440" s="206">
        <f>MIN($D$8+0.973819*$E$8,'Debt &amp; Cost of Capital'!$C$38)</f>
        <v>6.0842913999999998E-2</v>
      </c>
      <c r="E440" s="207">
        <f>$D$9+0.008282*$E$9</f>
        <v>0.16746955770254635</v>
      </c>
      <c r="F440" s="207">
        <f>$D$10+-0.203782*$E$10</f>
        <v>0.14255461599999991</v>
      </c>
      <c r="G440" s="208">
        <f>$F440*(1-'Sensitivity &amp; Scenarios'!$C$12)+'Sensitivity &amp; Scenarios'!$C$9*'Sensitivity &amp; Scenarios'!$C$12-'Sensitivity &amp; Scenarios'!$C$10</f>
        <v>7.5869037241264634E-2</v>
      </c>
      <c r="H440" s="209">
        <f>('Sensitivity &amp; Scenarios'!$C$6*(1+$E440)^1*$G440+'Sensitivity &amp; Scenarios'!$C$11*'Sensitivity &amp; Scenarios'!$C$6*((1+$E440)^1-(1+$E440)^0))*'Sensitivity &amp; Scenarios'!$C$18/(1+$C440)^'Sensitivity &amp; Scenarios'!$C$18+('Sensitivity &amp; Scenarios'!$C$6*(1+$E440)^2*$G440+'Sensitivity &amp; Scenarios'!$C$11*'Sensitivity &amp; Scenarios'!$C$6*((1+$E440)^2-(1+$E440)^1))/(1+$C440)^('Sensitivity &amp; Scenarios'!$C$18+1)+('Sensitivity &amp; Scenarios'!$C$6*(1+$E440)^3*$G440+'Sensitivity &amp; Scenarios'!$C$11*'Sensitivity &amp; Scenarios'!$C$6*((1+$E440)^3-(1+$E440)^2))/(1+$C440)^('Sensitivity &amp; Scenarios'!$C$18+2)+('Sensitivity &amp; Scenarios'!$C$6*(1+$E440)^4*$G440+'Sensitivity &amp; Scenarios'!$C$11*'Sensitivity &amp; Scenarios'!$C$6*((1+$E440)^4-(1+$E440)^3))/(1+$C440)^('Sensitivity &amp; Scenarios'!$C$18+3)+('Sensitivity &amp; Scenarios'!$C$6*(1+$E440)^5*$G440+'Sensitivity &amp; Scenarios'!$C$11*'Sensitivity &amp; Scenarios'!$C$6*((1+$E440)^5-(1+$E440)^4))/(1+$C440)^('Sensitivity &amp; Scenarios'!$C$18+4)</f>
        <v>23897.817607806792</v>
      </c>
      <c r="I440" s="209">
        <f>('Sensitivity &amp; Scenarios'!$C$6*(1+$E440)^5*$G440+'Sensitivity &amp; Scenarios'!$C$11*'Sensitivity &amp; Scenarios'!$C$6*((1+$E440)^5-(1+$E440)^4))*(1+$D440)/($C440-$D440)/(1+$C440)^('Sensitivity &amp; Scenarios'!$C$18+4)</f>
        <v>99879.03682658491</v>
      </c>
      <c r="J440" s="209">
        <f>($H440+$I440-'Sensitivity &amp; Scenarios'!$C$15+'Sensitivity &amp; Scenarios'!$C$16)/'Sensitivity &amp; Scenarios'!$C$17</f>
        <v>2891.9124874165368</v>
      </c>
    </row>
    <row r="441" spans="2:10" x14ac:dyDescent="0.3">
      <c r="B441" s="127">
        <v>411</v>
      </c>
      <c r="C441" s="206">
        <f>$D$7+-1.471115*$E$7</f>
        <v>0.12284110943997797</v>
      </c>
      <c r="D441" s="206">
        <f>MIN($D$8+0.503049*$E$8,'Debt &amp; Cost of Capital'!$C$38)</f>
        <v>5.8018293999999998E-2</v>
      </c>
      <c r="E441" s="207">
        <f>$D$9+-2.414108*$E$9</f>
        <v>9.479785770254634E-2</v>
      </c>
      <c r="F441" s="207">
        <f>$D$10+0.648394*$E$10</f>
        <v>0.15278072799999992</v>
      </c>
      <c r="G441" s="208">
        <f>$F441*(1-'Sensitivity &amp; Scenarios'!$C$12)+'Sensitivity &amp; Scenarios'!$C$9*'Sensitivity &amp; Scenarios'!$C$12-'Sensitivity &amp; Scenarios'!$C$10</f>
        <v>8.3521236850864641E-2</v>
      </c>
      <c r="H441" s="209">
        <f>('Sensitivity &amp; Scenarios'!$C$6*(1+$E441)^1*$G441+'Sensitivity &amp; Scenarios'!$C$11*'Sensitivity &amp; Scenarios'!$C$6*((1+$E441)^1-(1+$E441)^0))*'Sensitivity &amp; Scenarios'!$C$18/(1+$C441)^'Sensitivity &amp; Scenarios'!$C$18+('Sensitivity &amp; Scenarios'!$C$6*(1+$E441)^2*$G441+'Sensitivity &amp; Scenarios'!$C$11*'Sensitivity &amp; Scenarios'!$C$6*((1+$E441)^2-(1+$E441)^1))/(1+$C441)^('Sensitivity &amp; Scenarios'!$C$18+1)+('Sensitivity &amp; Scenarios'!$C$6*(1+$E441)^3*$G441+'Sensitivity &amp; Scenarios'!$C$11*'Sensitivity &amp; Scenarios'!$C$6*((1+$E441)^3-(1+$E441)^2))/(1+$C441)^('Sensitivity &amp; Scenarios'!$C$18+2)+('Sensitivity &amp; Scenarios'!$C$6*(1+$E441)^4*$G441+'Sensitivity &amp; Scenarios'!$C$11*'Sensitivity &amp; Scenarios'!$C$6*((1+$E441)^4-(1+$E441)^3))/(1+$C441)^('Sensitivity &amp; Scenarios'!$C$18+3)+('Sensitivity &amp; Scenarios'!$C$6*(1+$E441)^5*$G441+'Sensitivity &amp; Scenarios'!$C$11*'Sensitivity &amp; Scenarios'!$C$6*((1+$E441)^5-(1+$E441)^4))/(1+$C441)^('Sensitivity &amp; Scenarios'!$C$18+4)</f>
        <v>19641.108059631017</v>
      </c>
      <c r="I441" s="209">
        <f>('Sensitivity &amp; Scenarios'!$C$6*(1+$E441)^5*$G441+'Sensitivity &amp; Scenarios'!$C$11*'Sensitivity &amp; Scenarios'!$C$6*((1+$E441)^5-(1+$E441)^4))*(1+$D441)/($C441-$D441)/(1+$C441)^('Sensitivity &amp; Scenarios'!$C$18+4)</f>
        <v>66008.536800545466</v>
      </c>
      <c r="J441" s="209">
        <f>($H441+$I441-'Sensitivity &amp; Scenarios'!$C$15+'Sensitivity &amp; Scenarios'!$C$16)/'Sensitivity &amp; Scenarios'!$C$17</f>
        <v>2089.3813810251772</v>
      </c>
    </row>
    <row r="442" spans="2:10" x14ac:dyDescent="0.3">
      <c r="B442" s="127">
        <v>412</v>
      </c>
      <c r="C442" s="206">
        <f>$D$7+-1.492106*$E$7</f>
        <v>0.12263119943997798</v>
      </c>
      <c r="D442" s="206">
        <f>MIN($D$8+0.053458*$E$8,'Debt &amp; Cost of Capital'!$C$38)</f>
        <v>5.5320748000000003E-2</v>
      </c>
      <c r="E442" s="207">
        <f>$D$9+-0.119169*$E$9</f>
        <v>0.16364602770254633</v>
      </c>
      <c r="F442" s="207">
        <f>$D$10+1.169538*$E$10</f>
        <v>0.15903445599999991</v>
      </c>
      <c r="G442" s="208">
        <f>$F442*(1-'Sensitivity &amp; Scenarios'!$C$12)+'Sensitivity &amp; Scenarios'!$C$9*'Sensitivity &amp; Scenarios'!$C$12-'Sensitivity &amp; Scenarios'!$C$10</f>
        <v>8.8200901513264637E-2</v>
      </c>
      <c r="H442" s="209">
        <f>('Sensitivity &amp; Scenarios'!$C$6*(1+$E442)^1*$G442+'Sensitivity &amp; Scenarios'!$C$11*'Sensitivity &amp; Scenarios'!$C$6*((1+$E442)^1-(1+$E442)^0))*'Sensitivity &amp; Scenarios'!$C$18/(1+$C442)^'Sensitivity &amp; Scenarios'!$C$18+('Sensitivity &amp; Scenarios'!$C$6*(1+$E442)^2*$G442+'Sensitivity &amp; Scenarios'!$C$11*'Sensitivity &amp; Scenarios'!$C$6*((1+$E442)^2-(1+$E442)^1))/(1+$C442)^('Sensitivity &amp; Scenarios'!$C$18+1)+('Sensitivity &amp; Scenarios'!$C$6*(1+$E442)^3*$G442+'Sensitivity &amp; Scenarios'!$C$11*'Sensitivity &amp; Scenarios'!$C$6*((1+$E442)^3-(1+$E442)^2))/(1+$C442)^('Sensitivity &amp; Scenarios'!$C$18+2)+('Sensitivity &amp; Scenarios'!$C$6*(1+$E442)^4*$G442+'Sensitivity &amp; Scenarios'!$C$11*'Sensitivity &amp; Scenarios'!$C$6*((1+$E442)^4-(1+$E442)^3))/(1+$C442)^('Sensitivity &amp; Scenarios'!$C$18+3)+('Sensitivity &amp; Scenarios'!$C$6*(1+$E442)^5*$G442+'Sensitivity &amp; Scenarios'!$C$11*'Sensitivity &amp; Scenarios'!$C$6*((1+$E442)^5-(1+$E442)^4))/(1+$C442)^('Sensitivity &amp; Scenarios'!$C$18+4)</f>
        <v>26562.112229712948</v>
      </c>
      <c r="I442" s="209">
        <f>('Sensitivity &amp; Scenarios'!$C$6*(1+$E442)^5*$G442+'Sensitivity &amp; Scenarios'!$C$11*'Sensitivity &amp; Scenarios'!$C$6*((1+$E442)^5-(1+$E442)^4))*(1+$D442)/($C442-$D442)/(1+$C442)^('Sensitivity &amp; Scenarios'!$C$18+4)</f>
        <v>95918.998018322192</v>
      </c>
      <c r="J442" s="209">
        <f>($H442+$I442-'Sensitivity &amp; Scenarios'!$C$15+'Sensitivity &amp; Scenarios'!$C$16)/'Sensitivity &amp; Scenarios'!$C$17</f>
        <v>2864.6386578578131</v>
      </c>
    </row>
    <row r="443" spans="2:10" x14ac:dyDescent="0.3">
      <c r="B443" s="127">
        <v>413</v>
      </c>
      <c r="C443" s="206">
        <f>$D$7+-0.178655*$E$7</f>
        <v>0.13576570943997798</v>
      </c>
      <c r="D443" s="206">
        <f>MIN($D$8+-0.694139*$E$8,'Debt &amp; Cost of Capital'!$C$38)</f>
        <v>5.0835166000000001E-2</v>
      </c>
      <c r="E443" s="207">
        <f>$D$9+-0.506603*$E$9</f>
        <v>0.15202300770254634</v>
      </c>
      <c r="F443" s="207">
        <f>$D$10+1.272883*$E$10</f>
        <v>0.16027459599999991</v>
      </c>
      <c r="G443" s="208">
        <f>$F443*(1-'Sensitivity &amp; Scenarios'!$C$12)+'Sensitivity &amp; Scenarios'!$C$9*'Sensitivity &amp; Scenarios'!$C$12-'Sensitivity &amp; Scenarios'!$C$10</f>
        <v>8.9128898275264642E-2</v>
      </c>
      <c r="H443" s="209">
        <f>('Sensitivity &amp; Scenarios'!$C$6*(1+$E443)^1*$G443+'Sensitivity &amp; Scenarios'!$C$11*'Sensitivity &amp; Scenarios'!$C$6*((1+$E443)^1-(1+$E443)^0))*'Sensitivity &amp; Scenarios'!$C$18/(1+$C443)^'Sensitivity &amp; Scenarios'!$C$18+('Sensitivity &amp; Scenarios'!$C$6*(1+$E443)^2*$G443+'Sensitivity &amp; Scenarios'!$C$11*'Sensitivity &amp; Scenarios'!$C$6*((1+$E443)^2-(1+$E443)^1))/(1+$C443)^('Sensitivity &amp; Scenarios'!$C$18+1)+('Sensitivity &amp; Scenarios'!$C$6*(1+$E443)^3*$G443+'Sensitivity &amp; Scenarios'!$C$11*'Sensitivity &amp; Scenarios'!$C$6*((1+$E443)^3-(1+$E443)^2))/(1+$C443)^('Sensitivity &amp; Scenarios'!$C$18+2)+('Sensitivity &amp; Scenarios'!$C$6*(1+$E443)^4*$G443+'Sensitivity &amp; Scenarios'!$C$11*'Sensitivity &amp; Scenarios'!$C$6*((1+$E443)^4-(1+$E443)^3))/(1+$C443)^('Sensitivity &amp; Scenarios'!$C$18+3)+('Sensitivity &amp; Scenarios'!$C$6*(1+$E443)^5*$G443+'Sensitivity &amp; Scenarios'!$C$11*'Sensitivity &amp; Scenarios'!$C$6*((1+$E443)^5-(1+$E443)^4))/(1+$C443)^('Sensitivity &amp; Scenarios'!$C$18+4)</f>
        <v>24880.33760032104</v>
      </c>
      <c r="I443" s="209">
        <f>('Sensitivity &amp; Scenarios'!$C$6*(1+$E443)^5*$G443+'Sensitivity &amp; Scenarios'!$C$11*'Sensitivity &amp; Scenarios'!$C$6*((1+$E443)^5-(1+$E443)^4))*(1+$D443)/($C443-$D443)/(1+$C443)^('Sensitivity &amp; Scenarios'!$C$18+4)</f>
        <v>68196.668808153583</v>
      </c>
      <c r="J443" s="209">
        <f>($H443+$I443-'Sensitivity &amp; Scenarios'!$C$15+'Sensitivity &amp; Scenarios'!$C$16)/'Sensitivity &amp; Scenarios'!$C$17</f>
        <v>2245.718252972802</v>
      </c>
    </row>
    <row r="444" spans="2:10" x14ac:dyDescent="0.3">
      <c r="B444" s="127">
        <v>414</v>
      </c>
      <c r="C444" s="206">
        <f>$D$7+0.536297*$E$7</f>
        <v>0.14291522943997798</v>
      </c>
      <c r="D444" s="206">
        <f>MIN($D$8+-0.38563*$E$8,'Debt &amp; Cost of Capital'!$C$38)</f>
        <v>5.2686219999999999E-2</v>
      </c>
      <c r="E444" s="207">
        <f>$D$9+-0.236446*$E$9</f>
        <v>0.16012771770254633</v>
      </c>
      <c r="F444" s="207">
        <f>$D$10+-1.567177*$E$10</f>
        <v>0.1261938759999999</v>
      </c>
      <c r="G444" s="208">
        <f>$F444*(1-'Sensitivity &amp; Scenarios'!$C$12)+'Sensitivity &amp; Scenarios'!$C$9*'Sensitivity &amp; Scenarios'!$C$12-'Sensitivity &amp; Scenarios'!$C$10</f>
        <v>6.3626295499264629E-2</v>
      </c>
      <c r="H444" s="209">
        <f>('Sensitivity &amp; Scenarios'!$C$6*(1+$E444)^1*$G444+'Sensitivity &amp; Scenarios'!$C$11*'Sensitivity &amp; Scenarios'!$C$6*((1+$E444)^1-(1+$E444)^0))*'Sensitivity &amp; Scenarios'!$C$18/(1+$C444)^'Sensitivity &amp; Scenarios'!$C$18+('Sensitivity &amp; Scenarios'!$C$6*(1+$E444)^2*$G444+'Sensitivity &amp; Scenarios'!$C$11*'Sensitivity &amp; Scenarios'!$C$6*((1+$E444)^2-(1+$E444)^1))/(1+$C444)^('Sensitivity &amp; Scenarios'!$C$18+1)+('Sensitivity &amp; Scenarios'!$C$6*(1+$E444)^3*$G444+'Sensitivity &amp; Scenarios'!$C$11*'Sensitivity &amp; Scenarios'!$C$6*((1+$E444)^3-(1+$E444)^2))/(1+$C444)^('Sensitivity &amp; Scenarios'!$C$18+2)+('Sensitivity &amp; Scenarios'!$C$6*(1+$E444)^4*$G444+'Sensitivity &amp; Scenarios'!$C$11*'Sensitivity &amp; Scenarios'!$C$6*((1+$E444)^4-(1+$E444)^3))/(1+$C444)^('Sensitivity &amp; Scenarios'!$C$18+3)+('Sensitivity &amp; Scenarios'!$C$6*(1+$E444)^5*$G444+'Sensitivity &amp; Scenarios'!$C$11*'Sensitivity &amp; Scenarios'!$C$6*((1+$E444)^5-(1+$E444)^4))/(1+$C444)^('Sensitivity &amp; Scenarios'!$C$18+4)</f>
        <v>19006.561589465397</v>
      </c>
      <c r="I444" s="209">
        <f>('Sensitivity &amp; Scenarios'!$C$6*(1+$E444)^5*$G444+'Sensitivity &amp; Scenarios'!$C$11*'Sensitivity &amp; Scenarios'!$C$6*((1+$E444)^5-(1+$E444)^4))*(1+$D444)/($C444-$D444)/(1+$C444)^('Sensitivity &amp; Scenarios'!$C$18+4)</f>
        <v>49189.476610073303</v>
      </c>
      <c r="J444" s="209">
        <f>($H444+$I444-'Sensitivity &amp; Scenarios'!$C$15+'Sensitivity &amp; Scenarios'!$C$16)/'Sensitivity &amp; Scenarios'!$C$17</f>
        <v>1722.0043182842937</v>
      </c>
    </row>
    <row r="445" spans="2:10" x14ac:dyDescent="0.3">
      <c r="B445" s="127">
        <v>415</v>
      </c>
      <c r="C445" s="206">
        <f>$D$7+0.388474*$E$7</f>
        <v>0.14143699943997798</v>
      </c>
      <c r="D445" s="206">
        <f>MIN($D$8+-1.759816*$E$8,'Debt &amp; Cost of Capital'!$C$38)</f>
        <v>4.4441104000000002E-2</v>
      </c>
      <c r="E445" s="207">
        <f>$D$9+0.751796*$E$9</f>
        <v>0.18977497770254634</v>
      </c>
      <c r="F445" s="207">
        <f>$D$10+0.128622*$E$10</f>
        <v>0.1465434639999999</v>
      </c>
      <c r="G445" s="208">
        <f>$F445*(1-'Sensitivity &amp; Scenarios'!$C$12)+'Sensitivity &amp; Scenarios'!$C$9*'Sensitivity &amp; Scenarios'!$C$12-'Sensitivity &amp; Scenarios'!$C$10</f>
        <v>7.8853892199664627E-2</v>
      </c>
      <c r="H445" s="209">
        <f>('Sensitivity &amp; Scenarios'!$C$6*(1+$E445)^1*$G445+'Sensitivity &amp; Scenarios'!$C$11*'Sensitivity &amp; Scenarios'!$C$6*((1+$E445)^1-(1+$E445)^0))*'Sensitivity &amp; Scenarios'!$C$18/(1+$C445)^'Sensitivity &amp; Scenarios'!$C$18+('Sensitivity &amp; Scenarios'!$C$6*(1+$E445)^2*$G445+'Sensitivity &amp; Scenarios'!$C$11*'Sensitivity &amp; Scenarios'!$C$6*((1+$E445)^2-(1+$E445)^1))/(1+$C445)^('Sensitivity &amp; Scenarios'!$C$18+1)+('Sensitivity &amp; Scenarios'!$C$6*(1+$E445)^3*$G445+'Sensitivity &amp; Scenarios'!$C$11*'Sensitivity &amp; Scenarios'!$C$6*((1+$E445)^3-(1+$E445)^2))/(1+$C445)^('Sensitivity &amp; Scenarios'!$C$18+2)+('Sensitivity &amp; Scenarios'!$C$6*(1+$E445)^4*$G445+'Sensitivity &amp; Scenarios'!$C$11*'Sensitivity &amp; Scenarios'!$C$6*((1+$E445)^4-(1+$E445)^3))/(1+$C445)^('Sensitivity &amp; Scenarios'!$C$18+3)+('Sensitivity &amp; Scenarios'!$C$6*(1+$E445)^5*$G445+'Sensitivity &amp; Scenarios'!$C$11*'Sensitivity &amp; Scenarios'!$C$6*((1+$E445)^5-(1+$E445)^4))/(1+$C445)^('Sensitivity &amp; Scenarios'!$C$18+4)</f>
        <v>25303.076587920597</v>
      </c>
      <c r="I445" s="209">
        <f>('Sensitivity &amp; Scenarios'!$C$6*(1+$E445)^5*$G445+'Sensitivity &amp; Scenarios'!$C$11*'Sensitivity &amp; Scenarios'!$C$6*((1+$E445)^5-(1+$E445)^4))*(1+$D445)/($C445-$D445)/(1+$C445)^('Sensitivity &amp; Scenarios'!$C$18+4)</f>
        <v>63379.244876868695</v>
      </c>
      <c r="J445" s="209">
        <f>($H445+$I445-'Sensitivity &amp; Scenarios'!$C$15+'Sensitivity &amp; Scenarios'!$C$16)/'Sensitivity &amp; Scenarios'!$C$17</f>
        <v>2153.2155125550398</v>
      </c>
    </row>
    <row r="446" spans="2:10" x14ac:dyDescent="0.3">
      <c r="B446" s="127">
        <v>416</v>
      </c>
      <c r="C446" s="206">
        <f>$D$7+2.386952*$E$7</f>
        <v>0.16142177943997799</v>
      </c>
      <c r="D446" s="206">
        <f>MIN($D$8+-1.100136*$E$8,'Debt &amp; Cost of Capital'!$C$38)</f>
        <v>4.8399183999999998E-2</v>
      </c>
      <c r="E446" s="207">
        <f>$D$9+-0.102662*$E$9</f>
        <v>0.16414123770254635</v>
      </c>
      <c r="F446" s="207">
        <f>$D$10+1.798288*$E$10</f>
        <v>0.1665794559999999</v>
      </c>
      <c r="G446" s="208">
        <f>$F446*(1-'Sensitivity &amp; Scenarios'!$C$12)+'Sensitivity &amp; Scenarios'!$C$9*'Sensitivity &amp; Scenarios'!$C$12-'Sensitivity &amp; Scenarios'!$C$10</f>
        <v>9.3846825013264634E-2</v>
      </c>
      <c r="H446" s="209">
        <f>('Sensitivity &amp; Scenarios'!$C$6*(1+$E446)^1*$G446+'Sensitivity &amp; Scenarios'!$C$11*'Sensitivity &amp; Scenarios'!$C$6*((1+$E446)^1-(1+$E446)^0))*'Sensitivity &amp; Scenarios'!$C$18/(1+$C446)^'Sensitivity &amp; Scenarios'!$C$18+('Sensitivity &amp; Scenarios'!$C$6*(1+$E446)^2*$G446+'Sensitivity &amp; Scenarios'!$C$11*'Sensitivity &amp; Scenarios'!$C$6*((1+$E446)^2-(1+$E446)^1))/(1+$C446)^('Sensitivity &amp; Scenarios'!$C$18+1)+('Sensitivity &amp; Scenarios'!$C$6*(1+$E446)^3*$G446+'Sensitivity &amp; Scenarios'!$C$11*'Sensitivity &amp; Scenarios'!$C$6*((1+$E446)^3-(1+$E446)^2))/(1+$C446)^('Sensitivity &amp; Scenarios'!$C$18+2)+('Sensitivity &amp; Scenarios'!$C$6*(1+$E446)^4*$G446+'Sensitivity &amp; Scenarios'!$C$11*'Sensitivity &amp; Scenarios'!$C$6*((1+$E446)^4-(1+$E446)^3))/(1+$C446)^('Sensitivity &amp; Scenarios'!$C$18+3)+('Sensitivity &amp; Scenarios'!$C$6*(1+$E446)^5*$G446+'Sensitivity &amp; Scenarios'!$C$11*'Sensitivity &amp; Scenarios'!$C$6*((1+$E446)^5-(1+$E446)^4))/(1+$C446)^('Sensitivity &amp; Scenarios'!$C$18+4)</f>
        <v>25488.883941029118</v>
      </c>
      <c r="I446" s="209">
        <f>('Sensitivity &amp; Scenarios'!$C$6*(1+$E446)^5*$G446+'Sensitivity &amp; Scenarios'!$C$11*'Sensitivity &amp; Scenarios'!$C$6*((1+$E446)^5-(1+$E446)^4))*(1+$D446)/($C446-$D446)/(1+$C446)^('Sensitivity &amp; Scenarios'!$C$18+4)</f>
        <v>51254.235212754567</v>
      </c>
      <c r="J446" s="209">
        <f>($H446+$I446-'Sensitivity &amp; Scenarios'!$C$15+'Sensitivity &amp; Scenarios'!$C$16)/'Sensitivity &amp; Scenarios'!$C$17</f>
        <v>1901.9099135593697</v>
      </c>
    </row>
    <row r="447" spans="2:10" x14ac:dyDescent="0.3">
      <c r="B447" s="127">
        <v>417</v>
      </c>
      <c r="C447" s="206">
        <f>$D$7+1.19139*$E$7</f>
        <v>0.14946615943997799</v>
      </c>
      <c r="D447" s="206">
        <f>MIN($D$8+-0.696212*$E$8,'Debt &amp; Cost of Capital'!$C$38)</f>
        <v>5.0822727999999998E-2</v>
      </c>
      <c r="E447" s="207">
        <f>$D$9+0.223967*$E$9</f>
        <v>0.17394010770254634</v>
      </c>
      <c r="F447" s="207">
        <f>$D$10+0.001999*$E$10</f>
        <v>0.14502398799999991</v>
      </c>
      <c r="G447" s="208">
        <f>$F447*(1-'Sensitivity &amp; Scenarios'!$C$12)+'Sensitivity &amp; Scenarios'!$C$9*'Sensitivity &amp; Scenarios'!$C$12-'Sensitivity &amp; Scenarios'!$C$10</f>
        <v>7.7716868308864637E-2</v>
      </c>
      <c r="H447" s="209">
        <f>('Sensitivity &amp; Scenarios'!$C$6*(1+$E447)^1*$G447+'Sensitivity &amp; Scenarios'!$C$11*'Sensitivity &amp; Scenarios'!$C$6*((1+$E447)^1-(1+$E447)^0))*'Sensitivity &amp; Scenarios'!$C$18/(1+$C447)^'Sensitivity &amp; Scenarios'!$C$18+('Sensitivity &amp; Scenarios'!$C$6*(1+$E447)^2*$G447+'Sensitivity &amp; Scenarios'!$C$11*'Sensitivity &amp; Scenarios'!$C$6*((1+$E447)^2-(1+$E447)^1))/(1+$C447)^('Sensitivity &amp; Scenarios'!$C$18+1)+('Sensitivity &amp; Scenarios'!$C$6*(1+$E447)^3*$G447+'Sensitivity &amp; Scenarios'!$C$11*'Sensitivity &amp; Scenarios'!$C$6*((1+$E447)^3-(1+$E447)^2))/(1+$C447)^('Sensitivity &amp; Scenarios'!$C$18+2)+('Sensitivity &amp; Scenarios'!$C$6*(1+$E447)^4*$G447+'Sensitivity &amp; Scenarios'!$C$11*'Sensitivity &amp; Scenarios'!$C$6*((1+$E447)^4-(1+$E447)^3))/(1+$C447)^('Sensitivity &amp; Scenarios'!$C$18+3)+('Sensitivity &amp; Scenarios'!$C$6*(1+$E447)^5*$G447+'Sensitivity &amp; Scenarios'!$C$11*'Sensitivity &amp; Scenarios'!$C$6*((1+$E447)^5-(1+$E447)^4))/(1+$C447)^('Sensitivity &amp; Scenarios'!$C$18+4)</f>
        <v>23169.614901056004</v>
      </c>
      <c r="I447" s="209">
        <f>('Sensitivity &amp; Scenarios'!$C$6*(1+$E447)^5*$G447+'Sensitivity &amp; Scenarios'!$C$11*'Sensitivity &amp; Scenarios'!$C$6*((1+$E447)^5-(1+$E447)^4))*(1+$D447)/($C447-$D447)/(1+$C447)^('Sensitivity &amp; Scenarios'!$C$18+4)</f>
        <v>55360.990553089468</v>
      </c>
      <c r="J447" s="209">
        <f>($H447+$I447-'Sensitivity &amp; Scenarios'!$C$15+'Sensitivity &amp; Scenarios'!$C$16)/'Sensitivity &amp; Scenarios'!$C$17</f>
        <v>1939.5343128875302</v>
      </c>
    </row>
    <row r="448" spans="2:10" x14ac:dyDescent="0.3">
      <c r="B448" s="127">
        <v>418</v>
      </c>
      <c r="C448" s="206">
        <f>$D$7+0.281956*$E$7</f>
        <v>0.14037181943997798</v>
      </c>
      <c r="D448" s="206">
        <f>MIN($D$8+-0.69868*$E$8,'Debt &amp; Cost of Capital'!$C$38)</f>
        <v>5.0807919999999999E-2</v>
      </c>
      <c r="E448" s="207">
        <f>$D$9+-0.08932*$E$9</f>
        <v>0.16454149770254634</v>
      </c>
      <c r="F448" s="207">
        <f>$D$10+-1.598052*$E$10</f>
        <v>0.1258233759999999</v>
      </c>
      <c r="G448" s="208">
        <f>$F448*(1-'Sensitivity &amp; Scenarios'!$C$12)+'Sensitivity &amp; Scenarios'!$C$9*'Sensitivity &amp; Scenarios'!$C$12-'Sensitivity &amp; Scenarios'!$C$10</f>
        <v>6.3349050349264635E-2</v>
      </c>
      <c r="H448" s="209">
        <f>('Sensitivity &amp; Scenarios'!$C$6*(1+$E448)^1*$G448+'Sensitivity &amp; Scenarios'!$C$11*'Sensitivity &amp; Scenarios'!$C$6*((1+$E448)^1-(1+$E448)^0))*'Sensitivity &amp; Scenarios'!$C$18/(1+$C448)^'Sensitivity &amp; Scenarios'!$C$18+('Sensitivity &amp; Scenarios'!$C$6*(1+$E448)^2*$G448+'Sensitivity &amp; Scenarios'!$C$11*'Sensitivity &amp; Scenarios'!$C$6*((1+$E448)^2-(1+$E448)^1))/(1+$C448)^('Sensitivity &amp; Scenarios'!$C$18+1)+('Sensitivity &amp; Scenarios'!$C$6*(1+$E448)^3*$G448+'Sensitivity &amp; Scenarios'!$C$11*'Sensitivity &amp; Scenarios'!$C$6*((1+$E448)^3-(1+$E448)^2))/(1+$C448)^('Sensitivity &amp; Scenarios'!$C$18+2)+('Sensitivity &amp; Scenarios'!$C$6*(1+$E448)^4*$G448+'Sensitivity &amp; Scenarios'!$C$11*'Sensitivity &amp; Scenarios'!$C$6*((1+$E448)^4-(1+$E448)^3))/(1+$C448)^('Sensitivity &amp; Scenarios'!$C$18+3)+('Sensitivity &amp; Scenarios'!$C$6*(1+$E448)^5*$G448+'Sensitivity &amp; Scenarios'!$C$11*'Sensitivity &amp; Scenarios'!$C$6*((1+$E448)^5-(1+$E448)^4))/(1+$C448)^('Sensitivity &amp; Scenarios'!$C$18+4)</f>
        <v>19379.86641477386</v>
      </c>
      <c r="I448" s="209">
        <f>('Sensitivity &amp; Scenarios'!$C$6*(1+$E448)^5*$G448+'Sensitivity &amp; Scenarios'!$C$11*'Sensitivity &amp; Scenarios'!$C$6*((1+$E448)^5-(1+$E448)^4))*(1+$D448)/($C448-$D448)/(1+$C448)^('Sensitivity &amp; Scenarios'!$C$18+4)</f>
        <v>50990.640700524971</v>
      </c>
      <c r="J448" s="209">
        <f>($H448+$I448-'Sensitivity &amp; Scenarios'!$C$15+'Sensitivity &amp; Scenarios'!$C$16)/'Sensitivity &amp; Scenarios'!$C$17</f>
        <v>1767.7742281273358</v>
      </c>
    </row>
    <row r="449" spans="2:10" x14ac:dyDescent="0.3">
      <c r="B449" s="127">
        <v>419</v>
      </c>
      <c r="C449" s="206">
        <f>$D$7+0.135123*$E$7</f>
        <v>0.13890348943997799</v>
      </c>
      <c r="D449" s="206">
        <f>MIN($D$8+0.450021*$E$8,'Debt &amp; Cost of Capital'!$C$38)</f>
        <v>5.7700125999999997E-2</v>
      </c>
      <c r="E449" s="207">
        <f>$D$9+-0.227419*$E$9</f>
        <v>0.16039852770254634</v>
      </c>
      <c r="F449" s="207">
        <f>$D$10+-1.615051*$E$10</f>
        <v>0.12561938799999992</v>
      </c>
      <c r="G449" s="208">
        <f>$F449*(1-'Sensitivity &amp; Scenarios'!$C$12)+'Sensitivity &amp; Scenarios'!$C$9*'Sensitivity &amp; Scenarios'!$C$12-'Sensitivity &amp; Scenarios'!$C$10</f>
        <v>6.3196406128864638E-2</v>
      </c>
      <c r="H449" s="209">
        <f>('Sensitivity &amp; Scenarios'!$C$6*(1+$E449)^1*$G449+'Sensitivity &amp; Scenarios'!$C$11*'Sensitivity &amp; Scenarios'!$C$6*((1+$E449)^1-(1+$E449)^0))*'Sensitivity &amp; Scenarios'!$C$18/(1+$C449)^'Sensitivity &amp; Scenarios'!$C$18+('Sensitivity &amp; Scenarios'!$C$6*(1+$E449)^2*$G449+'Sensitivity &amp; Scenarios'!$C$11*'Sensitivity &amp; Scenarios'!$C$6*((1+$E449)^2-(1+$E449)^1))/(1+$C449)^('Sensitivity &amp; Scenarios'!$C$18+1)+('Sensitivity &amp; Scenarios'!$C$6*(1+$E449)^3*$G449+'Sensitivity &amp; Scenarios'!$C$11*'Sensitivity &amp; Scenarios'!$C$6*((1+$E449)^3-(1+$E449)^2))/(1+$C449)^('Sensitivity &amp; Scenarios'!$C$18+2)+('Sensitivity &amp; Scenarios'!$C$6*(1+$E449)^4*$G449+'Sensitivity &amp; Scenarios'!$C$11*'Sensitivity &amp; Scenarios'!$C$6*((1+$E449)^4-(1+$E449)^3))/(1+$C449)^('Sensitivity &amp; Scenarios'!$C$18+3)+('Sensitivity &amp; Scenarios'!$C$6*(1+$E449)^5*$G449+'Sensitivity &amp; Scenarios'!$C$11*'Sensitivity &amp; Scenarios'!$C$6*((1+$E449)^5-(1+$E449)^4))/(1+$C449)^('Sensitivity &amp; Scenarios'!$C$18+4)</f>
        <v>19110.991237732371</v>
      </c>
      <c r="I449" s="209">
        <f>('Sensitivity &amp; Scenarios'!$C$6*(1+$E449)^5*$G449+'Sensitivity &amp; Scenarios'!$C$11*'Sensitivity &amp; Scenarios'!$C$6*((1+$E449)^5-(1+$E449)^4))*(1+$D449)/($C449-$D449)/(1+$C449)^('Sensitivity &amp; Scenarios'!$C$18+4)</f>
        <v>55595.134078325165</v>
      </c>
      <c r="J449" s="209">
        <f>($H449+$I449-'Sensitivity &amp; Scenarios'!$C$15+'Sensitivity &amp; Scenarios'!$C$16)/'Sensitivity &amp; Scenarios'!$C$17</f>
        <v>1859.0336858847299</v>
      </c>
    </row>
    <row r="450" spans="2:10" x14ac:dyDescent="0.3">
      <c r="B450" s="127">
        <v>420</v>
      </c>
      <c r="C450" s="206">
        <f>$D$7+0.988532*$E$7</f>
        <v>0.14743757943997798</v>
      </c>
      <c r="D450" s="206">
        <f>MIN($D$8+0.364525*$E$8,'Debt &amp; Cost of Capital'!$C$38)</f>
        <v>5.7187149999999999E-2</v>
      </c>
      <c r="E450" s="207">
        <f>$D$9+-0.726015*$E$9</f>
        <v>0.14544064770254633</v>
      </c>
      <c r="F450" s="207">
        <f>$D$10+-0.2806*$E$10</f>
        <v>0.14163279999999992</v>
      </c>
      <c r="G450" s="208">
        <f>$F450*(1-'Sensitivity &amp; Scenarios'!$C$12)+'Sensitivity &amp; Scenarios'!$C$9*'Sensitivity &amp; Scenarios'!$C$12-'Sensitivity &amp; Scenarios'!$C$10</f>
        <v>7.5179242328464652E-2</v>
      </c>
      <c r="H450" s="209">
        <f>('Sensitivity &amp; Scenarios'!$C$6*(1+$E450)^1*$G450+'Sensitivity &amp; Scenarios'!$C$11*'Sensitivity &amp; Scenarios'!$C$6*((1+$E450)^1-(1+$E450)^0))*'Sensitivity &amp; Scenarios'!$C$18/(1+$C450)^'Sensitivity &amp; Scenarios'!$C$18+('Sensitivity &amp; Scenarios'!$C$6*(1+$E450)^2*$G450+'Sensitivity &amp; Scenarios'!$C$11*'Sensitivity &amp; Scenarios'!$C$6*((1+$E450)^2-(1+$E450)^1))/(1+$C450)^('Sensitivity &amp; Scenarios'!$C$18+1)+('Sensitivity &amp; Scenarios'!$C$6*(1+$E450)^3*$G450+'Sensitivity &amp; Scenarios'!$C$11*'Sensitivity &amp; Scenarios'!$C$6*((1+$E450)^3-(1+$E450)^2))/(1+$C450)^('Sensitivity &amp; Scenarios'!$C$18+2)+('Sensitivity &amp; Scenarios'!$C$6*(1+$E450)^4*$G450+'Sensitivity &amp; Scenarios'!$C$11*'Sensitivity &amp; Scenarios'!$C$6*((1+$E450)^4-(1+$E450)^3))/(1+$C450)^('Sensitivity &amp; Scenarios'!$C$18+3)+('Sensitivity &amp; Scenarios'!$C$6*(1+$E450)^5*$G450+'Sensitivity &amp; Scenarios'!$C$11*'Sensitivity &amp; Scenarios'!$C$6*((1+$E450)^5-(1+$E450)^4))/(1+$C450)^('Sensitivity &amp; Scenarios'!$C$18+4)</f>
        <v>20421.123021762825</v>
      </c>
      <c r="I450" s="209">
        <f>('Sensitivity &amp; Scenarios'!$C$6*(1+$E450)^5*$G450+'Sensitivity &amp; Scenarios'!$C$11*'Sensitivity &amp; Scenarios'!$C$6*((1+$E450)^5-(1+$E450)^4))*(1+$D450)/($C450-$D450)/(1+$C450)^('Sensitivity &amp; Scenarios'!$C$18+4)</f>
        <v>51467.990773053018</v>
      </c>
      <c r="J450" s="209">
        <f>($H450+$I450-'Sensitivity &amp; Scenarios'!$C$15+'Sensitivity &amp; Scenarios'!$C$16)/'Sensitivity &amp; Scenarios'!$C$17</f>
        <v>1799.7390404568043</v>
      </c>
    </row>
    <row r="451" spans="2:10" x14ac:dyDescent="0.3">
      <c r="B451" s="127">
        <v>421</v>
      </c>
      <c r="C451" s="206">
        <f>$D$7+-1.500669*$E$7</f>
        <v>0.12254556943997798</v>
      </c>
      <c r="D451" s="206">
        <f>MIN($D$8+-1.02541*$E$8,'Debt &amp; Cost of Capital'!$C$38)</f>
        <v>4.8847540000000002E-2</v>
      </c>
      <c r="E451" s="207">
        <f>$D$9+-0.537811*$E$9</f>
        <v>0.15108676770254634</v>
      </c>
      <c r="F451" s="207">
        <f>$D$10+1.228421*$E$10</f>
        <v>0.15974105199999991</v>
      </c>
      <c r="G451" s="208">
        <f>$F451*(1-'Sensitivity &amp; Scenarios'!$C$12)+'Sensitivity &amp; Scenarios'!$C$9*'Sensitivity &amp; Scenarios'!$C$12-'Sensitivity &amp; Scenarios'!$C$10</f>
        <v>8.8729647300064635E-2</v>
      </c>
      <c r="H451" s="209">
        <f>('Sensitivity &amp; Scenarios'!$C$6*(1+$E451)^1*$G451+'Sensitivity &amp; Scenarios'!$C$11*'Sensitivity &amp; Scenarios'!$C$6*((1+$E451)^1-(1+$E451)^0))*'Sensitivity &amp; Scenarios'!$C$18/(1+$C451)^'Sensitivity &amp; Scenarios'!$C$18+('Sensitivity &amp; Scenarios'!$C$6*(1+$E451)^2*$G451+'Sensitivity &amp; Scenarios'!$C$11*'Sensitivity &amp; Scenarios'!$C$6*((1+$E451)^2-(1+$E451)^1))/(1+$C451)^('Sensitivity &amp; Scenarios'!$C$18+1)+('Sensitivity &amp; Scenarios'!$C$6*(1+$E451)^3*$G451+'Sensitivity &amp; Scenarios'!$C$11*'Sensitivity &amp; Scenarios'!$C$6*((1+$E451)^3-(1+$E451)^2))/(1+$C451)^('Sensitivity &amp; Scenarios'!$C$18+2)+('Sensitivity &amp; Scenarios'!$C$6*(1+$E451)^4*$G451+'Sensitivity &amp; Scenarios'!$C$11*'Sensitivity &amp; Scenarios'!$C$6*((1+$E451)^4-(1+$E451)^3))/(1+$C451)^('Sensitivity &amp; Scenarios'!$C$18+3)+('Sensitivity &amp; Scenarios'!$C$6*(1+$E451)^5*$G451+'Sensitivity &amp; Scenarios'!$C$11*'Sensitivity &amp; Scenarios'!$C$6*((1+$E451)^5-(1+$E451)^4))/(1+$C451)^('Sensitivity &amp; Scenarios'!$C$18+4)</f>
        <v>25532.904451134087</v>
      </c>
      <c r="I451" s="209">
        <f>('Sensitivity &amp; Scenarios'!$C$6*(1+$E451)^5*$G451+'Sensitivity &amp; Scenarios'!$C$11*'Sensitivity &amp; Scenarios'!$C$6*((1+$E451)^5-(1+$E451)^4))*(1+$D451)/($C451-$D451)/(1+$C451)^('Sensitivity &amp; Scenarios'!$C$18+4)</f>
        <v>82098.956404454424</v>
      </c>
      <c r="J451" s="209">
        <f>($H451+$I451-'Sensitivity &amp; Scenarios'!$C$15+'Sensitivity &amp; Scenarios'!$C$16)/'Sensitivity &amp; Scenarios'!$C$17</f>
        <v>2552.0801287369022</v>
      </c>
    </row>
    <row r="452" spans="2:10" x14ac:dyDescent="0.3">
      <c r="B452" s="127">
        <v>422</v>
      </c>
      <c r="C452" s="206">
        <f>$D$7+-0.639503*$E$7</f>
        <v>0.13115722943997798</v>
      </c>
      <c r="D452" s="206">
        <f>MIN($D$8+0.640214*$E$8,'Debt &amp; Cost of Capital'!$C$38)</f>
        <v>5.8841284000000001E-2</v>
      </c>
      <c r="E452" s="207">
        <f>$D$9+-0.538316*$E$9</f>
        <v>0.15107161770254635</v>
      </c>
      <c r="F452" s="207">
        <f>$D$10+0.247948*$E$10</f>
        <v>0.14797537599999991</v>
      </c>
      <c r="G452" s="208">
        <f>$F452*(1-'Sensitivity &amp; Scenarios'!$C$12)+'Sensitivity &amp; Scenarios'!$C$9*'Sensitivity &amp; Scenarios'!$C$12-'Sensitivity &amp; Scenarios'!$C$10</f>
        <v>7.9925391949264638E-2</v>
      </c>
      <c r="H452" s="209">
        <f>('Sensitivity &amp; Scenarios'!$C$6*(1+$E452)^1*$G452+'Sensitivity &amp; Scenarios'!$C$11*'Sensitivity &amp; Scenarios'!$C$6*((1+$E452)^1-(1+$E452)^0))*'Sensitivity &amp; Scenarios'!$C$18/(1+$C452)^'Sensitivity &amp; Scenarios'!$C$18+('Sensitivity &amp; Scenarios'!$C$6*(1+$E452)^2*$G452+'Sensitivity &amp; Scenarios'!$C$11*'Sensitivity &amp; Scenarios'!$C$6*((1+$E452)^2-(1+$E452)^1))/(1+$C452)^('Sensitivity &amp; Scenarios'!$C$18+1)+('Sensitivity &amp; Scenarios'!$C$6*(1+$E452)^3*$G452+'Sensitivity &amp; Scenarios'!$C$11*'Sensitivity &amp; Scenarios'!$C$6*((1+$E452)^3-(1+$E452)^2))/(1+$C452)^('Sensitivity &amp; Scenarios'!$C$18+2)+('Sensitivity &amp; Scenarios'!$C$6*(1+$E452)^4*$G452+'Sensitivity &amp; Scenarios'!$C$11*'Sensitivity &amp; Scenarios'!$C$6*((1+$E452)^4-(1+$E452)^3))/(1+$C452)^('Sensitivity &amp; Scenarios'!$C$18+3)+('Sensitivity &amp; Scenarios'!$C$6*(1+$E452)^5*$G452+'Sensitivity &amp; Scenarios'!$C$11*'Sensitivity &amp; Scenarios'!$C$6*((1+$E452)^5-(1+$E452)^4))/(1+$C452)^('Sensitivity &amp; Scenarios'!$C$18+4)</f>
        <v>22853.020904231857</v>
      </c>
      <c r="I452" s="209">
        <f>('Sensitivity &amp; Scenarios'!$C$6*(1+$E452)^5*$G452+'Sensitivity &amp; Scenarios'!$C$11*'Sensitivity &amp; Scenarios'!$C$6*((1+$E452)^5-(1+$E452)^4))*(1+$D452)/($C452-$D452)/(1+$C452)^('Sensitivity &amp; Scenarios'!$C$18+4)</f>
        <v>74563.648423430976</v>
      </c>
      <c r="J452" s="209">
        <f>($H452+$I452-'Sensitivity &amp; Scenarios'!$C$15+'Sensitivity &amp; Scenarios'!$C$16)/'Sensitivity &amp; Scenarios'!$C$17</f>
        <v>2337.0628471037339</v>
      </c>
    </row>
    <row r="453" spans="2:10" x14ac:dyDescent="0.3">
      <c r="B453" s="127">
        <v>423</v>
      </c>
      <c r="C453" s="206">
        <f>$D$7+-0.141396*$E$7</f>
        <v>0.13613829943997799</v>
      </c>
      <c r="D453" s="206">
        <f>MIN($D$8+0.873057*$E$8,'Debt &amp; Cost of Capital'!$C$38)</f>
        <v>6.0238342E-2</v>
      </c>
      <c r="E453" s="207">
        <f>$D$9+-0.534811*$E$9</f>
        <v>0.15117676770254634</v>
      </c>
      <c r="F453" s="207">
        <f>$D$10+-1.572528*$E$10</f>
        <v>0.12612966399999992</v>
      </c>
      <c r="G453" s="208">
        <f>$F453*(1-'Sensitivity &amp; Scenarios'!$C$12)+'Sensitivity &amp; Scenarios'!$C$9*'Sensitivity &amp; Scenarios'!$C$12-'Sensitivity &amp; Scenarios'!$C$10</f>
        <v>6.3578245659664648E-2</v>
      </c>
      <c r="H453" s="209">
        <f>('Sensitivity &amp; Scenarios'!$C$6*(1+$E453)^1*$G453+'Sensitivity &amp; Scenarios'!$C$11*'Sensitivity &amp; Scenarios'!$C$6*((1+$E453)^1-(1+$E453)^0))*'Sensitivity &amp; Scenarios'!$C$18/(1+$C453)^'Sensitivity &amp; Scenarios'!$C$18+('Sensitivity &amp; Scenarios'!$C$6*(1+$E453)^2*$G453+'Sensitivity &amp; Scenarios'!$C$11*'Sensitivity &amp; Scenarios'!$C$6*((1+$E453)^2-(1+$E453)^1))/(1+$C453)^('Sensitivity &amp; Scenarios'!$C$18+1)+('Sensitivity &amp; Scenarios'!$C$6*(1+$E453)^3*$G453+'Sensitivity &amp; Scenarios'!$C$11*'Sensitivity &amp; Scenarios'!$C$6*((1+$E453)^3-(1+$E453)^2))/(1+$C453)^('Sensitivity &amp; Scenarios'!$C$18+2)+('Sensitivity &amp; Scenarios'!$C$6*(1+$E453)^4*$G453+'Sensitivity &amp; Scenarios'!$C$11*'Sensitivity &amp; Scenarios'!$C$6*((1+$E453)^4-(1+$E453)^3))/(1+$C453)^('Sensitivity &amp; Scenarios'!$C$18+3)+('Sensitivity &amp; Scenarios'!$C$6*(1+$E453)^5*$G453+'Sensitivity &amp; Scenarios'!$C$11*'Sensitivity &amp; Scenarios'!$C$6*((1+$E453)^5-(1+$E453)^4))/(1+$C453)^('Sensitivity &amp; Scenarios'!$C$18+4)</f>
        <v>18668.933207128513</v>
      </c>
      <c r="I453" s="209">
        <f>('Sensitivity &amp; Scenarios'!$C$6*(1+$E453)^5*$G453+'Sensitivity &amp; Scenarios'!$C$11*'Sensitivity &amp; Scenarios'!$C$6*((1+$E453)^5-(1+$E453)^4))*(1+$D453)/($C453-$D453)/(1+$C453)^('Sensitivity &amp; Scenarios'!$C$18+4)</f>
        <v>57660.594895916474</v>
      </c>
      <c r="J453" s="209">
        <f>($H453+$I453-'Sensitivity &amp; Scenarios'!$C$15+'Sensitivity &amp; Scenarios'!$C$16)/'Sensitivity &amp; Scenarios'!$C$17</f>
        <v>1893.2043280405342</v>
      </c>
    </row>
    <row r="454" spans="2:10" x14ac:dyDescent="0.3">
      <c r="B454" s="127">
        <v>424</v>
      </c>
      <c r="C454" s="206">
        <f>$D$7+-1.381949*$E$7</f>
        <v>0.12373276943997798</v>
      </c>
      <c r="D454" s="206">
        <f>MIN($D$8+-0.531877*$E$8,'Debt &amp; Cost of Capital'!$C$38)</f>
        <v>5.1808738E-2</v>
      </c>
      <c r="E454" s="207">
        <f>$D$9+-1.24906*$E$9</f>
        <v>0.12974929770254634</v>
      </c>
      <c r="F454" s="207">
        <f>$D$10+0.410212*$E$10</f>
        <v>0.14992254399999991</v>
      </c>
      <c r="G454" s="208">
        <f>$F454*(1-'Sensitivity &amp; Scenarios'!$C$12)+'Sensitivity &amp; Scenarios'!$C$9*'Sensitivity &amp; Scenarios'!$C$12-'Sensitivity &amp; Scenarios'!$C$10</f>
        <v>8.1382457763664637E-2</v>
      </c>
      <c r="H454" s="209">
        <f>('Sensitivity &amp; Scenarios'!$C$6*(1+$E454)^1*$G454+'Sensitivity &amp; Scenarios'!$C$11*'Sensitivity &amp; Scenarios'!$C$6*((1+$E454)^1-(1+$E454)^0))*'Sensitivity &amp; Scenarios'!$C$18/(1+$C454)^'Sensitivity &amp; Scenarios'!$C$18+('Sensitivity &amp; Scenarios'!$C$6*(1+$E454)^2*$G454+'Sensitivity &amp; Scenarios'!$C$11*'Sensitivity &amp; Scenarios'!$C$6*((1+$E454)^2-(1+$E454)^1))/(1+$C454)^('Sensitivity &amp; Scenarios'!$C$18+1)+('Sensitivity &amp; Scenarios'!$C$6*(1+$E454)^3*$G454+'Sensitivity &amp; Scenarios'!$C$11*'Sensitivity &amp; Scenarios'!$C$6*((1+$E454)^3-(1+$E454)^2))/(1+$C454)^('Sensitivity &amp; Scenarios'!$C$18+2)+('Sensitivity &amp; Scenarios'!$C$6*(1+$E454)^4*$G454+'Sensitivity &amp; Scenarios'!$C$11*'Sensitivity &amp; Scenarios'!$C$6*((1+$E454)^4-(1+$E454)^3))/(1+$C454)^('Sensitivity &amp; Scenarios'!$C$18+3)+('Sensitivity &amp; Scenarios'!$C$6*(1+$E454)^5*$G454+'Sensitivity &amp; Scenarios'!$C$11*'Sensitivity &amp; Scenarios'!$C$6*((1+$E454)^5-(1+$E454)^4))/(1+$C454)^('Sensitivity &amp; Scenarios'!$C$18+4)</f>
        <v>21856.081531003008</v>
      </c>
      <c r="I454" s="209">
        <f>('Sensitivity &amp; Scenarios'!$C$6*(1+$E454)^5*$G454+'Sensitivity &amp; Scenarios'!$C$11*'Sensitivity &amp; Scenarios'!$C$6*((1+$E454)^5-(1+$E454)^4))*(1+$D454)/($C454-$D454)/(1+$C454)^('Sensitivity &amp; Scenarios'!$C$18+4)</f>
        <v>69669.645637534995</v>
      </c>
      <c r="J454" s="209">
        <f>($H454+$I454-'Sensitivity &amp; Scenarios'!$C$15+'Sensitivity &amp; Scenarios'!$C$16)/'Sensitivity &amp; Scenarios'!$C$17</f>
        <v>2213.0657232269527</v>
      </c>
    </row>
    <row r="455" spans="2:10" x14ac:dyDescent="0.3">
      <c r="B455" s="127">
        <v>425</v>
      </c>
      <c r="C455" s="206">
        <f>$D$7+-0.465768*$E$7</f>
        <v>0.13289457943997798</v>
      </c>
      <c r="D455" s="206">
        <f>MIN($D$8+2.374607*$E$8,'Debt &amp; Cost of Capital'!$C$38)</f>
        <v>6.7799999999999999E-2</v>
      </c>
      <c r="E455" s="207">
        <f>$D$9+-1.737715*$E$9</f>
        <v>0.11508964770254634</v>
      </c>
      <c r="F455" s="207">
        <f>$D$10+0.203633*$E$10</f>
        <v>0.1474435959999999</v>
      </c>
      <c r="G455" s="208">
        <f>$F455*(1-'Sensitivity &amp; Scenarios'!$C$12)+'Sensitivity &amp; Scenarios'!$C$9*'Sensitivity &amp; Scenarios'!$C$12-'Sensitivity &amp; Scenarios'!$C$10</f>
        <v>7.9527460975264627E-2</v>
      </c>
      <c r="H455" s="209">
        <f>('Sensitivity &amp; Scenarios'!$C$6*(1+$E455)^1*$G455+'Sensitivity &amp; Scenarios'!$C$11*'Sensitivity &amp; Scenarios'!$C$6*((1+$E455)^1-(1+$E455)^0))*'Sensitivity &amp; Scenarios'!$C$18/(1+$C455)^'Sensitivity &amp; Scenarios'!$C$18+('Sensitivity &amp; Scenarios'!$C$6*(1+$E455)^2*$G455+'Sensitivity &amp; Scenarios'!$C$11*'Sensitivity &amp; Scenarios'!$C$6*((1+$E455)^2-(1+$E455)^1))/(1+$C455)^('Sensitivity &amp; Scenarios'!$C$18+1)+('Sensitivity &amp; Scenarios'!$C$6*(1+$E455)^3*$G455+'Sensitivity &amp; Scenarios'!$C$11*'Sensitivity &amp; Scenarios'!$C$6*((1+$E455)^3-(1+$E455)^2))/(1+$C455)^('Sensitivity &amp; Scenarios'!$C$18+2)+('Sensitivity &amp; Scenarios'!$C$6*(1+$E455)^4*$G455+'Sensitivity &amp; Scenarios'!$C$11*'Sensitivity &amp; Scenarios'!$C$6*((1+$E455)^4-(1+$E455)^3))/(1+$C455)^('Sensitivity &amp; Scenarios'!$C$18+3)+('Sensitivity &amp; Scenarios'!$C$6*(1+$E455)^5*$G455+'Sensitivity &amp; Scenarios'!$C$11*'Sensitivity &amp; Scenarios'!$C$6*((1+$E455)^5-(1+$E455)^4))/(1+$C455)^('Sensitivity &amp; Scenarios'!$C$18+4)</f>
        <v>19823.106532550155</v>
      </c>
      <c r="I455" s="209">
        <f>('Sensitivity &amp; Scenarios'!$C$6*(1+$E455)^5*$G455+'Sensitivity &amp; Scenarios'!$C$11*'Sensitivity &amp; Scenarios'!$C$6*((1+$E455)^5-(1+$E455)^4))*(1+$D455)/($C455-$D455)/(1+$C455)^('Sensitivity &amp; Scenarios'!$C$18+4)</f>
        <v>68155.032913249714</v>
      </c>
      <c r="J455" s="209">
        <f>($H455+$I455-'Sensitivity &amp; Scenarios'!$C$15+'Sensitivity &amp; Scenarios'!$C$16)/'Sensitivity &amp; Scenarios'!$C$17</f>
        <v>2138.3933427421548</v>
      </c>
    </row>
    <row r="456" spans="2:10" x14ac:dyDescent="0.3">
      <c r="B456" s="127">
        <v>426</v>
      </c>
      <c r="C456" s="206">
        <f>$D$7+-1.127953*$E$7</f>
        <v>0.12627272943997797</v>
      </c>
      <c r="D456" s="206">
        <f>MIN($D$8+-0.493401*$E$8,'Debt &amp; Cost of Capital'!$C$38)</f>
        <v>5.2039594000000002E-2</v>
      </c>
      <c r="E456" s="207">
        <f>$D$9+0.141419*$E$9</f>
        <v>0.17146366770254634</v>
      </c>
      <c r="F456" s="207">
        <f>$D$10+-2.325371*$E$10</f>
        <v>0.11709554799999991</v>
      </c>
      <c r="G456" s="208">
        <f>$F456*(1-'Sensitivity &amp; Scenarios'!$C$12)+'Sensitivity &amp; Scenarios'!$C$9*'Sensitivity &amp; Scenarios'!$C$12-'Sensitivity &amp; Scenarios'!$C$10</f>
        <v>5.6818016656864645E-2</v>
      </c>
      <c r="H456" s="209">
        <f>('Sensitivity &amp; Scenarios'!$C$6*(1+$E456)^1*$G456+'Sensitivity &amp; Scenarios'!$C$11*'Sensitivity &amp; Scenarios'!$C$6*((1+$E456)^1-(1+$E456)^0))*'Sensitivity &amp; Scenarios'!$C$18/(1+$C456)^'Sensitivity &amp; Scenarios'!$C$18+('Sensitivity &amp; Scenarios'!$C$6*(1+$E456)^2*$G456+'Sensitivity &amp; Scenarios'!$C$11*'Sensitivity &amp; Scenarios'!$C$6*((1+$E456)^2-(1+$E456)^1))/(1+$C456)^('Sensitivity &amp; Scenarios'!$C$18+1)+('Sensitivity &amp; Scenarios'!$C$6*(1+$E456)^3*$G456+'Sensitivity &amp; Scenarios'!$C$11*'Sensitivity &amp; Scenarios'!$C$6*((1+$E456)^3-(1+$E456)^2))/(1+$C456)^('Sensitivity &amp; Scenarios'!$C$18+2)+('Sensitivity &amp; Scenarios'!$C$6*(1+$E456)^4*$G456+'Sensitivity &amp; Scenarios'!$C$11*'Sensitivity &amp; Scenarios'!$C$6*((1+$E456)^4-(1+$E456)^3))/(1+$C456)^('Sensitivity &amp; Scenarios'!$C$18+3)+('Sensitivity &amp; Scenarios'!$C$6*(1+$E456)^5*$G456+'Sensitivity &amp; Scenarios'!$C$11*'Sensitivity &amp; Scenarios'!$C$6*((1+$E456)^5-(1+$E456)^4))/(1+$C456)^('Sensitivity &amp; Scenarios'!$C$18+4)</f>
        <v>18914.974221188757</v>
      </c>
      <c r="I456" s="209">
        <f>('Sensitivity &amp; Scenarios'!$C$6*(1+$E456)^5*$G456+'Sensitivity &amp; Scenarios'!$C$11*'Sensitivity &amp; Scenarios'!$C$6*((1+$E456)^5-(1+$E456)^4))*(1+$D456)/($C456-$D456)/(1+$C456)^('Sensitivity &amp; Scenarios'!$C$18+4)</f>
        <v>62121.622677822575</v>
      </c>
      <c r="J456" s="209">
        <f>($H456+$I456-'Sensitivity &amp; Scenarios'!$C$15+'Sensitivity &amp; Scenarios'!$C$16)/'Sensitivity &amp; Scenarios'!$C$17</f>
        <v>1992.2823662938717</v>
      </c>
    </row>
    <row r="457" spans="2:10" x14ac:dyDescent="0.3">
      <c r="B457" s="127">
        <v>427</v>
      </c>
      <c r="C457" s="206">
        <f>$D$7+0.236826*$E$7</f>
        <v>0.13992051943997799</v>
      </c>
      <c r="D457" s="206">
        <f>MIN($D$8+1.902907*$E$8,'Debt &amp; Cost of Capital'!$C$38)</f>
        <v>6.6417441999999993E-2</v>
      </c>
      <c r="E457" s="207">
        <f>$D$9+-0.453438*$E$9</f>
        <v>0.15361795770254633</v>
      </c>
      <c r="F457" s="207">
        <f>$D$10+0.259808*$E$10</f>
        <v>0.14811769599999991</v>
      </c>
      <c r="G457" s="208">
        <f>$F457*(1-'Sensitivity &amp; Scenarios'!$C$12)+'Sensitivity &amp; Scenarios'!$C$9*'Sensitivity &amp; Scenarios'!$C$12-'Sensitivity &amp; Scenarios'!$C$10</f>
        <v>8.0031890005264644E-2</v>
      </c>
      <c r="H457" s="209">
        <f>('Sensitivity &amp; Scenarios'!$C$6*(1+$E457)^1*$G457+'Sensitivity &amp; Scenarios'!$C$11*'Sensitivity &amp; Scenarios'!$C$6*((1+$E457)^1-(1+$E457)^0))*'Sensitivity &amp; Scenarios'!$C$18/(1+$C457)^'Sensitivity &amp; Scenarios'!$C$18+('Sensitivity &amp; Scenarios'!$C$6*(1+$E457)^2*$G457+'Sensitivity &amp; Scenarios'!$C$11*'Sensitivity &amp; Scenarios'!$C$6*((1+$E457)^2-(1+$E457)^1))/(1+$C457)^('Sensitivity &amp; Scenarios'!$C$18+1)+('Sensitivity &amp; Scenarios'!$C$6*(1+$E457)^3*$G457+'Sensitivity &amp; Scenarios'!$C$11*'Sensitivity &amp; Scenarios'!$C$6*((1+$E457)^3-(1+$E457)^2))/(1+$C457)^('Sensitivity &amp; Scenarios'!$C$18+2)+('Sensitivity &amp; Scenarios'!$C$6*(1+$E457)^4*$G457+'Sensitivity &amp; Scenarios'!$C$11*'Sensitivity &amp; Scenarios'!$C$6*((1+$E457)^4-(1+$E457)^3))/(1+$C457)^('Sensitivity &amp; Scenarios'!$C$18+3)+('Sensitivity &amp; Scenarios'!$C$6*(1+$E457)^5*$G457+'Sensitivity &amp; Scenarios'!$C$11*'Sensitivity &amp; Scenarios'!$C$6*((1+$E457)^5-(1+$E457)^4))/(1+$C457)^('Sensitivity &amp; Scenarios'!$C$18+4)</f>
        <v>22595.079931978289</v>
      </c>
      <c r="I457" s="209">
        <f>('Sensitivity &amp; Scenarios'!$C$6*(1+$E457)^5*$G457+'Sensitivity &amp; Scenarios'!$C$11*'Sensitivity &amp; Scenarios'!$C$6*((1+$E457)^5-(1+$E457)^4))*(1+$D457)/($C457-$D457)/(1+$C457)^('Sensitivity &amp; Scenarios'!$C$18+4)</f>
        <v>72323.818787714583</v>
      </c>
      <c r="J457" s="209">
        <f>($H457+$I457-'Sensitivity &amp; Scenarios'!$C$15+'Sensitivity &amp; Scenarios'!$C$16)/'Sensitivity &amp; Scenarios'!$C$17</f>
        <v>2284.4878322544546</v>
      </c>
    </row>
    <row r="458" spans="2:10" x14ac:dyDescent="0.3">
      <c r="B458" s="127">
        <v>428</v>
      </c>
      <c r="C458" s="206">
        <f>$D$7+1.024922*$E$7</f>
        <v>0.14780147943997798</v>
      </c>
      <c r="D458" s="206">
        <f>MIN($D$8+-0.163954*$E$8,'Debt &amp; Cost of Capital'!$C$38)</f>
        <v>5.4016276000000002E-2</v>
      </c>
      <c r="E458" s="207">
        <f>$D$9+-0.58096*$E$9</f>
        <v>0.14979229770254635</v>
      </c>
      <c r="F458" s="207">
        <f>$D$10+-2.275736*$E$10</f>
        <v>0.1176911679999999</v>
      </c>
      <c r="G458" s="208">
        <f>$F458*(1-'Sensitivity &amp; Scenarios'!$C$12)+'Sensitivity &amp; Scenarios'!$C$9*'Sensitivity &amp; Scenarios'!$C$12-'Sensitivity &amp; Scenarios'!$C$10</f>
        <v>5.7263719102864638E-2</v>
      </c>
      <c r="H458" s="209">
        <f>('Sensitivity &amp; Scenarios'!$C$6*(1+$E458)^1*$G458+'Sensitivity &amp; Scenarios'!$C$11*'Sensitivity &amp; Scenarios'!$C$6*((1+$E458)^1-(1+$E458)^0))*'Sensitivity &amp; Scenarios'!$C$18/(1+$C458)^'Sensitivity &amp; Scenarios'!$C$18+('Sensitivity &amp; Scenarios'!$C$6*(1+$E458)^2*$G458+'Sensitivity &amp; Scenarios'!$C$11*'Sensitivity &amp; Scenarios'!$C$6*((1+$E458)^2-(1+$E458)^1))/(1+$C458)^('Sensitivity &amp; Scenarios'!$C$18+1)+('Sensitivity &amp; Scenarios'!$C$6*(1+$E458)^3*$G458+'Sensitivity &amp; Scenarios'!$C$11*'Sensitivity &amp; Scenarios'!$C$6*((1+$E458)^3-(1+$E458)^2))/(1+$C458)^('Sensitivity &amp; Scenarios'!$C$18+2)+('Sensitivity &amp; Scenarios'!$C$6*(1+$E458)^4*$G458+'Sensitivity &amp; Scenarios'!$C$11*'Sensitivity &amp; Scenarios'!$C$6*((1+$E458)^4-(1+$E458)^3))/(1+$C458)^('Sensitivity &amp; Scenarios'!$C$18+3)+('Sensitivity &amp; Scenarios'!$C$6*(1+$E458)^5*$G458+'Sensitivity &amp; Scenarios'!$C$11*'Sensitivity &amp; Scenarios'!$C$6*((1+$E458)^5-(1+$E458)^4))/(1+$C458)^('Sensitivity &amp; Scenarios'!$C$18+4)</f>
        <v>16583.316333410941</v>
      </c>
      <c r="I458" s="209">
        <f>('Sensitivity &amp; Scenarios'!$C$6*(1+$E458)^5*$G458+'Sensitivity &amp; Scenarios'!$C$11*'Sensitivity &amp; Scenarios'!$C$6*((1+$E458)^5-(1+$E458)^4))*(1+$D458)/($C458-$D458)/(1+$C458)^('Sensitivity &amp; Scenarios'!$C$18+4)</f>
        <v>40356.95594541126</v>
      </c>
      <c r="J458" s="209">
        <f>($H458+$I458-'Sensitivity &amp; Scenarios'!$C$15+'Sensitivity &amp; Scenarios'!$C$16)/'Sensitivity &amp; Scenarios'!$C$17</f>
        <v>1485.0842190031835</v>
      </c>
    </row>
    <row r="459" spans="2:10" x14ac:dyDescent="0.3">
      <c r="B459" s="127">
        <v>429</v>
      </c>
      <c r="C459" s="206">
        <f>$D$7+0.640991*$E$7</f>
        <v>0.14396216943997797</v>
      </c>
      <c r="D459" s="206">
        <f>MIN($D$8+-0.113168*$E$8,'Debt &amp; Cost of Capital'!$C$38)</f>
        <v>5.4320991999999999E-2</v>
      </c>
      <c r="E459" s="207">
        <f>$D$9+-1.012684*$E$9</f>
        <v>0.13684057770254635</v>
      </c>
      <c r="F459" s="207">
        <f>$D$10+0.126597*$E$10</f>
        <v>0.1465191639999999</v>
      </c>
      <c r="G459" s="208">
        <f>$F459*(1-'Sensitivity &amp; Scenarios'!$C$12)+'Sensitivity &amp; Scenarios'!$C$9*'Sensitivity &amp; Scenarios'!$C$12-'Sensitivity &amp; Scenarios'!$C$10</f>
        <v>7.8835708509664634E-2</v>
      </c>
      <c r="H459" s="209">
        <f>('Sensitivity &amp; Scenarios'!$C$6*(1+$E459)^1*$G459+'Sensitivity &amp; Scenarios'!$C$11*'Sensitivity &amp; Scenarios'!$C$6*((1+$E459)^1-(1+$E459)^0))*'Sensitivity &amp; Scenarios'!$C$18/(1+$C459)^'Sensitivity &amp; Scenarios'!$C$18+('Sensitivity &amp; Scenarios'!$C$6*(1+$E459)^2*$G459+'Sensitivity &amp; Scenarios'!$C$11*'Sensitivity &amp; Scenarios'!$C$6*((1+$E459)^2-(1+$E459)^1))/(1+$C459)^('Sensitivity &amp; Scenarios'!$C$18+1)+('Sensitivity &amp; Scenarios'!$C$6*(1+$E459)^3*$G459+'Sensitivity &amp; Scenarios'!$C$11*'Sensitivity &amp; Scenarios'!$C$6*((1+$E459)^3-(1+$E459)^2))/(1+$C459)^('Sensitivity &amp; Scenarios'!$C$18+2)+('Sensitivity &amp; Scenarios'!$C$6*(1+$E459)^4*$G459+'Sensitivity &amp; Scenarios'!$C$11*'Sensitivity &amp; Scenarios'!$C$6*((1+$E459)^4-(1+$E459)^3))/(1+$C459)^('Sensitivity &amp; Scenarios'!$C$18+3)+('Sensitivity &amp; Scenarios'!$C$6*(1+$E459)^5*$G459+'Sensitivity &amp; Scenarios'!$C$11*'Sensitivity &amp; Scenarios'!$C$6*((1+$E459)^5-(1+$E459)^4))/(1+$C459)^('Sensitivity &amp; Scenarios'!$C$18+4)</f>
        <v>20771.977581844938</v>
      </c>
      <c r="I459" s="209">
        <f>('Sensitivity &amp; Scenarios'!$C$6*(1+$E459)^5*$G459+'Sensitivity &amp; Scenarios'!$C$11*'Sensitivity &amp; Scenarios'!$C$6*((1+$E459)^5-(1+$E459)^4))*(1+$D459)/($C459-$D459)/(1+$C459)^('Sensitivity &amp; Scenarios'!$C$18+4)</f>
        <v>52129.391437924969</v>
      </c>
      <c r="J459" s="209">
        <f>($H459+$I459-'Sensitivity &amp; Scenarios'!$C$15+'Sensitivity &amp; Scenarios'!$C$16)/'Sensitivity &amp; Scenarios'!$C$17</f>
        <v>1821.0457742751166</v>
      </c>
    </row>
    <row r="460" spans="2:10" x14ac:dyDescent="0.3">
      <c r="B460" s="127">
        <v>430</v>
      </c>
      <c r="C460" s="206">
        <f>$D$7+-0.58368*$E$7</f>
        <v>0.13171545943997798</v>
      </c>
      <c r="D460" s="206">
        <f>MIN($D$8+-0.528426*$E$8,'Debt &amp; Cost of Capital'!$C$38)</f>
        <v>5.1829444000000002E-2</v>
      </c>
      <c r="E460" s="207">
        <f>$D$9+0.606291*$E$9</f>
        <v>0.18540982770254633</v>
      </c>
      <c r="F460" s="207">
        <f>$D$10+-1.338382*$E$10</f>
        <v>0.12893941599999992</v>
      </c>
      <c r="G460" s="208">
        <f>$F460*(1-'Sensitivity &amp; Scenarios'!$C$12)+'Sensitivity &amp; Scenarios'!$C$9*'Sensitivity &amp; Scenarios'!$C$12-'Sensitivity &amp; Scenarios'!$C$10</f>
        <v>6.568078308126464E-2</v>
      </c>
      <c r="H460" s="209">
        <f>('Sensitivity &amp; Scenarios'!$C$6*(1+$E460)^1*$G460+'Sensitivity &amp; Scenarios'!$C$11*'Sensitivity &amp; Scenarios'!$C$6*((1+$E460)^1-(1+$E460)^0))*'Sensitivity &amp; Scenarios'!$C$18/(1+$C460)^'Sensitivity &amp; Scenarios'!$C$18+('Sensitivity &amp; Scenarios'!$C$6*(1+$E460)^2*$G460+'Sensitivity &amp; Scenarios'!$C$11*'Sensitivity &amp; Scenarios'!$C$6*((1+$E460)^2-(1+$E460)^1))/(1+$C460)^('Sensitivity &amp; Scenarios'!$C$18+1)+('Sensitivity &amp; Scenarios'!$C$6*(1+$E460)^3*$G460+'Sensitivity &amp; Scenarios'!$C$11*'Sensitivity &amp; Scenarios'!$C$6*((1+$E460)^3-(1+$E460)^2))/(1+$C460)^('Sensitivity &amp; Scenarios'!$C$18+2)+('Sensitivity &amp; Scenarios'!$C$6*(1+$E460)^4*$G460+'Sensitivity &amp; Scenarios'!$C$11*'Sensitivity &amp; Scenarios'!$C$6*((1+$E460)^4-(1+$E460)^3))/(1+$C460)^('Sensitivity &amp; Scenarios'!$C$18+3)+('Sensitivity &amp; Scenarios'!$C$6*(1+$E460)^5*$G460+'Sensitivity &amp; Scenarios'!$C$11*'Sensitivity &amp; Scenarios'!$C$6*((1+$E460)^5-(1+$E460)^4))/(1+$C460)^('Sensitivity &amp; Scenarios'!$C$18+4)</f>
        <v>22033.06355650182</v>
      </c>
      <c r="I460" s="209">
        <f>('Sensitivity &amp; Scenarios'!$C$6*(1+$E460)^5*$G460+'Sensitivity &amp; Scenarios'!$C$11*'Sensitivity &amp; Scenarios'!$C$6*((1+$E460)^5-(1+$E460)^4))*(1+$D460)/($C460-$D460)/(1+$C460)^('Sensitivity &amp; Scenarios'!$C$18+4)</f>
        <v>68065.218877960491</v>
      </c>
      <c r="J460" s="209">
        <f>($H460+$I460-'Sensitivity &amp; Scenarios'!$C$15+'Sensitivity &amp; Scenarios'!$C$16)/'Sensitivity &amp; Scenarios'!$C$17</f>
        <v>2183.0197582968308</v>
      </c>
    </row>
    <row r="461" spans="2:10" x14ac:dyDescent="0.3">
      <c r="B461" s="127">
        <v>431</v>
      </c>
      <c r="C461" s="206">
        <f>$D$7+1.047315*$E$7</f>
        <v>0.148025409439978</v>
      </c>
      <c r="D461" s="206">
        <f>MIN($D$8+-1.397686*$E$8,'Debt &amp; Cost of Capital'!$C$38)</f>
        <v>4.6613884000000001E-2</v>
      </c>
      <c r="E461" s="207">
        <f>$D$9+-0.662701*$E$9</f>
        <v>0.14734006770254635</v>
      </c>
      <c r="F461" s="207">
        <f>$D$10+1.922946*$E$10</f>
        <v>0.1680753519999999</v>
      </c>
      <c r="G461" s="208">
        <f>$F461*(1-'Sensitivity &amp; Scenarios'!$C$12)+'Sensitivity &amp; Scenarios'!$C$9*'Sensitivity &amp; Scenarios'!$C$12-'Sensitivity &amp; Scenarios'!$C$10</f>
        <v>9.496620399006464E-2</v>
      </c>
      <c r="H461" s="209">
        <f>('Sensitivity &amp; Scenarios'!$C$6*(1+$E461)^1*$G461+'Sensitivity &amp; Scenarios'!$C$11*'Sensitivity &amp; Scenarios'!$C$6*((1+$E461)^1-(1+$E461)^0))*'Sensitivity &amp; Scenarios'!$C$18/(1+$C461)^'Sensitivity &amp; Scenarios'!$C$18+('Sensitivity &amp; Scenarios'!$C$6*(1+$E461)^2*$G461+'Sensitivity &amp; Scenarios'!$C$11*'Sensitivity &amp; Scenarios'!$C$6*((1+$E461)^2-(1+$E461)^1))/(1+$C461)^('Sensitivity &amp; Scenarios'!$C$18+1)+('Sensitivity &amp; Scenarios'!$C$6*(1+$E461)^3*$G461+'Sensitivity &amp; Scenarios'!$C$11*'Sensitivity &amp; Scenarios'!$C$6*((1+$E461)^3-(1+$E461)^2))/(1+$C461)^('Sensitivity &amp; Scenarios'!$C$18+2)+('Sensitivity &amp; Scenarios'!$C$6*(1+$E461)^4*$G461+'Sensitivity &amp; Scenarios'!$C$11*'Sensitivity &amp; Scenarios'!$C$6*((1+$E461)^4-(1+$E461)^3))/(1+$C461)^('Sensitivity &amp; Scenarios'!$C$18+3)+('Sensitivity &amp; Scenarios'!$C$6*(1+$E461)^5*$G461+'Sensitivity &amp; Scenarios'!$C$11*'Sensitivity &amp; Scenarios'!$C$6*((1+$E461)^5-(1+$E461)^4))/(1+$C461)^('Sensitivity &amp; Scenarios'!$C$18+4)</f>
        <v>25085.395651450282</v>
      </c>
      <c r="I461" s="209">
        <f>('Sensitivity &amp; Scenarios'!$C$6*(1+$E461)^5*$G461+'Sensitivity &amp; Scenarios'!$C$11*'Sensitivity &amp; Scenarios'!$C$6*((1+$E461)^5-(1+$E461)^4))*(1+$D461)/($C461-$D461)/(1+$C461)^('Sensitivity &amp; Scenarios'!$C$18+4)</f>
        <v>55820.236116343651</v>
      </c>
      <c r="J461" s="209">
        <f>($H461+$I461-'Sensitivity &amp; Scenarios'!$C$15+'Sensitivity &amp; Scenarios'!$C$16)/'Sensitivity &amp; Scenarios'!$C$17</f>
        <v>1989.525710539928</v>
      </c>
    </row>
    <row r="462" spans="2:10" x14ac:dyDescent="0.3">
      <c r="B462" s="127">
        <v>432</v>
      </c>
      <c r="C462" s="206">
        <f>$D$7+1.127355*$E$7</f>
        <v>0.14882580943997797</v>
      </c>
      <c r="D462" s="206">
        <f>MIN($D$8+0.097604*$E$8,'Debt &amp; Cost of Capital'!$C$38)</f>
        <v>5.5585624E-2</v>
      </c>
      <c r="E462" s="207">
        <f>$D$9+-0.94053*$E$9</f>
        <v>0.13900519770254635</v>
      </c>
      <c r="F462" s="207">
        <f>$D$10+-0.529272*$E$10</f>
        <v>0.13864873599999991</v>
      </c>
      <c r="G462" s="208">
        <f>$F462*(1-'Sensitivity &amp; Scenarios'!$C$12)+'Sensitivity &amp; Scenarios'!$C$9*'Sensitivity &amp; Scenarios'!$C$12-'Sensitivity &amp; Scenarios'!$C$10</f>
        <v>7.2946267237264634E-2</v>
      </c>
      <c r="H462" s="209">
        <f>('Sensitivity &amp; Scenarios'!$C$6*(1+$E462)^1*$G462+'Sensitivity &amp; Scenarios'!$C$11*'Sensitivity &amp; Scenarios'!$C$6*((1+$E462)^1-(1+$E462)^0))*'Sensitivity &amp; Scenarios'!$C$18/(1+$C462)^'Sensitivity &amp; Scenarios'!$C$18+('Sensitivity &amp; Scenarios'!$C$6*(1+$E462)^2*$G462+'Sensitivity &amp; Scenarios'!$C$11*'Sensitivity &amp; Scenarios'!$C$6*((1+$E462)^2-(1+$E462)^1))/(1+$C462)^('Sensitivity &amp; Scenarios'!$C$18+1)+('Sensitivity &amp; Scenarios'!$C$6*(1+$E462)^3*$G462+'Sensitivity &amp; Scenarios'!$C$11*'Sensitivity &amp; Scenarios'!$C$6*((1+$E462)^3-(1+$E462)^2))/(1+$C462)^('Sensitivity &amp; Scenarios'!$C$18+2)+('Sensitivity &amp; Scenarios'!$C$6*(1+$E462)^4*$G462+'Sensitivity &amp; Scenarios'!$C$11*'Sensitivity &amp; Scenarios'!$C$6*((1+$E462)^4-(1+$E462)^3))/(1+$C462)^('Sensitivity &amp; Scenarios'!$C$18+3)+('Sensitivity &amp; Scenarios'!$C$6*(1+$E462)^5*$G462+'Sensitivity &amp; Scenarios'!$C$11*'Sensitivity &amp; Scenarios'!$C$6*((1+$E462)^5-(1+$E462)^4))/(1+$C462)^('Sensitivity &amp; Scenarios'!$C$18+4)</f>
        <v>19372.093523030591</v>
      </c>
      <c r="I462" s="209">
        <f>('Sensitivity &amp; Scenarios'!$C$6*(1+$E462)^5*$G462+'Sensitivity &amp; Scenarios'!$C$11*'Sensitivity &amp; Scenarios'!$C$6*((1+$E462)^5-(1+$E462)^4))*(1+$D462)/($C462-$D462)/(1+$C462)^('Sensitivity &amp; Scenarios'!$C$18+4)</f>
        <v>46593.037835142197</v>
      </c>
      <c r="J462" s="209">
        <f>($H462+$I462-'Sensitivity &amp; Scenarios'!$C$15+'Sensitivity &amp; Scenarios'!$C$16)/'Sensitivity &amp; Scenarios'!$C$17</f>
        <v>1675.0464591686814</v>
      </c>
    </row>
    <row r="463" spans="2:10" x14ac:dyDescent="0.3">
      <c r="B463" s="127">
        <v>433</v>
      </c>
      <c r="C463" s="206">
        <f>$D$7+0.073275*$E$7</f>
        <v>0.13828500943997799</v>
      </c>
      <c r="D463" s="206">
        <f>MIN($D$8+0.037523*$E$8,'Debt &amp; Cost of Capital'!$C$38)</f>
        <v>5.5225138E-2</v>
      </c>
      <c r="E463" s="207">
        <f>$D$9+-0.090871*$E$9</f>
        <v>0.16449496770254635</v>
      </c>
      <c r="F463" s="207">
        <f>$D$10+-0.030833*$E$10</f>
        <v>0.1446300039999999</v>
      </c>
      <c r="G463" s="208">
        <f>$F463*(1-'Sensitivity &amp; Scenarios'!$C$12)+'Sensitivity &amp; Scenarios'!$C$9*'Sensitivity &amp; Scenarios'!$C$12-'Sensitivity &amp; Scenarios'!$C$10</f>
        <v>7.7422050081664626E-2</v>
      </c>
      <c r="H463" s="209">
        <f>('Sensitivity &amp; Scenarios'!$C$6*(1+$E463)^1*$G463+'Sensitivity &amp; Scenarios'!$C$11*'Sensitivity &amp; Scenarios'!$C$6*((1+$E463)^1-(1+$E463)^0))*'Sensitivity &amp; Scenarios'!$C$18/(1+$C463)^'Sensitivity &amp; Scenarios'!$C$18+('Sensitivity &amp; Scenarios'!$C$6*(1+$E463)^2*$G463+'Sensitivity &amp; Scenarios'!$C$11*'Sensitivity &amp; Scenarios'!$C$6*((1+$E463)^2-(1+$E463)^1))/(1+$C463)^('Sensitivity &amp; Scenarios'!$C$18+1)+('Sensitivity &amp; Scenarios'!$C$6*(1+$E463)^3*$G463+'Sensitivity &amp; Scenarios'!$C$11*'Sensitivity &amp; Scenarios'!$C$6*((1+$E463)^3-(1+$E463)^2))/(1+$C463)^('Sensitivity &amp; Scenarios'!$C$18+2)+('Sensitivity &amp; Scenarios'!$C$6*(1+$E463)^4*$G463+'Sensitivity &amp; Scenarios'!$C$11*'Sensitivity &amp; Scenarios'!$C$6*((1+$E463)^4-(1+$E463)^3))/(1+$C463)^('Sensitivity &amp; Scenarios'!$C$18+3)+('Sensitivity &amp; Scenarios'!$C$6*(1+$E463)^5*$G463+'Sensitivity &amp; Scenarios'!$C$11*'Sensitivity &amp; Scenarios'!$C$6*((1+$E463)^5-(1+$E463)^4))/(1+$C463)^('Sensitivity &amp; Scenarios'!$C$18+4)</f>
        <v>22951.798713728502</v>
      </c>
      <c r="I463" s="209">
        <f>('Sensitivity &amp; Scenarios'!$C$6*(1+$E463)^5*$G463+'Sensitivity &amp; Scenarios'!$C$11*'Sensitivity &amp; Scenarios'!$C$6*((1+$E463)^5-(1+$E463)^4))*(1+$D463)/($C463-$D463)/(1+$C463)^('Sensitivity &amp; Scenarios'!$C$18+4)</f>
        <v>65602.740542234998</v>
      </c>
      <c r="J463" s="209">
        <f>($H463+$I463-'Sensitivity &amp; Scenarios'!$C$15+'Sensitivity &amp; Scenarios'!$C$16)/'Sensitivity &amp; Scenarios'!$C$17</f>
        <v>2150.5258534225909</v>
      </c>
    </row>
    <row r="464" spans="2:10" x14ac:dyDescent="0.3">
      <c r="B464" s="127">
        <v>434</v>
      </c>
      <c r="C464" s="206">
        <f>$D$7+-0.214375*$E$7</f>
        <v>0.13540850943997798</v>
      </c>
      <c r="D464" s="206">
        <f>MIN($D$8+-1.441979*$E$8,'Debt &amp; Cost of Capital'!$C$38)</f>
        <v>4.6348126000000003E-2</v>
      </c>
      <c r="E464" s="207">
        <f>$D$9+-0.516511*$E$9</f>
        <v>0.15172576770254634</v>
      </c>
      <c r="F464" s="207">
        <f>$D$10+0.914624*$E$10</f>
        <v>0.15597548799999991</v>
      </c>
      <c r="G464" s="208">
        <f>$F464*(1-'Sensitivity &amp; Scenarios'!$C$12)+'Sensitivity &amp; Scenarios'!$C$9*'Sensitivity &amp; Scenarios'!$C$12-'Sensitivity &amp; Scenarios'!$C$10</f>
        <v>8.5911875758864636E-2</v>
      </c>
      <c r="H464" s="209">
        <f>('Sensitivity &amp; Scenarios'!$C$6*(1+$E464)^1*$G464+'Sensitivity &amp; Scenarios'!$C$11*'Sensitivity &amp; Scenarios'!$C$6*((1+$E464)^1-(1+$E464)^0))*'Sensitivity &amp; Scenarios'!$C$18/(1+$C464)^'Sensitivity &amp; Scenarios'!$C$18+('Sensitivity &amp; Scenarios'!$C$6*(1+$E464)^2*$G464+'Sensitivity &amp; Scenarios'!$C$11*'Sensitivity &amp; Scenarios'!$C$6*((1+$E464)^2-(1+$E464)^1))/(1+$C464)^('Sensitivity &amp; Scenarios'!$C$18+1)+('Sensitivity &amp; Scenarios'!$C$6*(1+$E464)^3*$G464+'Sensitivity &amp; Scenarios'!$C$11*'Sensitivity &amp; Scenarios'!$C$6*((1+$E464)^3-(1+$E464)^2))/(1+$C464)^('Sensitivity &amp; Scenarios'!$C$18+2)+('Sensitivity &amp; Scenarios'!$C$6*(1+$E464)^4*$G464+'Sensitivity &amp; Scenarios'!$C$11*'Sensitivity &amp; Scenarios'!$C$6*((1+$E464)^4-(1+$E464)^3))/(1+$C464)^('Sensitivity &amp; Scenarios'!$C$18+3)+('Sensitivity &amp; Scenarios'!$C$6*(1+$E464)^5*$G464+'Sensitivity &amp; Scenarios'!$C$11*'Sensitivity &amp; Scenarios'!$C$6*((1+$E464)^5-(1+$E464)^4))/(1+$C464)^('Sensitivity &amp; Scenarios'!$C$18+4)</f>
        <v>24103.715672569509</v>
      </c>
      <c r="I464" s="209">
        <f>('Sensitivity &amp; Scenarios'!$C$6*(1+$E464)^5*$G464+'Sensitivity &amp; Scenarios'!$C$11*'Sensitivity &amp; Scenarios'!$C$6*((1+$E464)^5-(1+$E464)^4))*(1+$D464)/($C464-$D464)/(1+$C464)^('Sensitivity &amp; Scenarios'!$C$18+4)</f>
        <v>62741.715220893202</v>
      </c>
      <c r="J464" s="209">
        <f>($H464+$I464-'Sensitivity &amp; Scenarios'!$C$15+'Sensitivity &amp; Scenarios'!$C$16)/'Sensitivity &amp; Scenarios'!$C$17</f>
        <v>2114.551213777625</v>
      </c>
    </row>
    <row r="465" spans="2:10" x14ac:dyDescent="0.3">
      <c r="B465" s="127">
        <v>435</v>
      </c>
      <c r="C465" s="206">
        <f>$D$7+-1.368334*$E$7</f>
        <v>0.12386891943997798</v>
      </c>
      <c r="D465" s="206">
        <f>MIN($D$8+-0.189556*$E$8,'Debt &amp; Cost of Capital'!$C$38)</f>
        <v>5.3862663999999998E-2</v>
      </c>
      <c r="E465" s="207">
        <f>$D$9+-0.819754*$E$9</f>
        <v>0.14262847770254633</v>
      </c>
      <c r="F465" s="207">
        <f>$D$10+0.11135*$E$10</f>
        <v>0.14633619999999992</v>
      </c>
      <c r="G465" s="208">
        <f>$F465*(1-'Sensitivity &amp; Scenarios'!$C$12)+'Sensitivity &amp; Scenarios'!$C$9*'Sensitivity &amp; Scenarios'!$C$12-'Sensitivity &amp; Scenarios'!$C$10</f>
        <v>7.8698796548464636E-2</v>
      </c>
      <c r="H465" s="209">
        <f>('Sensitivity &amp; Scenarios'!$C$6*(1+$E465)^1*$G465+'Sensitivity &amp; Scenarios'!$C$11*'Sensitivity &amp; Scenarios'!$C$6*((1+$E465)^1-(1+$E465)^0))*'Sensitivity &amp; Scenarios'!$C$18/(1+$C465)^'Sensitivity &amp; Scenarios'!$C$18+('Sensitivity &amp; Scenarios'!$C$6*(1+$E465)^2*$G465+'Sensitivity &amp; Scenarios'!$C$11*'Sensitivity &amp; Scenarios'!$C$6*((1+$E465)^2-(1+$E465)^1))/(1+$C465)^('Sensitivity &amp; Scenarios'!$C$18+1)+('Sensitivity &amp; Scenarios'!$C$6*(1+$E465)^3*$G465+'Sensitivity &amp; Scenarios'!$C$11*'Sensitivity &amp; Scenarios'!$C$6*((1+$E465)^3-(1+$E465)^2))/(1+$C465)^('Sensitivity &amp; Scenarios'!$C$18+2)+('Sensitivity &amp; Scenarios'!$C$6*(1+$E465)^4*$G465+'Sensitivity &amp; Scenarios'!$C$11*'Sensitivity &amp; Scenarios'!$C$6*((1+$E465)^4-(1+$E465)^3))/(1+$C465)^('Sensitivity &amp; Scenarios'!$C$18+3)+('Sensitivity &amp; Scenarios'!$C$6*(1+$E465)^5*$G465+'Sensitivity &amp; Scenarios'!$C$11*'Sensitivity &amp; Scenarios'!$C$6*((1+$E465)^5-(1+$E465)^4))/(1+$C465)^('Sensitivity &amp; Scenarios'!$C$18+4)</f>
        <v>22268.019087913213</v>
      </c>
      <c r="I465" s="209">
        <f>('Sensitivity &amp; Scenarios'!$C$6*(1+$E465)^5*$G465+'Sensitivity &amp; Scenarios'!$C$11*'Sensitivity &amp; Scenarios'!$C$6*((1+$E465)^5-(1+$E465)^4))*(1+$D465)/($C465-$D465)/(1+$C465)^('Sensitivity &amp; Scenarios'!$C$18+4)</f>
        <v>74577.763297497077</v>
      </c>
      <c r="J465" s="209">
        <f>($H465+$I465-'Sensitivity &amp; Scenarios'!$C$15+'Sensitivity &amp; Scenarios'!$C$16)/'Sensitivity &amp; Scenarios'!$C$17</f>
        <v>2325.0463755468918</v>
      </c>
    </row>
    <row r="466" spans="2:10" x14ac:dyDescent="0.3">
      <c r="B466" s="127">
        <v>436</v>
      </c>
      <c r="C466" s="206">
        <f>$D$7+-0.388633*$E$7</f>
        <v>0.13366592943997799</v>
      </c>
      <c r="D466" s="206">
        <f>MIN($D$8+1.477394*$E$8,'Debt &amp; Cost of Capital'!$C$38)</f>
        <v>6.3864364000000007E-2</v>
      </c>
      <c r="E466" s="207">
        <f>$D$9+0.506583*$E$9</f>
        <v>0.18241858770254635</v>
      </c>
      <c r="F466" s="207">
        <f>$D$10+-1.311803*$E$10</f>
        <v>0.1292583639999999</v>
      </c>
      <c r="G466" s="208">
        <f>$F466*(1-'Sensitivity &amp; Scenarios'!$C$12)+'Sensitivity &amp; Scenarios'!$C$9*'Sensitivity &amp; Scenarios'!$C$12-'Sensitivity &amp; Scenarios'!$C$10</f>
        <v>6.5919451869664636E-2</v>
      </c>
      <c r="H466" s="209">
        <f>('Sensitivity &amp; Scenarios'!$C$6*(1+$E466)^1*$G466+'Sensitivity &amp; Scenarios'!$C$11*'Sensitivity &amp; Scenarios'!$C$6*((1+$E466)^1-(1+$E466)^0))*'Sensitivity &amp; Scenarios'!$C$18/(1+$C466)^'Sensitivity &amp; Scenarios'!$C$18+('Sensitivity &amp; Scenarios'!$C$6*(1+$E466)^2*$G466+'Sensitivity &amp; Scenarios'!$C$11*'Sensitivity &amp; Scenarios'!$C$6*((1+$E466)^2-(1+$E466)^1))/(1+$C466)^('Sensitivity &amp; Scenarios'!$C$18+1)+('Sensitivity &amp; Scenarios'!$C$6*(1+$E466)^3*$G466+'Sensitivity &amp; Scenarios'!$C$11*'Sensitivity &amp; Scenarios'!$C$6*((1+$E466)^3-(1+$E466)^2))/(1+$C466)^('Sensitivity &amp; Scenarios'!$C$18+2)+('Sensitivity &amp; Scenarios'!$C$6*(1+$E466)^4*$G466+'Sensitivity &amp; Scenarios'!$C$11*'Sensitivity &amp; Scenarios'!$C$6*((1+$E466)^4-(1+$E466)^3))/(1+$C466)^('Sensitivity &amp; Scenarios'!$C$18+3)+('Sensitivity &amp; Scenarios'!$C$6*(1+$E466)^5*$G466+'Sensitivity &amp; Scenarios'!$C$11*'Sensitivity &amp; Scenarios'!$C$6*((1+$E466)^5-(1+$E466)^4))/(1+$C466)^('Sensitivity &amp; Scenarios'!$C$18+4)</f>
        <v>21746.755773610119</v>
      </c>
      <c r="I466" s="209">
        <f>('Sensitivity &amp; Scenarios'!$C$6*(1+$E466)^5*$G466+'Sensitivity &amp; Scenarios'!$C$11*'Sensitivity &amp; Scenarios'!$C$6*((1+$E466)^5-(1+$E466)^4))*(1+$D466)/($C466-$D466)/(1+$C466)^('Sensitivity &amp; Scenarios'!$C$18+4)</f>
        <v>77186.4845165117</v>
      </c>
      <c r="J466" s="209">
        <f>($H466+$I466-'Sensitivity &amp; Scenarios'!$C$15+'Sensitivity &amp; Scenarios'!$C$16)/'Sensitivity &amp; Scenarios'!$C$17</f>
        <v>2368.9848100801782</v>
      </c>
    </row>
    <row r="467" spans="2:10" x14ac:dyDescent="0.3">
      <c r="B467" s="127">
        <v>437</v>
      </c>
      <c r="C467" s="206">
        <f>$D$7+0.671228*$E$7</f>
        <v>0.14426453943997797</v>
      </c>
      <c r="D467" s="206">
        <f>MIN($D$8+-0.774652*$E$8,'Debt &amp; Cost of Capital'!$C$38)</f>
        <v>5.0352088000000003E-2</v>
      </c>
      <c r="E467" s="207">
        <f>$D$9+-0.576996*$E$9</f>
        <v>0.14991121770254634</v>
      </c>
      <c r="F467" s="207">
        <f>$D$10+0.313819*$E$10</f>
        <v>0.14876582799999991</v>
      </c>
      <c r="G467" s="208">
        <f>$F467*(1-'Sensitivity &amp; Scenarios'!$C$12)+'Sensitivity &amp; Scenarios'!$C$9*'Sensitivity &amp; Scenarios'!$C$12-'Sensitivity &amp; Scenarios'!$C$10</f>
        <v>8.0516887180864638E-2</v>
      </c>
      <c r="H467" s="209">
        <f>('Sensitivity &amp; Scenarios'!$C$6*(1+$E467)^1*$G467+'Sensitivity &amp; Scenarios'!$C$11*'Sensitivity &amp; Scenarios'!$C$6*((1+$E467)^1-(1+$E467)^0))*'Sensitivity &amp; Scenarios'!$C$18/(1+$C467)^'Sensitivity &amp; Scenarios'!$C$18+('Sensitivity &amp; Scenarios'!$C$6*(1+$E467)^2*$G467+'Sensitivity &amp; Scenarios'!$C$11*'Sensitivity &amp; Scenarios'!$C$6*((1+$E467)^2-(1+$E467)^1))/(1+$C467)^('Sensitivity &amp; Scenarios'!$C$18+1)+('Sensitivity &amp; Scenarios'!$C$6*(1+$E467)^3*$G467+'Sensitivity &amp; Scenarios'!$C$11*'Sensitivity &amp; Scenarios'!$C$6*((1+$E467)^3-(1+$E467)^2))/(1+$C467)^('Sensitivity &amp; Scenarios'!$C$18+2)+('Sensitivity &amp; Scenarios'!$C$6*(1+$E467)^4*$G467+'Sensitivity &amp; Scenarios'!$C$11*'Sensitivity &amp; Scenarios'!$C$6*((1+$E467)^4-(1+$E467)^3))/(1+$C467)^('Sensitivity &amp; Scenarios'!$C$18+3)+('Sensitivity &amp; Scenarios'!$C$6*(1+$E467)^5*$G467+'Sensitivity &amp; Scenarios'!$C$11*'Sensitivity &amp; Scenarios'!$C$6*((1+$E467)^5-(1+$E467)^4))/(1+$C467)^('Sensitivity &amp; Scenarios'!$C$18+4)</f>
        <v>22169.487033723661</v>
      </c>
      <c r="I467" s="209">
        <f>('Sensitivity &amp; Scenarios'!$C$6*(1+$E467)^5*$G467+'Sensitivity &amp; Scenarios'!$C$11*'Sensitivity &amp; Scenarios'!$C$6*((1+$E467)^5-(1+$E467)^4))*(1+$D467)/($C467-$D467)/(1+$C467)^('Sensitivity &amp; Scenarios'!$C$18+4)</f>
        <v>54006.246064639367</v>
      </c>
      <c r="J467" s="209">
        <f>($H467+$I467-'Sensitivity &amp; Scenarios'!$C$15+'Sensitivity &amp; Scenarios'!$C$16)/'Sensitivity &amp; Scenarios'!$C$17</f>
        <v>1889.967131386406</v>
      </c>
    </row>
    <row r="468" spans="2:10" x14ac:dyDescent="0.3">
      <c r="B468" s="127">
        <v>438</v>
      </c>
      <c r="C468" s="206">
        <f>$D$7+-0.491747*$E$7</f>
        <v>0.13263478943997797</v>
      </c>
      <c r="D468" s="206">
        <f>MIN($D$8+0.892856*$E$8,'Debt &amp; Cost of Capital'!$C$38)</f>
        <v>6.0357135999999999E-2</v>
      </c>
      <c r="E468" s="207">
        <f>$D$9+-0.77451*$E$9</f>
        <v>0.14398579770254633</v>
      </c>
      <c r="F468" s="207">
        <f>$D$10+-0.618947*$E$10</f>
        <v>0.13757263599999991</v>
      </c>
      <c r="G468" s="208">
        <f>$F468*(1-'Sensitivity &amp; Scenarios'!$C$12)+'Sensitivity &amp; Scenarios'!$C$9*'Sensitivity &amp; Scenarios'!$C$12-'Sensitivity &amp; Scenarios'!$C$10</f>
        <v>7.2141021607264641E-2</v>
      </c>
      <c r="H468" s="209">
        <f>('Sensitivity &amp; Scenarios'!$C$6*(1+$E468)^1*$G468+'Sensitivity &amp; Scenarios'!$C$11*'Sensitivity &amp; Scenarios'!$C$6*((1+$E468)^1-(1+$E468)^0))*'Sensitivity &amp; Scenarios'!$C$18/(1+$C468)^'Sensitivity &amp; Scenarios'!$C$18+('Sensitivity &amp; Scenarios'!$C$6*(1+$E468)^2*$G468+'Sensitivity &amp; Scenarios'!$C$11*'Sensitivity &amp; Scenarios'!$C$6*((1+$E468)^2-(1+$E468)^1))/(1+$C468)^('Sensitivity &amp; Scenarios'!$C$18+1)+('Sensitivity &amp; Scenarios'!$C$6*(1+$E468)^3*$G468+'Sensitivity &amp; Scenarios'!$C$11*'Sensitivity &amp; Scenarios'!$C$6*((1+$E468)^3-(1+$E468)^2))/(1+$C468)^('Sensitivity &amp; Scenarios'!$C$18+2)+('Sensitivity &amp; Scenarios'!$C$6*(1+$E468)^4*$G468+'Sensitivity &amp; Scenarios'!$C$11*'Sensitivity &amp; Scenarios'!$C$6*((1+$E468)^4-(1+$E468)^3))/(1+$C468)^('Sensitivity &amp; Scenarios'!$C$18+3)+('Sensitivity &amp; Scenarios'!$C$6*(1+$E468)^5*$G468+'Sensitivity &amp; Scenarios'!$C$11*'Sensitivity &amp; Scenarios'!$C$6*((1+$E468)^5-(1+$E468)^4))/(1+$C468)^('Sensitivity &amp; Scenarios'!$C$18+4)</f>
        <v>20344.144539774061</v>
      </c>
      <c r="I468" s="209">
        <f>('Sensitivity &amp; Scenarios'!$C$6*(1+$E468)^5*$G468+'Sensitivity &amp; Scenarios'!$C$11*'Sensitivity &amp; Scenarios'!$C$6*((1+$E468)^5-(1+$E468)^4))*(1+$D468)/($C468-$D468)/(1+$C468)^('Sensitivity &amp; Scenarios'!$C$18+4)</f>
        <v>65610.404484985265</v>
      </c>
      <c r="J468" s="209">
        <f>($H468+$I468-'Sensitivity &amp; Scenarios'!$C$15+'Sensitivity &amp; Scenarios'!$C$16)/'Sensitivity &amp; Scenarios'!$C$17</f>
        <v>2095.7992405873802</v>
      </c>
    </row>
    <row r="469" spans="2:10" x14ac:dyDescent="0.3">
      <c r="B469" s="127">
        <v>439</v>
      </c>
      <c r="C469" s="206">
        <f>$D$7+-0.656371*$E$7</f>
        <v>0.13098854943997798</v>
      </c>
      <c r="D469" s="206">
        <f>MIN($D$8+-0.565639*$E$8,'Debt &amp; Cost of Capital'!$C$38)</f>
        <v>5.1606166000000002E-2</v>
      </c>
      <c r="E469" s="207">
        <f>$D$9+1.099192*$E$9</f>
        <v>0.20019685770254633</v>
      </c>
      <c r="F469" s="207">
        <f>$D$10+0.628796*$E$10</f>
        <v>0.15254555199999992</v>
      </c>
      <c r="G469" s="208">
        <f>$F469*(1-'Sensitivity &amp; Scenarios'!$C$12)+'Sensitivity &amp; Scenarios'!$C$9*'Sensitivity &amp; Scenarios'!$C$12-'Sensitivity &amp; Scenarios'!$C$10</f>
        <v>8.3345254650064649E-2</v>
      </c>
      <c r="H469" s="209">
        <f>('Sensitivity &amp; Scenarios'!$C$6*(1+$E469)^1*$G469+'Sensitivity &amp; Scenarios'!$C$11*'Sensitivity &amp; Scenarios'!$C$6*((1+$E469)^1-(1+$E469)^0))*'Sensitivity &amp; Scenarios'!$C$18/(1+$C469)^'Sensitivity &amp; Scenarios'!$C$18+('Sensitivity &amp; Scenarios'!$C$6*(1+$E469)^2*$G469+'Sensitivity &amp; Scenarios'!$C$11*'Sensitivity &amp; Scenarios'!$C$6*((1+$E469)^2-(1+$E469)^1))/(1+$C469)^('Sensitivity &amp; Scenarios'!$C$18+1)+('Sensitivity &amp; Scenarios'!$C$6*(1+$E469)^3*$G469+'Sensitivity &amp; Scenarios'!$C$11*'Sensitivity &amp; Scenarios'!$C$6*((1+$E469)^3-(1+$E469)^2))/(1+$C469)^('Sensitivity &amp; Scenarios'!$C$18+2)+('Sensitivity &amp; Scenarios'!$C$6*(1+$E469)^4*$G469+'Sensitivity &amp; Scenarios'!$C$11*'Sensitivity &amp; Scenarios'!$C$6*((1+$E469)^4-(1+$E469)^3))/(1+$C469)^('Sensitivity &amp; Scenarios'!$C$18+3)+('Sensitivity &amp; Scenarios'!$C$6*(1+$E469)^5*$G469+'Sensitivity &amp; Scenarios'!$C$11*'Sensitivity &amp; Scenarios'!$C$6*((1+$E469)^5-(1+$E469)^4))/(1+$C469)^('Sensitivity &amp; Scenarios'!$C$18+4)</f>
        <v>28197.696406980234</v>
      </c>
      <c r="I469" s="209">
        <f>('Sensitivity &amp; Scenarios'!$C$6*(1+$E469)^5*$G469+'Sensitivity &amp; Scenarios'!$C$11*'Sensitivity &amp; Scenarios'!$C$6*((1+$E469)^5-(1+$E469)^4))*(1+$D469)/($C469-$D469)/(1+$C469)^('Sensitivity &amp; Scenarios'!$C$18+4)</f>
        <v>89661.387045034222</v>
      </c>
      <c r="J469" s="209">
        <f>($H469+$I469-'Sensitivity &amp; Scenarios'!$C$15+'Sensitivity &amp; Scenarios'!$C$16)/'Sensitivity &amp; Scenarios'!$C$17</f>
        <v>2767.3506496399355</v>
      </c>
    </row>
    <row r="470" spans="2:10" x14ac:dyDescent="0.3">
      <c r="B470" s="127">
        <v>440</v>
      </c>
      <c r="C470" s="206">
        <f>$D$7+1.709944*$E$7</f>
        <v>0.15465169943997797</v>
      </c>
      <c r="D470" s="206">
        <f>MIN($D$8+2.267644*$E$8,'Debt &amp; Cost of Capital'!$C$38)</f>
        <v>6.7799999999999999E-2</v>
      </c>
      <c r="E470" s="207">
        <f>$D$9+-1.030717*$E$9</f>
        <v>0.13629958770254633</v>
      </c>
      <c r="F470" s="207">
        <f>$D$10+0.070419*$E$10</f>
        <v>0.1458450279999999</v>
      </c>
      <c r="G470" s="208">
        <f>$F470*(1-'Sensitivity &amp; Scenarios'!$C$12)+'Sensitivity &amp; Scenarios'!$C$9*'Sensitivity &amp; Scenarios'!$C$12-'Sensitivity &amp; Scenarios'!$C$10</f>
        <v>7.8331252540864635E-2</v>
      </c>
      <c r="H470" s="209">
        <f>('Sensitivity &amp; Scenarios'!$C$6*(1+$E470)^1*$G470+'Sensitivity &amp; Scenarios'!$C$11*'Sensitivity &amp; Scenarios'!$C$6*((1+$E470)^1-(1+$E470)^0))*'Sensitivity &amp; Scenarios'!$C$18/(1+$C470)^'Sensitivity &amp; Scenarios'!$C$18+('Sensitivity &amp; Scenarios'!$C$6*(1+$E470)^2*$G470+'Sensitivity &amp; Scenarios'!$C$11*'Sensitivity &amp; Scenarios'!$C$6*((1+$E470)^2-(1+$E470)^1))/(1+$C470)^('Sensitivity &amp; Scenarios'!$C$18+1)+('Sensitivity &amp; Scenarios'!$C$6*(1+$E470)^3*$G470+'Sensitivity &amp; Scenarios'!$C$11*'Sensitivity &amp; Scenarios'!$C$6*((1+$E470)^3-(1+$E470)^2))/(1+$C470)^('Sensitivity &amp; Scenarios'!$C$18+2)+('Sensitivity &amp; Scenarios'!$C$6*(1+$E470)^4*$G470+'Sensitivity &amp; Scenarios'!$C$11*'Sensitivity &amp; Scenarios'!$C$6*((1+$E470)^4-(1+$E470)^3))/(1+$C470)^('Sensitivity &amp; Scenarios'!$C$18+3)+('Sensitivity &amp; Scenarios'!$C$6*(1+$E470)^5*$G470+'Sensitivity &amp; Scenarios'!$C$11*'Sensitivity &amp; Scenarios'!$C$6*((1+$E470)^5-(1+$E470)^4))/(1+$C470)^('Sensitivity &amp; Scenarios'!$C$18+4)</f>
        <v>20092.370126219703</v>
      </c>
      <c r="I470" s="209">
        <f>('Sensitivity &amp; Scenarios'!$C$6*(1+$E470)^5*$G470+'Sensitivity &amp; Scenarios'!$C$11*'Sensitivity &amp; Scenarios'!$C$6*((1+$E470)^5-(1+$E470)^4))*(1+$D470)/($C470-$D470)/(1+$C470)^('Sensitivity &amp; Scenarios'!$C$18+4)</f>
        <v>51757.96353319061</v>
      </c>
      <c r="J470" s="209">
        <f>($H470+$I470-'Sensitivity &amp; Scenarios'!$C$15+'Sensitivity &amp; Scenarios'!$C$16)/'Sensitivity &amp; Scenarios'!$C$17</f>
        <v>1798.9227660606298</v>
      </c>
    </row>
    <row r="471" spans="2:10" x14ac:dyDescent="0.3">
      <c r="B471" s="127">
        <v>441</v>
      </c>
      <c r="C471" s="206">
        <f>$D$7+-1.1762*$E$7</f>
        <v>0.12579025943997799</v>
      </c>
      <c r="D471" s="206">
        <f>MIN($D$8+-0.777606*$E$8,'Debt &amp; Cost of Capital'!$C$38)</f>
        <v>5.0334363999999999E-2</v>
      </c>
      <c r="E471" s="207">
        <f>$D$9+-0.630083*$E$9</f>
        <v>0.14831860770254635</v>
      </c>
      <c r="F471" s="207">
        <f>$D$10+-1.057155*$E$10</f>
        <v>0.13231413999999991</v>
      </c>
      <c r="G471" s="208">
        <f>$F471*(1-'Sensitivity &amp; Scenarios'!$C$12)+'Sensitivity &amp; Scenarios'!$C$9*'Sensitivity &amp; Scenarios'!$C$12-'Sensitivity &amp; Scenarios'!$C$10</f>
        <v>6.8206089050464644E-2</v>
      </c>
      <c r="H471" s="209">
        <f>('Sensitivity &amp; Scenarios'!$C$6*(1+$E471)^1*$G471+'Sensitivity &amp; Scenarios'!$C$11*'Sensitivity &amp; Scenarios'!$C$6*((1+$E471)^1-(1+$E471)^0))*'Sensitivity &amp; Scenarios'!$C$18/(1+$C471)^'Sensitivity &amp; Scenarios'!$C$18+('Sensitivity &amp; Scenarios'!$C$6*(1+$E471)^2*$G471+'Sensitivity &amp; Scenarios'!$C$11*'Sensitivity &amp; Scenarios'!$C$6*((1+$E471)^2-(1+$E471)^1))/(1+$C471)^('Sensitivity &amp; Scenarios'!$C$18+1)+('Sensitivity &amp; Scenarios'!$C$6*(1+$E471)^3*$G471+'Sensitivity &amp; Scenarios'!$C$11*'Sensitivity &amp; Scenarios'!$C$6*((1+$E471)^3-(1+$E471)^2))/(1+$C471)^('Sensitivity &amp; Scenarios'!$C$18+2)+('Sensitivity &amp; Scenarios'!$C$6*(1+$E471)^4*$G471+'Sensitivity &amp; Scenarios'!$C$11*'Sensitivity &amp; Scenarios'!$C$6*((1+$E471)^4-(1+$E471)^3))/(1+$C471)^('Sensitivity &amp; Scenarios'!$C$18+3)+('Sensitivity &amp; Scenarios'!$C$6*(1+$E471)^5*$G471+'Sensitivity &amp; Scenarios'!$C$11*'Sensitivity &amp; Scenarios'!$C$6*((1+$E471)^5-(1+$E471)^4))/(1+$C471)^('Sensitivity &amp; Scenarios'!$C$18+4)</f>
        <v>20075.253800617298</v>
      </c>
      <c r="I471" s="209">
        <f>('Sensitivity &amp; Scenarios'!$C$6*(1+$E471)^5*$G471+'Sensitivity &amp; Scenarios'!$C$11*'Sensitivity &amp; Scenarios'!$C$6*((1+$E471)^5-(1+$E471)^4))*(1+$D471)/($C471-$D471)/(1+$C471)^('Sensitivity &amp; Scenarios'!$C$18+4)</f>
        <v>62536.859900890995</v>
      </c>
      <c r="J471" s="209">
        <f>($H471+$I471-'Sensitivity &amp; Scenarios'!$C$15+'Sensitivity &amp; Scenarios'!$C$16)/'Sensitivity &amp; Scenarios'!$C$17</f>
        <v>2025.4450670728231</v>
      </c>
    </row>
    <row r="472" spans="2:10" x14ac:dyDescent="0.3">
      <c r="B472" s="127">
        <v>442</v>
      </c>
      <c r="C472" s="206">
        <f>$D$7+-1.051887*$E$7</f>
        <v>0.127033389439978</v>
      </c>
      <c r="D472" s="206">
        <f>MIN($D$8+-0.144284*$E$8,'Debt &amp; Cost of Capital'!$C$38)</f>
        <v>5.4134295999999998E-2</v>
      </c>
      <c r="E472" s="207">
        <f>$D$9+-1.216718*$E$9</f>
        <v>0.13071955770254634</v>
      </c>
      <c r="F472" s="207">
        <f>$D$10+0.842127*$E$10</f>
        <v>0.15510552399999991</v>
      </c>
      <c r="G472" s="208">
        <f>$F472*(1-'Sensitivity &amp; Scenarios'!$C$12)+'Sensitivity &amp; Scenarios'!$C$9*'Sensitivity &amp; Scenarios'!$C$12-'Sensitivity &amp; Scenarios'!$C$10</f>
        <v>8.5260881697664645E-2</v>
      </c>
      <c r="H472" s="209">
        <f>('Sensitivity &amp; Scenarios'!$C$6*(1+$E472)^1*$G472+'Sensitivity &amp; Scenarios'!$C$11*'Sensitivity &amp; Scenarios'!$C$6*((1+$E472)^1-(1+$E472)^0))*'Sensitivity &amp; Scenarios'!$C$18/(1+$C472)^'Sensitivity &amp; Scenarios'!$C$18+('Sensitivity &amp; Scenarios'!$C$6*(1+$E472)^2*$G472+'Sensitivity &amp; Scenarios'!$C$11*'Sensitivity &amp; Scenarios'!$C$6*((1+$E472)^2-(1+$E472)^1))/(1+$C472)^('Sensitivity &amp; Scenarios'!$C$18+1)+('Sensitivity &amp; Scenarios'!$C$6*(1+$E472)^3*$G472+'Sensitivity &amp; Scenarios'!$C$11*'Sensitivity &amp; Scenarios'!$C$6*((1+$E472)^3-(1+$E472)^2))/(1+$C472)^('Sensitivity &amp; Scenarios'!$C$18+2)+('Sensitivity &amp; Scenarios'!$C$6*(1+$E472)^4*$G472+'Sensitivity &amp; Scenarios'!$C$11*'Sensitivity &amp; Scenarios'!$C$6*((1+$E472)^4-(1+$E472)^3))/(1+$C472)^('Sensitivity &amp; Scenarios'!$C$18+3)+('Sensitivity &amp; Scenarios'!$C$6*(1+$E472)^5*$G472+'Sensitivity &amp; Scenarios'!$C$11*'Sensitivity &amp; Scenarios'!$C$6*((1+$E472)^5-(1+$E472)^4))/(1+$C472)^('Sensitivity &amp; Scenarios'!$C$18+4)</f>
        <v>22652.393385278312</v>
      </c>
      <c r="I472" s="209">
        <f>('Sensitivity &amp; Scenarios'!$C$6*(1+$E472)^5*$G472+'Sensitivity &amp; Scenarios'!$C$11*'Sensitivity &amp; Scenarios'!$C$6*((1+$E472)^5-(1+$E472)^4))*(1+$D472)/($C472-$D472)/(1+$C472)^('Sensitivity &amp; Scenarios'!$C$18+4)</f>
        <v>71128.631496462796</v>
      </c>
      <c r="J472" s="209">
        <f>($H472+$I472-'Sensitivity &amp; Scenarios'!$C$15+'Sensitivity &amp; Scenarios'!$C$16)/'Sensitivity &amp; Scenarios'!$C$17</f>
        <v>2260.5369803483454</v>
      </c>
    </row>
    <row r="473" spans="2:10" x14ac:dyDescent="0.3">
      <c r="B473" s="127">
        <v>443</v>
      </c>
      <c r="C473" s="206">
        <f>$D$7+-0.917754*$E$7</f>
        <v>0.12837471943997797</v>
      </c>
      <c r="D473" s="206">
        <f>MIN($D$8+2.809569*$E$8,'Debt &amp; Cost of Capital'!$C$38)</f>
        <v>6.7799999999999999E-2</v>
      </c>
      <c r="E473" s="207">
        <f>$D$9+-0.451384*$E$9</f>
        <v>0.15367957770254634</v>
      </c>
      <c r="F473" s="207">
        <f>$D$10+0.072018*$E$10</f>
        <v>0.14586421599999991</v>
      </c>
      <c r="G473" s="208">
        <f>$F473*(1-'Sensitivity &amp; Scenarios'!$C$12)+'Sensitivity &amp; Scenarios'!$C$9*'Sensitivity &amp; Scenarios'!$C$12-'Sensitivity &amp; Scenarios'!$C$10</f>
        <v>7.834561092126463E-2</v>
      </c>
      <c r="H473" s="209">
        <f>('Sensitivity &amp; Scenarios'!$C$6*(1+$E473)^1*$G473+'Sensitivity &amp; Scenarios'!$C$11*'Sensitivity &amp; Scenarios'!$C$6*((1+$E473)^1-(1+$E473)^0))*'Sensitivity &amp; Scenarios'!$C$18/(1+$C473)^'Sensitivity &amp; Scenarios'!$C$18+('Sensitivity &amp; Scenarios'!$C$6*(1+$E473)^2*$G473+'Sensitivity &amp; Scenarios'!$C$11*'Sensitivity &amp; Scenarios'!$C$6*((1+$E473)^2-(1+$E473)^1))/(1+$C473)^('Sensitivity &amp; Scenarios'!$C$18+1)+('Sensitivity &amp; Scenarios'!$C$6*(1+$E473)^3*$G473+'Sensitivity &amp; Scenarios'!$C$11*'Sensitivity &amp; Scenarios'!$C$6*((1+$E473)^3-(1+$E473)^2))/(1+$C473)^('Sensitivity &amp; Scenarios'!$C$18+2)+('Sensitivity &amp; Scenarios'!$C$6*(1+$E473)^4*$G473+'Sensitivity &amp; Scenarios'!$C$11*'Sensitivity &amp; Scenarios'!$C$6*((1+$E473)^4-(1+$E473)^3))/(1+$C473)^('Sensitivity &amp; Scenarios'!$C$18+3)+('Sensitivity &amp; Scenarios'!$C$6*(1+$E473)^5*$G473+'Sensitivity &amp; Scenarios'!$C$11*'Sensitivity &amp; Scenarios'!$C$6*((1+$E473)^5-(1+$E473)^4))/(1+$C473)^('Sensitivity &amp; Scenarios'!$C$18+4)</f>
        <v>22844.680388405213</v>
      </c>
      <c r="I473" s="209">
        <f>('Sensitivity &amp; Scenarios'!$C$6*(1+$E473)^5*$G473+'Sensitivity &amp; Scenarios'!$C$11*'Sensitivity &amp; Scenarios'!$C$6*((1+$E473)^5-(1+$E473)^4))*(1+$D473)/($C473-$D473)/(1+$C473)^('Sensitivity &amp; Scenarios'!$C$18+4)</f>
        <v>90505.764855133166</v>
      </c>
      <c r="J473" s="209">
        <f>($H473+$I473-'Sensitivity &amp; Scenarios'!$C$15+'Sensitivity &amp; Scenarios'!$C$16)/'Sensitivity &amp; Scenarios'!$C$17</f>
        <v>2672.4493324395894</v>
      </c>
    </row>
    <row r="474" spans="2:10" x14ac:dyDescent="0.3">
      <c r="B474" s="127">
        <v>444</v>
      </c>
      <c r="C474" s="206">
        <f>$D$7+-1.295341*$E$7</f>
        <v>0.12459884943997798</v>
      </c>
      <c r="D474" s="206">
        <f>MIN($D$8+1.706092*$E$8,'Debt &amp; Cost of Capital'!$C$38)</f>
        <v>6.5236552000000003E-2</v>
      </c>
      <c r="E474" s="207">
        <f>$D$9+1.119501*$E$9</f>
        <v>0.20080612770254636</v>
      </c>
      <c r="F474" s="207">
        <f>$D$10+0.296916*$E$10</f>
        <v>0.14856299199999989</v>
      </c>
      <c r="G474" s="208">
        <f>$F474*(1-'Sensitivity &amp; Scenarios'!$C$12)+'Sensitivity &amp; Scenarios'!$C$9*'Sensitivity &amp; Scenarios'!$C$12-'Sensitivity &amp; Scenarios'!$C$10</f>
        <v>8.0365105002064632E-2</v>
      </c>
      <c r="H474" s="209">
        <f>('Sensitivity &amp; Scenarios'!$C$6*(1+$E474)^1*$G474+'Sensitivity &amp; Scenarios'!$C$11*'Sensitivity &amp; Scenarios'!$C$6*((1+$E474)^1-(1+$E474)^0))*'Sensitivity &amp; Scenarios'!$C$18/(1+$C474)^'Sensitivity &amp; Scenarios'!$C$18+('Sensitivity &amp; Scenarios'!$C$6*(1+$E474)^2*$G474+'Sensitivity &amp; Scenarios'!$C$11*'Sensitivity &amp; Scenarios'!$C$6*((1+$E474)^2-(1+$E474)^1))/(1+$C474)^('Sensitivity &amp; Scenarios'!$C$18+1)+('Sensitivity &amp; Scenarios'!$C$6*(1+$E474)^3*$G474+'Sensitivity &amp; Scenarios'!$C$11*'Sensitivity &amp; Scenarios'!$C$6*((1+$E474)^3-(1+$E474)^2))/(1+$C474)^('Sensitivity &amp; Scenarios'!$C$18+2)+('Sensitivity &amp; Scenarios'!$C$6*(1+$E474)^4*$G474+'Sensitivity &amp; Scenarios'!$C$11*'Sensitivity &amp; Scenarios'!$C$6*((1+$E474)^4-(1+$E474)^3))/(1+$C474)^('Sensitivity &amp; Scenarios'!$C$18+3)+('Sensitivity &amp; Scenarios'!$C$6*(1+$E474)^5*$G474+'Sensitivity &amp; Scenarios'!$C$11*'Sensitivity &amp; Scenarios'!$C$6*((1+$E474)^5-(1+$E474)^4))/(1+$C474)^('Sensitivity &amp; Scenarios'!$C$18+4)</f>
        <v>27884.830574757107</v>
      </c>
      <c r="I474" s="209">
        <f>('Sensitivity &amp; Scenarios'!$C$6*(1+$E474)^5*$G474+'Sensitivity &amp; Scenarios'!$C$11*'Sensitivity &amp; Scenarios'!$C$6*((1+$E474)^5-(1+$E474)^4))*(1+$D474)/($C474-$D474)/(1+$C474)^('Sensitivity &amp; Scenarios'!$C$18+4)</f>
        <v>121394.96122203508</v>
      </c>
      <c r="J474" s="209">
        <f>($H474+$I474-'Sensitivity &amp; Scenarios'!$C$15+'Sensitivity &amp; Scenarios'!$C$16)/'Sensitivity &amp; Scenarios'!$C$17</f>
        <v>3428.7181117000996</v>
      </c>
    </row>
    <row r="475" spans="2:10" x14ac:dyDescent="0.3">
      <c r="B475" s="127">
        <v>445</v>
      </c>
      <c r="C475" s="206">
        <f>$D$7+-1.346803*$E$7</f>
        <v>0.12408422943997797</v>
      </c>
      <c r="D475" s="206">
        <f>MIN($D$8+0.210667*$E$8,'Debt &amp; Cost of Capital'!$C$38)</f>
        <v>5.6264002E-2</v>
      </c>
      <c r="E475" s="207">
        <f>$D$9+-1.121431*$E$9</f>
        <v>0.13357816770254632</v>
      </c>
      <c r="F475" s="207">
        <f>$D$10+1.462355*$E$10</f>
        <v>0.16254825999999992</v>
      </c>
      <c r="G475" s="208">
        <f>$F475*(1-'Sensitivity &amp; Scenarios'!$C$12)+'Sensitivity &amp; Scenarios'!$C$9*'Sensitivity &amp; Scenarios'!$C$12-'Sensitivity &amp; Scenarios'!$C$10</f>
        <v>9.083028104646465E-2</v>
      </c>
      <c r="H475" s="209">
        <f>('Sensitivity &amp; Scenarios'!$C$6*(1+$E475)^1*$G475+'Sensitivity &amp; Scenarios'!$C$11*'Sensitivity &amp; Scenarios'!$C$6*((1+$E475)^1-(1+$E475)^0))*'Sensitivity &amp; Scenarios'!$C$18/(1+$C475)^'Sensitivity &amp; Scenarios'!$C$18+('Sensitivity &amp; Scenarios'!$C$6*(1+$E475)^2*$G475+'Sensitivity &amp; Scenarios'!$C$11*'Sensitivity &amp; Scenarios'!$C$6*((1+$E475)^2-(1+$E475)^1))/(1+$C475)^('Sensitivity &amp; Scenarios'!$C$18+1)+('Sensitivity &amp; Scenarios'!$C$6*(1+$E475)^3*$G475+'Sensitivity &amp; Scenarios'!$C$11*'Sensitivity &amp; Scenarios'!$C$6*((1+$E475)^3-(1+$E475)^2))/(1+$C475)^('Sensitivity &amp; Scenarios'!$C$18+2)+('Sensitivity &amp; Scenarios'!$C$6*(1+$E475)^4*$G475+'Sensitivity &amp; Scenarios'!$C$11*'Sensitivity &amp; Scenarios'!$C$6*((1+$E475)^4-(1+$E475)^3))/(1+$C475)^('Sensitivity &amp; Scenarios'!$C$18+3)+('Sensitivity &amp; Scenarios'!$C$6*(1+$E475)^5*$G475+'Sensitivity &amp; Scenarios'!$C$11*'Sensitivity &amp; Scenarios'!$C$6*((1+$E475)^5-(1+$E475)^4))/(1+$C475)^('Sensitivity &amp; Scenarios'!$C$18+4)</f>
        <v>24367.785434309379</v>
      </c>
      <c r="I475" s="209">
        <f>('Sensitivity &amp; Scenarios'!$C$6*(1+$E475)^5*$G475+'Sensitivity &amp; Scenarios'!$C$11*'Sensitivity &amp; Scenarios'!$C$6*((1+$E475)^5-(1+$E475)^4))*(1+$D475)/($C475-$D475)/(1+$C475)^('Sensitivity &amp; Scenarios'!$C$18+4)</f>
        <v>83191.128076429377</v>
      </c>
      <c r="J475" s="209">
        <f>($H475+$I475-'Sensitivity &amp; Scenarios'!$C$15+'Sensitivity &amp; Scenarios'!$C$16)/'Sensitivity &amp; Scenarios'!$C$17</f>
        <v>2550.5446763913369</v>
      </c>
    </row>
    <row r="476" spans="2:10" x14ac:dyDescent="0.3">
      <c r="B476" s="127">
        <v>446</v>
      </c>
      <c r="C476" s="206">
        <f>$D$7+0.809195*$E$7</f>
        <v>0.14564420943997797</v>
      </c>
      <c r="D476" s="206">
        <f>MIN($D$8+0.095439*$E$8,'Debt &amp; Cost of Capital'!$C$38)</f>
        <v>5.5572634000000003E-2</v>
      </c>
      <c r="E476" s="207">
        <f>$D$9+-2.436376*$E$9</f>
        <v>9.4129817702546345E-2</v>
      </c>
      <c r="F476" s="207">
        <f>$D$10+-0.983416*$E$10</f>
        <v>0.1331990079999999</v>
      </c>
      <c r="G476" s="208">
        <f>$F476*(1-'Sensitivity &amp; Scenarios'!$C$12)+'Sensitivity &amp; Scenarios'!$C$9*'Sensitivity &amp; Scenarios'!$C$12-'Sensitivity &amp; Scenarios'!$C$10</f>
        <v>6.8868235774864631E-2</v>
      </c>
      <c r="H476" s="209">
        <f>('Sensitivity &amp; Scenarios'!$C$6*(1+$E476)^1*$G476+'Sensitivity &amp; Scenarios'!$C$11*'Sensitivity &amp; Scenarios'!$C$6*((1+$E476)^1-(1+$E476)^0))*'Sensitivity &amp; Scenarios'!$C$18/(1+$C476)^'Sensitivity &amp; Scenarios'!$C$18+('Sensitivity &amp; Scenarios'!$C$6*(1+$E476)^2*$G476+'Sensitivity &amp; Scenarios'!$C$11*'Sensitivity &amp; Scenarios'!$C$6*((1+$E476)^2-(1+$E476)^1))/(1+$C476)^('Sensitivity &amp; Scenarios'!$C$18+1)+('Sensitivity &amp; Scenarios'!$C$6*(1+$E476)^3*$G476+'Sensitivity &amp; Scenarios'!$C$11*'Sensitivity &amp; Scenarios'!$C$6*((1+$E476)^3-(1+$E476)^2))/(1+$C476)^('Sensitivity &amp; Scenarios'!$C$18+2)+('Sensitivity &amp; Scenarios'!$C$6*(1+$E476)^4*$G476+'Sensitivity &amp; Scenarios'!$C$11*'Sensitivity &amp; Scenarios'!$C$6*((1+$E476)^4-(1+$E476)^3))/(1+$C476)^('Sensitivity &amp; Scenarios'!$C$18+3)+('Sensitivity &amp; Scenarios'!$C$6*(1+$E476)^5*$G476+'Sensitivity &amp; Scenarios'!$C$11*'Sensitivity &amp; Scenarios'!$C$6*((1+$E476)^5-(1+$E476)^4))/(1+$C476)^('Sensitivity &amp; Scenarios'!$C$18+4)</f>
        <v>15623.535998630196</v>
      </c>
      <c r="I476" s="209">
        <f>('Sensitivity &amp; Scenarios'!$C$6*(1+$E476)^5*$G476+'Sensitivity &amp; Scenarios'!$C$11*'Sensitivity &amp; Scenarios'!$C$6*((1+$E476)^5-(1+$E476)^4))*(1+$D476)/($C476-$D476)/(1+$C476)^('Sensitivity &amp; Scenarios'!$C$18+4)</f>
        <v>36240.786796498636</v>
      </c>
      <c r="J476" s="209">
        <f>($H476+$I476-'Sensitivity &amp; Scenarios'!$C$15+'Sensitivity &amp; Scenarios'!$C$16)/'Sensitivity &amp; Scenarios'!$C$17</f>
        <v>1378.2416936616487</v>
      </c>
    </row>
    <row r="477" spans="2:10" x14ac:dyDescent="0.3">
      <c r="B477" s="127">
        <v>447</v>
      </c>
      <c r="C477" s="206">
        <f>$D$7+0.687761*$E$7</f>
        <v>0.14442986943997799</v>
      </c>
      <c r="D477" s="206">
        <f>MIN($D$8+1.212884*$E$8,'Debt &amp; Cost of Capital'!$C$38)</f>
        <v>6.2277303999999999E-2</v>
      </c>
      <c r="E477" s="207">
        <f>$D$9+1.10917*$E$9</f>
        <v>0.20049619770254634</v>
      </c>
      <c r="F477" s="207">
        <f>$D$10+-1.592013*$E$10</f>
        <v>0.1258958439999999</v>
      </c>
      <c r="G477" s="208">
        <f>$F477*(1-'Sensitivity &amp; Scenarios'!$C$12)+'Sensitivity &amp; Scenarios'!$C$9*'Sensitivity &amp; Scenarios'!$C$12-'Sensitivity &amp; Scenarios'!$C$10</f>
        <v>6.340327815366463E-2</v>
      </c>
      <c r="H477" s="209">
        <f>('Sensitivity &amp; Scenarios'!$C$6*(1+$E477)^1*$G477+'Sensitivity &amp; Scenarios'!$C$11*'Sensitivity &amp; Scenarios'!$C$6*((1+$E477)^1-(1+$E477)^0))*'Sensitivity &amp; Scenarios'!$C$18/(1+$C477)^'Sensitivity &amp; Scenarios'!$C$18+('Sensitivity &amp; Scenarios'!$C$6*(1+$E477)^2*$G477+'Sensitivity &amp; Scenarios'!$C$11*'Sensitivity &amp; Scenarios'!$C$6*((1+$E477)^2-(1+$E477)^1))/(1+$C477)^('Sensitivity &amp; Scenarios'!$C$18+1)+('Sensitivity &amp; Scenarios'!$C$6*(1+$E477)^3*$G477+'Sensitivity &amp; Scenarios'!$C$11*'Sensitivity &amp; Scenarios'!$C$6*((1+$E477)^3-(1+$E477)^2))/(1+$C477)^('Sensitivity &amp; Scenarios'!$C$18+2)+('Sensitivity &amp; Scenarios'!$C$6*(1+$E477)^4*$G477+'Sensitivity &amp; Scenarios'!$C$11*'Sensitivity &amp; Scenarios'!$C$6*((1+$E477)^4-(1+$E477)^3))/(1+$C477)^('Sensitivity &amp; Scenarios'!$C$18+3)+('Sensitivity &amp; Scenarios'!$C$6*(1+$E477)^5*$G477+'Sensitivity &amp; Scenarios'!$C$11*'Sensitivity &amp; Scenarios'!$C$6*((1+$E477)^5-(1+$E477)^4))/(1+$C477)^('Sensitivity &amp; Scenarios'!$C$18+4)</f>
        <v>21931.612663089891</v>
      </c>
      <c r="I477" s="209">
        <f>('Sensitivity &amp; Scenarios'!$C$6*(1+$E477)^5*$G477+'Sensitivity &amp; Scenarios'!$C$11*'Sensitivity &amp; Scenarios'!$C$6*((1+$E477)^5-(1+$E477)^4))*(1+$D477)/($C477-$D477)/(1+$C477)^('Sensitivity &amp; Scenarios'!$C$18+4)</f>
        <v>66709.509614013034</v>
      </c>
      <c r="J477" s="209">
        <f>($H477+$I477-'Sensitivity &amp; Scenarios'!$C$15+'Sensitivity &amp; Scenarios'!$C$16)/'Sensitivity &amp; Scenarios'!$C$17</f>
        <v>2152.3483200684773</v>
      </c>
    </row>
    <row r="478" spans="2:10" x14ac:dyDescent="0.3">
      <c r="B478" s="127">
        <v>448</v>
      </c>
      <c r="C478" s="206">
        <f>$D$7+0.301552*$E$7</f>
        <v>0.14056777943997797</v>
      </c>
      <c r="D478" s="206">
        <f>MIN($D$8+1.015515*$E$8,'Debt &amp; Cost of Capital'!$C$38)</f>
        <v>6.1093090000000003E-2</v>
      </c>
      <c r="E478" s="207">
        <f>$D$9+-1.658336*$E$9</f>
        <v>0.11747101770254634</v>
      </c>
      <c r="F478" s="207">
        <f>$D$10+-0.007905*$E$10</f>
        <v>0.1449051399999999</v>
      </c>
      <c r="G478" s="208">
        <f>$F478*(1-'Sensitivity &amp; Scenarios'!$C$12)+'Sensitivity &amp; Scenarios'!$C$9*'Sensitivity &amp; Scenarios'!$C$12-'Sensitivity &amp; Scenarios'!$C$10</f>
        <v>7.7627934350464639E-2</v>
      </c>
      <c r="H478" s="209">
        <f>('Sensitivity &amp; Scenarios'!$C$6*(1+$E478)^1*$G478+'Sensitivity &amp; Scenarios'!$C$11*'Sensitivity &amp; Scenarios'!$C$6*((1+$E478)^1-(1+$E478)^0))*'Sensitivity &amp; Scenarios'!$C$18/(1+$C478)^'Sensitivity &amp; Scenarios'!$C$18+('Sensitivity &amp; Scenarios'!$C$6*(1+$E478)^2*$G478+'Sensitivity &amp; Scenarios'!$C$11*'Sensitivity &amp; Scenarios'!$C$6*((1+$E478)^2-(1+$E478)^1))/(1+$C478)^('Sensitivity &amp; Scenarios'!$C$18+1)+('Sensitivity &amp; Scenarios'!$C$6*(1+$E478)^3*$G478+'Sensitivity &amp; Scenarios'!$C$11*'Sensitivity &amp; Scenarios'!$C$6*((1+$E478)^3-(1+$E478)^2))/(1+$C478)^('Sensitivity &amp; Scenarios'!$C$18+2)+('Sensitivity &amp; Scenarios'!$C$6*(1+$E478)^4*$G478+'Sensitivity &amp; Scenarios'!$C$11*'Sensitivity &amp; Scenarios'!$C$6*((1+$E478)^4-(1+$E478)^3))/(1+$C478)^('Sensitivity &amp; Scenarios'!$C$18+3)+('Sensitivity &amp; Scenarios'!$C$6*(1+$E478)^5*$G478+'Sensitivity &amp; Scenarios'!$C$11*'Sensitivity &amp; Scenarios'!$C$6*((1+$E478)^5-(1+$E478)^4))/(1+$C478)^('Sensitivity &amp; Scenarios'!$C$18+4)</f>
        <v>19223.492746173833</v>
      </c>
      <c r="I478" s="209">
        <f>('Sensitivity &amp; Scenarios'!$C$6*(1+$E478)^5*$G478+'Sensitivity &amp; Scenarios'!$C$11*'Sensitivity &amp; Scenarios'!$C$6*((1+$E478)^5-(1+$E478)^4))*(1+$D478)/($C478-$D478)/(1+$C478)^('Sensitivity &amp; Scenarios'!$C$18+4)</f>
        <v>53330.966047949529</v>
      </c>
      <c r="J478" s="209">
        <f>($H478+$I478-'Sensitivity &amp; Scenarios'!$C$15+'Sensitivity &amp; Scenarios'!$C$16)/'Sensitivity &amp; Scenarios'!$C$17</f>
        <v>1813.743738529105</v>
      </c>
    </row>
    <row r="479" spans="2:10" x14ac:dyDescent="0.3">
      <c r="B479" s="127">
        <v>449</v>
      </c>
      <c r="C479" s="206">
        <f>$D$7+0.273842*$E$7</f>
        <v>0.14029067943997797</v>
      </c>
      <c r="D479" s="206">
        <f>MIN($D$8+-0.300765*$E$8,'Debt &amp; Cost of Capital'!$C$38)</f>
        <v>5.3195409999999999E-2</v>
      </c>
      <c r="E479" s="207">
        <f>$D$9+-1.852162*$E$9</f>
        <v>0.11165623770254635</v>
      </c>
      <c r="F479" s="207">
        <f>$D$10+-0.325698*$E$10</f>
        <v>0.14109162399999992</v>
      </c>
      <c r="G479" s="208">
        <f>$F479*(1-'Sensitivity &amp; Scenarios'!$C$12)+'Sensitivity &amp; Scenarios'!$C$9*'Sensitivity &amp; Scenarios'!$C$12-'Sensitivity &amp; Scenarios'!$C$10</f>
        <v>7.4774280327664644E-2</v>
      </c>
      <c r="H479" s="209">
        <f>('Sensitivity &amp; Scenarios'!$C$6*(1+$E479)^1*$G479+'Sensitivity &amp; Scenarios'!$C$11*'Sensitivity &amp; Scenarios'!$C$6*((1+$E479)^1-(1+$E479)^0))*'Sensitivity &amp; Scenarios'!$C$18/(1+$C479)^'Sensitivity &amp; Scenarios'!$C$18+('Sensitivity &amp; Scenarios'!$C$6*(1+$E479)^2*$G479+'Sensitivity &amp; Scenarios'!$C$11*'Sensitivity &amp; Scenarios'!$C$6*((1+$E479)^2-(1+$E479)^1))/(1+$C479)^('Sensitivity &amp; Scenarios'!$C$18+1)+('Sensitivity &amp; Scenarios'!$C$6*(1+$E479)^3*$G479+'Sensitivity &amp; Scenarios'!$C$11*'Sensitivity &amp; Scenarios'!$C$6*((1+$E479)^3-(1+$E479)^2))/(1+$C479)^('Sensitivity &amp; Scenarios'!$C$18+2)+('Sensitivity &amp; Scenarios'!$C$6*(1+$E479)^4*$G479+'Sensitivity &amp; Scenarios'!$C$11*'Sensitivity &amp; Scenarios'!$C$6*((1+$E479)^4-(1+$E479)^3))/(1+$C479)^('Sensitivity &amp; Scenarios'!$C$18+3)+('Sensitivity &amp; Scenarios'!$C$6*(1+$E479)^5*$G479+'Sensitivity &amp; Scenarios'!$C$11*'Sensitivity &amp; Scenarios'!$C$6*((1+$E479)^5-(1+$E479)^4))/(1+$C479)^('Sensitivity &amp; Scenarios'!$C$18+4)</f>
        <v>18211.284723411776</v>
      </c>
      <c r="I479" s="209">
        <f>('Sensitivity &amp; Scenarios'!$C$6*(1+$E479)^5*$G479+'Sensitivity &amp; Scenarios'!$C$11*'Sensitivity &amp; Scenarios'!$C$6*((1+$E479)^5-(1+$E479)^4))*(1+$D479)/($C479-$D479)/(1+$C479)^('Sensitivity &amp; Scenarios'!$C$18+4)</f>
        <v>45332.453988423513</v>
      </c>
      <c r="J479" s="209">
        <f>($H479+$I479-'Sensitivity &amp; Scenarios'!$C$15+'Sensitivity &amp; Scenarios'!$C$16)/'Sensitivity &amp; Scenarios'!$C$17</f>
        <v>1624.0791069502982</v>
      </c>
    </row>
    <row r="480" spans="2:10" x14ac:dyDescent="0.3">
      <c r="B480" s="127">
        <v>450</v>
      </c>
      <c r="C480" s="206">
        <f>$D$7+-0.327305*$E$7</f>
        <v>0.13427920943997798</v>
      </c>
      <c r="D480" s="206">
        <f>MIN($D$8+-0.148072*$E$8,'Debt &amp; Cost of Capital'!$C$38)</f>
        <v>5.4111567999999999E-2</v>
      </c>
      <c r="E480" s="207">
        <f>$D$9+-0.563471*$E$9</f>
        <v>0.15031696770254635</v>
      </c>
      <c r="F480" s="207">
        <f>$D$10+-0.443012*$E$10</f>
        <v>0.13968385599999991</v>
      </c>
      <c r="G480" s="208">
        <f>$F480*(1-'Sensitivity &amp; Scenarios'!$C$12)+'Sensitivity &amp; Scenarios'!$C$9*'Sensitivity &amp; Scenarios'!$C$12-'Sensitivity &amp; Scenarios'!$C$10</f>
        <v>7.3720847533264647E-2</v>
      </c>
      <c r="H480" s="209">
        <f>('Sensitivity &amp; Scenarios'!$C$6*(1+$E480)^1*$G480+'Sensitivity &amp; Scenarios'!$C$11*'Sensitivity &amp; Scenarios'!$C$6*((1+$E480)^1-(1+$E480)^0))*'Sensitivity &amp; Scenarios'!$C$18/(1+$C480)^'Sensitivity &amp; Scenarios'!$C$18+('Sensitivity &amp; Scenarios'!$C$6*(1+$E480)^2*$G480+'Sensitivity &amp; Scenarios'!$C$11*'Sensitivity &amp; Scenarios'!$C$6*((1+$E480)^2-(1+$E480)^1))/(1+$C480)^('Sensitivity &amp; Scenarios'!$C$18+1)+('Sensitivity &amp; Scenarios'!$C$6*(1+$E480)^3*$G480+'Sensitivity &amp; Scenarios'!$C$11*'Sensitivity &amp; Scenarios'!$C$6*((1+$E480)^3-(1+$E480)^2))/(1+$C480)^('Sensitivity &amp; Scenarios'!$C$18+2)+('Sensitivity &amp; Scenarios'!$C$6*(1+$E480)^4*$G480+'Sensitivity &amp; Scenarios'!$C$11*'Sensitivity &amp; Scenarios'!$C$6*((1+$E480)^4-(1+$E480)^3))/(1+$C480)^('Sensitivity &amp; Scenarios'!$C$18+3)+('Sensitivity &amp; Scenarios'!$C$6*(1+$E480)^5*$G480+'Sensitivity &amp; Scenarios'!$C$11*'Sensitivity &amp; Scenarios'!$C$6*((1+$E480)^5-(1+$E480)^4))/(1+$C480)^('Sensitivity &amp; Scenarios'!$C$18+4)</f>
        <v>21125.815012279145</v>
      </c>
      <c r="I480" s="209">
        <f>('Sensitivity &amp; Scenarios'!$C$6*(1+$E480)^5*$G480+'Sensitivity &amp; Scenarios'!$C$11*'Sensitivity &amp; Scenarios'!$C$6*((1+$E480)^5-(1+$E480)^4))*(1+$D480)/($C480-$D480)/(1+$C480)^('Sensitivity &amp; Scenarios'!$C$18+4)</f>
        <v>61517.861634324378</v>
      </c>
      <c r="J480" s="209">
        <f>($H480+$I480-'Sensitivity &amp; Scenarios'!$C$15+'Sensitivity &amp; Scenarios'!$C$16)/'Sensitivity &amp; Scenarios'!$C$17</f>
        <v>2026.1094284444291</v>
      </c>
    </row>
    <row r="481" spans="2:10" x14ac:dyDescent="0.3">
      <c r="B481" s="127">
        <v>451</v>
      </c>
      <c r="C481" s="206">
        <f>$D$7+-0.039706*$E$7</f>
        <v>0.13715519943997798</v>
      </c>
      <c r="D481" s="206">
        <f>MIN($D$8+0.442455*$E$8,'Debt &amp; Cost of Capital'!$C$38)</f>
        <v>5.7654730000000001E-2</v>
      </c>
      <c r="E481" s="207">
        <f>$D$9+-0.304427*$E$9</f>
        <v>0.15808828770254635</v>
      </c>
      <c r="F481" s="207">
        <f>$D$10+-0.409649*$E$10</f>
        <v>0.1400842119999999</v>
      </c>
      <c r="G481" s="208">
        <f>$F481*(1-'Sensitivity &amp; Scenarios'!$C$12)+'Sensitivity &amp; Scenarios'!$C$9*'Sensitivity &amp; Scenarios'!$C$12-'Sensitivity &amp; Scenarios'!$C$10</f>
        <v>7.4020433928064636E-2</v>
      </c>
      <c r="H481" s="209">
        <f>('Sensitivity &amp; Scenarios'!$C$6*(1+$E481)^1*$G481+'Sensitivity &amp; Scenarios'!$C$11*'Sensitivity &amp; Scenarios'!$C$6*((1+$E481)^1-(1+$E481)^0))*'Sensitivity &amp; Scenarios'!$C$18/(1+$C481)^'Sensitivity &amp; Scenarios'!$C$18+('Sensitivity &amp; Scenarios'!$C$6*(1+$E481)^2*$G481+'Sensitivity &amp; Scenarios'!$C$11*'Sensitivity &amp; Scenarios'!$C$6*((1+$E481)^2-(1+$E481)^1))/(1+$C481)^('Sensitivity &amp; Scenarios'!$C$18+1)+('Sensitivity &amp; Scenarios'!$C$6*(1+$E481)^3*$G481+'Sensitivity &amp; Scenarios'!$C$11*'Sensitivity &amp; Scenarios'!$C$6*((1+$E481)^3-(1+$E481)^2))/(1+$C481)^('Sensitivity &amp; Scenarios'!$C$18+2)+('Sensitivity &amp; Scenarios'!$C$6*(1+$E481)^4*$G481+'Sensitivity &amp; Scenarios'!$C$11*'Sensitivity &amp; Scenarios'!$C$6*((1+$E481)^4-(1+$E481)^3))/(1+$C481)^('Sensitivity &amp; Scenarios'!$C$18+3)+('Sensitivity &amp; Scenarios'!$C$6*(1+$E481)^5*$G481+'Sensitivity &amp; Scenarios'!$C$11*'Sensitivity &amp; Scenarios'!$C$6*((1+$E481)^5-(1+$E481)^4))/(1+$C481)^('Sensitivity &amp; Scenarios'!$C$18+4)</f>
        <v>21659.511514428599</v>
      </c>
      <c r="I481" s="209">
        <f>('Sensitivity &amp; Scenarios'!$C$6*(1+$E481)^5*$G481+'Sensitivity &amp; Scenarios'!$C$11*'Sensitivity &amp; Scenarios'!$C$6*((1+$E481)^5-(1+$E481)^4))*(1+$D481)/($C481-$D481)/(1+$C481)^('Sensitivity &amp; Scenarios'!$C$18+4)</f>
        <v>64302.721043804842</v>
      </c>
      <c r="J481" s="209">
        <f>($H481+$I481-'Sensitivity &amp; Scenarios'!$C$15+'Sensitivity &amp; Scenarios'!$C$16)/'Sensitivity &amp; Scenarios'!$C$17</f>
        <v>2095.960969564896</v>
      </c>
    </row>
    <row r="482" spans="2:10" x14ac:dyDescent="0.3">
      <c r="B482" s="127">
        <v>452</v>
      </c>
      <c r="C482" s="206">
        <f>$D$7+0.092354*$E$7</f>
        <v>0.13847579943997798</v>
      </c>
      <c r="D482" s="206">
        <f>MIN($D$8+-1.920916*$E$8,'Debt &amp; Cost of Capital'!$C$38)</f>
        <v>4.3474503999999997E-2</v>
      </c>
      <c r="E482" s="207">
        <f>$D$9+0.477035*$E$9</f>
        <v>0.18153214770254633</v>
      </c>
      <c r="F482" s="207">
        <f>$D$10+-0.000563*$E$10</f>
        <v>0.14499324399999991</v>
      </c>
      <c r="G482" s="208">
        <f>$F482*(1-'Sensitivity &amp; Scenarios'!$C$12)+'Sensitivity &amp; Scenarios'!$C$9*'Sensitivity &amp; Scenarios'!$C$12-'Sensitivity &amp; Scenarios'!$C$10</f>
        <v>7.7693862573664632E-2</v>
      </c>
      <c r="H482" s="209">
        <f>('Sensitivity &amp; Scenarios'!$C$6*(1+$E482)^1*$G482+'Sensitivity &amp; Scenarios'!$C$11*'Sensitivity &amp; Scenarios'!$C$6*((1+$E482)^1-(1+$E482)^0))*'Sensitivity &amp; Scenarios'!$C$18/(1+$C482)^'Sensitivity &amp; Scenarios'!$C$18+('Sensitivity &amp; Scenarios'!$C$6*(1+$E482)^2*$G482+'Sensitivity &amp; Scenarios'!$C$11*'Sensitivity &amp; Scenarios'!$C$6*((1+$E482)^2-(1+$E482)^1))/(1+$C482)^('Sensitivity &amp; Scenarios'!$C$18+1)+('Sensitivity &amp; Scenarios'!$C$6*(1+$E482)^3*$G482+'Sensitivity &amp; Scenarios'!$C$11*'Sensitivity &amp; Scenarios'!$C$6*((1+$E482)^3-(1+$E482)^2))/(1+$C482)^('Sensitivity &amp; Scenarios'!$C$18+2)+('Sensitivity &amp; Scenarios'!$C$6*(1+$E482)^4*$G482+'Sensitivity &amp; Scenarios'!$C$11*'Sensitivity &amp; Scenarios'!$C$6*((1+$E482)^4-(1+$E482)^3))/(1+$C482)^('Sensitivity &amp; Scenarios'!$C$18+3)+('Sensitivity &amp; Scenarios'!$C$6*(1+$E482)^5*$G482+'Sensitivity &amp; Scenarios'!$C$11*'Sensitivity &amp; Scenarios'!$C$6*((1+$E482)^5-(1+$E482)^4))/(1+$C482)^('Sensitivity &amp; Scenarios'!$C$18+4)</f>
        <v>24459.208438474263</v>
      </c>
      <c r="I482" s="209">
        <f>('Sensitivity &amp; Scenarios'!$C$6*(1+$E482)^5*$G482+'Sensitivity &amp; Scenarios'!$C$11*'Sensitivity &amp; Scenarios'!$C$6*((1+$E482)^5-(1+$E482)^4))*(1+$D482)/($C482-$D482)/(1+$C482)^('Sensitivity &amp; Scenarios'!$C$18+4)</f>
        <v>62014.015217032509</v>
      </c>
      <c r="J482" s="209">
        <f>($H482+$I482-'Sensitivity &amp; Scenarios'!$C$15+'Sensitivity &amp; Scenarios'!$C$16)/'Sensitivity &amp; Scenarios'!$C$17</f>
        <v>2106.7167068777107</v>
      </c>
    </row>
    <row r="483" spans="2:10" x14ac:dyDescent="0.3">
      <c r="B483" s="127">
        <v>453</v>
      </c>
      <c r="C483" s="206">
        <f>$D$7+0.039694*$E$7</f>
        <v>0.13794919943997799</v>
      </c>
      <c r="D483" s="206">
        <f>MIN($D$8+0.960734*$E$8,'Debt &amp; Cost of Capital'!$C$38)</f>
        <v>6.0764404000000001E-2</v>
      </c>
      <c r="E483" s="207">
        <f>$D$9+-1.952816*$E$9</f>
        <v>0.10863661770254635</v>
      </c>
      <c r="F483" s="207">
        <f>$D$10+-1.973834*$E$10</f>
        <v>0.1213139919999999</v>
      </c>
      <c r="G483" s="208">
        <f>$F483*(1-'Sensitivity &amp; Scenarios'!$C$12)+'Sensitivity &amp; Scenarios'!$C$9*'Sensitivity &amp; Scenarios'!$C$12-'Sensitivity &amp; Scenarios'!$C$10</f>
        <v>5.9974678302064627E-2</v>
      </c>
      <c r="H483" s="209">
        <f>('Sensitivity &amp; Scenarios'!$C$6*(1+$E483)^1*$G483+'Sensitivity &amp; Scenarios'!$C$11*'Sensitivity &amp; Scenarios'!$C$6*((1+$E483)^1-(1+$E483)^0))*'Sensitivity &amp; Scenarios'!$C$18/(1+$C483)^'Sensitivity &amp; Scenarios'!$C$18+('Sensitivity &amp; Scenarios'!$C$6*(1+$E483)^2*$G483+'Sensitivity &amp; Scenarios'!$C$11*'Sensitivity &amp; Scenarios'!$C$6*((1+$E483)^2-(1+$E483)^1))/(1+$C483)^('Sensitivity &amp; Scenarios'!$C$18+1)+('Sensitivity &amp; Scenarios'!$C$6*(1+$E483)^3*$G483+'Sensitivity &amp; Scenarios'!$C$11*'Sensitivity &amp; Scenarios'!$C$6*((1+$E483)^3-(1+$E483)^2))/(1+$C483)^('Sensitivity &amp; Scenarios'!$C$18+2)+('Sensitivity &amp; Scenarios'!$C$6*(1+$E483)^4*$G483+'Sensitivity &amp; Scenarios'!$C$11*'Sensitivity &amp; Scenarios'!$C$6*((1+$E483)^4-(1+$E483)^3))/(1+$C483)^('Sensitivity &amp; Scenarios'!$C$18+3)+('Sensitivity &amp; Scenarios'!$C$6*(1+$E483)^5*$G483+'Sensitivity &amp; Scenarios'!$C$11*'Sensitivity &amp; Scenarios'!$C$6*((1+$E483)^5-(1+$E483)^4))/(1+$C483)^('Sensitivity &amp; Scenarios'!$C$18+4)</f>
        <v>14971.360293807415</v>
      </c>
      <c r="I483" s="209">
        <f>('Sensitivity &amp; Scenarios'!$C$6*(1+$E483)^5*$G483+'Sensitivity &amp; Scenarios'!$C$11*'Sensitivity &amp; Scenarios'!$C$6*((1+$E483)^5-(1+$E483)^4))*(1+$D483)/($C483-$D483)/(1+$C483)^('Sensitivity &amp; Scenarios'!$C$18+4)</f>
        <v>42301.691019313948</v>
      </c>
      <c r="J483" s="209">
        <f>($H483+$I483-'Sensitivity &amp; Scenarios'!$C$15+'Sensitivity &amp; Scenarios'!$C$16)/'Sensitivity &amp; Scenarios'!$C$17</f>
        <v>1492.0888104632563</v>
      </c>
    </row>
    <row r="484" spans="2:10" x14ac:dyDescent="0.3">
      <c r="B484" s="127">
        <v>454</v>
      </c>
      <c r="C484" s="206">
        <f>$D$7+0.273804*$E$7</f>
        <v>0.14029029943997798</v>
      </c>
      <c r="D484" s="206">
        <f>MIN($D$8+-0.007117*$E$8,'Debt &amp; Cost of Capital'!$C$38)</f>
        <v>5.4957298000000002E-2</v>
      </c>
      <c r="E484" s="207">
        <f>$D$9+0.170177*$E$9</f>
        <v>0.17232640770254634</v>
      </c>
      <c r="F484" s="207">
        <f>$D$10+-0.462127*$E$10</f>
        <v>0.13945447599999991</v>
      </c>
      <c r="G484" s="208">
        <f>$F484*(1-'Sensitivity &amp; Scenarios'!$C$12)+'Sensitivity &amp; Scenarios'!$C$9*'Sensitivity &amp; Scenarios'!$C$12-'Sensitivity &amp; Scenarios'!$C$10</f>
        <v>7.3549202479264636E-2</v>
      </c>
      <c r="H484" s="209">
        <f>('Sensitivity &amp; Scenarios'!$C$6*(1+$E484)^1*$G484+'Sensitivity &amp; Scenarios'!$C$11*'Sensitivity &amp; Scenarios'!$C$6*((1+$E484)^1-(1+$E484)^0))*'Sensitivity &amp; Scenarios'!$C$18/(1+$C484)^'Sensitivity &amp; Scenarios'!$C$18+('Sensitivity &amp; Scenarios'!$C$6*(1+$E484)^2*$G484+'Sensitivity &amp; Scenarios'!$C$11*'Sensitivity &amp; Scenarios'!$C$6*((1+$E484)^2-(1+$E484)^1))/(1+$C484)^('Sensitivity &amp; Scenarios'!$C$18+1)+('Sensitivity &amp; Scenarios'!$C$6*(1+$E484)^3*$G484+'Sensitivity &amp; Scenarios'!$C$11*'Sensitivity &amp; Scenarios'!$C$6*((1+$E484)^3-(1+$E484)^2))/(1+$C484)^('Sensitivity &amp; Scenarios'!$C$18+2)+('Sensitivity &amp; Scenarios'!$C$6*(1+$E484)^4*$G484+'Sensitivity &amp; Scenarios'!$C$11*'Sensitivity &amp; Scenarios'!$C$6*((1+$E484)^4-(1+$E484)^3))/(1+$C484)^('Sensitivity &amp; Scenarios'!$C$18+3)+('Sensitivity &amp; Scenarios'!$C$6*(1+$E484)^5*$G484+'Sensitivity &amp; Scenarios'!$C$11*'Sensitivity &amp; Scenarios'!$C$6*((1+$E484)^5-(1+$E484)^4))/(1+$C484)^('Sensitivity &amp; Scenarios'!$C$18+4)</f>
        <v>22519.551805093855</v>
      </c>
      <c r="I484" s="209">
        <f>('Sensitivity &amp; Scenarios'!$C$6*(1+$E484)^5*$G484+'Sensitivity &amp; Scenarios'!$C$11*'Sensitivity &amp; Scenarios'!$C$6*((1+$E484)^5-(1+$E484)^4))*(1+$D484)/($C484-$D484)/(1+$C484)^('Sensitivity &amp; Scenarios'!$C$18+4)</f>
        <v>63195.130853525196</v>
      </c>
      <c r="J484" s="209">
        <f>($H484+$I484-'Sensitivity &amp; Scenarios'!$C$15+'Sensitivity &amp; Scenarios'!$C$16)/'Sensitivity &amp; Scenarios'!$C$17</f>
        <v>2090.7503470975503</v>
      </c>
    </row>
    <row r="485" spans="2:10" x14ac:dyDescent="0.3">
      <c r="B485" s="127">
        <v>455</v>
      </c>
      <c r="C485" s="206">
        <f>$D$7+0.664354*$E$7</f>
        <v>0.14419579943997798</v>
      </c>
      <c r="D485" s="206">
        <f>MIN($D$8+0.932639*$E$8,'Debt &amp; Cost of Capital'!$C$38)</f>
        <v>6.0595834000000001E-2</v>
      </c>
      <c r="E485" s="207">
        <f>$D$9+0.483982*$E$9</f>
        <v>0.18174055770254635</v>
      </c>
      <c r="F485" s="207">
        <f>$D$10+-0.260828*$E$10</f>
        <v>0.14187006399999991</v>
      </c>
      <c r="G485" s="208">
        <f>$F485*(1-'Sensitivity &amp; Scenarios'!$C$12)+'Sensitivity &amp; Scenarios'!$C$9*'Sensitivity &amp; Scenarios'!$C$12-'Sensitivity &amp; Scenarios'!$C$10</f>
        <v>7.5356786979664636E-2</v>
      </c>
      <c r="H485" s="209">
        <f>('Sensitivity &amp; Scenarios'!$C$6*(1+$E485)^1*$G485+'Sensitivity &amp; Scenarios'!$C$11*'Sensitivity &amp; Scenarios'!$C$6*((1+$E485)^1-(1+$E485)^0))*'Sensitivity &amp; Scenarios'!$C$18/(1+$C485)^'Sensitivity &amp; Scenarios'!$C$18+('Sensitivity &amp; Scenarios'!$C$6*(1+$E485)^2*$G485+'Sensitivity &amp; Scenarios'!$C$11*'Sensitivity &amp; Scenarios'!$C$6*((1+$E485)^2-(1+$E485)^1))/(1+$C485)^('Sensitivity &amp; Scenarios'!$C$18+1)+('Sensitivity &amp; Scenarios'!$C$6*(1+$E485)^3*$G485+'Sensitivity &amp; Scenarios'!$C$11*'Sensitivity &amp; Scenarios'!$C$6*((1+$E485)^3-(1+$E485)^2))/(1+$C485)^('Sensitivity &amp; Scenarios'!$C$18+2)+('Sensitivity &amp; Scenarios'!$C$6*(1+$E485)^4*$G485+'Sensitivity &amp; Scenarios'!$C$11*'Sensitivity &amp; Scenarios'!$C$6*((1+$E485)^4-(1+$E485)^3))/(1+$C485)^('Sensitivity &amp; Scenarios'!$C$18+3)+('Sensitivity &amp; Scenarios'!$C$6*(1+$E485)^5*$G485+'Sensitivity &amp; Scenarios'!$C$11*'Sensitivity &amp; Scenarios'!$C$6*((1+$E485)^5-(1+$E485)^4))/(1+$C485)^('Sensitivity &amp; Scenarios'!$C$18+4)</f>
        <v>23533.66123839132</v>
      </c>
      <c r="I485" s="209">
        <f>('Sensitivity &amp; Scenarios'!$C$6*(1+$E485)^5*$G485+'Sensitivity &amp; Scenarios'!$C$11*'Sensitivity &amp; Scenarios'!$C$6*((1+$E485)^5-(1+$E485)^4))*(1+$D485)/($C485-$D485)/(1+$C485)^('Sensitivity &amp; Scenarios'!$C$18+4)</f>
        <v>68327.163469867766</v>
      </c>
      <c r="J485" s="209">
        <f>($H485+$I485-'Sensitivity &amp; Scenarios'!$C$15+'Sensitivity &amp; Scenarios'!$C$16)/'Sensitivity &amp; Scenarios'!$C$17</f>
        <v>2220.1191163890703</v>
      </c>
    </row>
    <row r="486" spans="2:10" x14ac:dyDescent="0.3">
      <c r="B486" s="127">
        <v>456</v>
      </c>
      <c r="C486" s="206">
        <f>$D$7+-2.107689*$E$7</f>
        <v>0.11647536943997798</v>
      </c>
      <c r="D486" s="206">
        <f>MIN($D$8+0.769236*$E$8,'Debt &amp; Cost of Capital'!$C$38)</f>
        <v>5.9615416000000004E-2</v>
      </c>
      <c r="E486" s="207">
        <f>$D$9+1.221729*$E$9</f>
        <v>0.20387296770254634</v>
      </c>
      <c r="F486" s="207">
        <f>$D$10+0.644558*$E$10</f>
        <v>0.15273469599999992</v>
      </c>
      <c r="G486" s="208">
        <f>$F486*(1-'Sensitivity &amp; Scenarios'!$C$12)+'Sensitivity &amp; Scenarios'!$C$9*'Sensitivity &amp; Scenarios'!$C$12-'Sensitivity &amp; Scenarios'!$C$10</f>
        <v>8.3486791105264649E-2</v>
      </c>
      <c r="H486" s="209">
        <f>('Sensitivity &amp; Scenarios'!$C$6*(1+$E486)^1*$G486+'Sensitivity &amp; Scenarios'!$C$11*'Sensitivity &amp; Scenarios'!$C$6*((1+$E486)^1-(1+$E486)^0))*'Sensitivity &amp; Scenarios'!$C$18/(1+$C486)^'Sensitivity &amp; Scenarios'!$C$18+('Sensitivity &amp; Scenarios'!$C$6*(1+$E486)^2*$G486+'Sensitivity &amp; Scenarios'!$C$11*'Sensitivity &amp; Scenarios'!$C$6*((1+$E486)^2-(1+$E486)^1))/(1+$C486)^('Sensitivity &amp; Scenarios'!$C$18+1)+('Sensitivity &amp; Scenarios'!$C$6*(1+$E486)^3*$G486+'Sensitivity &amp; Scenarios'!$C$11*'Sensitivity &amp; Scenarios'!$C$6*((1+$E486)^3-(1+$E486)^2))/(1+$C486)^('Sensitivity &amp; Scenarios'!$C$18+2)+('Sensitivity &amp; Scenarios'!$C$6*(1+$E486)^4*$G486+'Sensitivity &amp; Scenarios'!$C$11*'Sensitivity &amp; Scenarios'!$C$6*((1+$E486)^4-(1+$E486)^3))/(1+$C486)^('Sensitivity &amp; Scenarios'!$C$18+3)+('Sensitivity &amp; Scenarios'!$C$6*(1+$E486)^5*$G486+'Sensitivity &amp; Scenarios'!$C$11*'Sensitivity &amp; Scenarios'!$C$6*((1+$E486)^5-(1+$E486)^4))/(1+$C486)^('Sensitivity &amp; Scenarios'!$C$18+4)</f>
        <v>29696.512858335045</v>
      </c>
      <c r="I486" s="209">
        <f>('Sensitivity &amp; Scenarios'!$C$6*(1+$E486)^5*$G486+'Sensitivity &amp; Scenarios'!$C$11*'Sensitivity &amp; Scenarios'!$C$6*((1+$E486)^5-(1+$E486)^4))*(1+$D486)/($C486-$D486)/(1+$C486)^('Sensitivity &amp; Scenarios'!$C$18+4)</f>
        <v>136534.10028299061</v>
      </c>
      <c r="J486" s="209">
        <f>($H486+$I486-'Sensitivity &amp; Scenarios'!$C$15+'Sensitivity &amp; Scenarios'!$C$16)/'Sensitivity &amp; Scenarios'!$C$17</f>
        <v>3785.5121587806025</v>
      </c>
    </row>
    <row r="487" spans="2:10" x14ac:dyDescent="0.3">
      <c r="B487" s="127">
        <v>457</v>
      </c>
      <c r="C487" s="206">
        <f>$D$7+-0.879642*$E$7</f>
        <v>0.12875583943997798</v>
      </c>
      <c r="D487" s="206">
        <f>MIN($D$8+0.673794*$E$8,'Debt &amp; Cost of Capital'!$C$38)</f>
        <v>5.9042763999999998E-2</v>
      </c>
      <c r="E487" s="207">
        <f>$D$9+0.86053*$E$9</f>
        <v>0.19303699770254634</v>
      </c>
      <c r="F487" s="207">
        <f>$D$10+1.558816*$E$10</f>
        <v>0.16370579199999991</v>
      </c>
      <c r="G487" s="208">
        <f>$F487*(1-'Sensitivity &amp; Scenarios'!$C$12)+'Sensitivity &amp; Scenarios'!$C$9*'Sensitivity &amp; Scenarios'!$C$12-'Sensitivity &amp; Scenarios'!$C$10</f>
        <v>9.1696462242064652E-2</v>
      </c>
      <c r="H487" s="209">
        <f>('Sensitivity &amp; Scenarios'!$C$6*(1+$E487)^1*$G487+'Sensitivity &amp; Scenarios'!$C$11*'Sensitivity &amp; Scenarios'!$C$6*((1+$E487)^1-(1+$E487)^0))*'Sensitivity &amp; Scenarios'!$C$18/(1+$C487)^'Sensitivity &amp; Scenarios'!$C$18+('Sensitivity &amp; Scenarios'!$C$6*(1+$E487)^2*$G487+'Sensitivity &amp; Scenarios'!$C$11*'Sensitivity &amp; Scenarios'!$C$6*((1+$E487)^2-(1+$E487)^1))/(1+$C487)^('Sensitivity &amp; Scenarios'!$C$18+1)+('Sensitivity &amp; Scenarios'!$C$6*(1+$E487)^3*$G487+'Sensitivity &amp; Scenarios'!$C$11*'Sensitivity &amp; Scenarios'!$C$6*((1+$E487)^3-(1+$E487)^2))/(1+$C487)^('Sensitivity &amp; Scenarios'!$C$18+2)+('Sensitivity &amp; Scenarios'!$C$6*(1+$E487)^4*$G487+'Sensitivity &amp; Scenarios'!$C$11*'Sensitivity &amp; Scenarios'!$C$6*((1+$E487)^4-(1+$E487)^3))/(1+$C487)^('Sensitivity &amp; Scenarios'!$C$18+3)+('Sensitivity &amp; Scenarios'!$C$6*(1+$E487)^5*$G487+'Sensitivity &amp; Scenarios'!$C$11*'Sensitivity &amp; Scenarios'!$C$6*((1+$E487)^5-(1+$E487)^4))/(1+$C487)^('Sensitivity &amp; Scenarios'!$C$18+4)</f>
        <v>29944.759685456076</v>
      </c>
      <c r="I487" s="209">
        <f>('Sensitivity &amp; Scenarios'!$C$6*(1+$E487)^5*$G487+'Sensitivity &amp; Scenarios'!$C$11*'Sensitivity &amp; Scenarios'!$C$6*((1+$E487)^5-(1+$E487)^4))*(1+$D487)/($C487-$D487)/(1+$C487)^('Sensitivity &amp; Scenarios'!$C$18+4)</f>
        <v>108432.26528462311</v>
      </c>
      <c r="J487" s="209">
        <f>($H487+$I487-'Sensitivity &amp; Scenarios'!$C$15+'Sensitivity &amp; Scenarios'!$C$16)/'Sensitivity &amp; Scenarios'!$C$17</f>
        <v>3199.2282113931456</v>
      </c>
    </row>
    <row r="488" spans="2:10" x14ac:dyDescent="0.3">
      <c r="B488" s="127">
        <v>458</v>
      </c>
      <c r="C488" s="206">
        <f>$D$7+-0.87611*$E$7</f>
        <v>0.12879115943997799</v>
      </c>
      <c r="D488" s="206">
        <f>MIN($D$8+-0.226455*$E$8,'Debt &amp; Cost of Capital'!$C$38)</f>
        <v>5.3641269999999998E-2</v>
      </c>
      <c r="E488" s="207">
        <f>$D$9+0.747272*$E$9</f>
        <v>0.18963925770254633</v>
      </c>
      <c r="F488" s="207">
        <f>$D$10+0.05741*$E$10</f>
        <v>0.14568891999999992</v>
      </c>
      <c r="G488" s="208">
        <f>$F488*(1-'Sensitivity &amp; Scenarios'!$C$12)+'Sensitivity &amp; Scenarios'!$C$9*'Sensitivity &amp; Scenarios'!$C$12-'Sensitivity &amp; Scenarios'!$C$10</f>
        <v>7.8214436924464642E-2</v>
      </c>
      <c r="H488" s="209">
        <f>('Sensitivity &amp; Scenarios'!$C$6*(1+$E488)^1*$G488+'Sensitivity &amp; Scenarios'!$C$11*'Sensitivity &amp; Scenarios'!$C$6*((1+$E488)^1-(1+$E488)^0))*'Sensitivity &amp; Scenarios'!$C$18/(1+$C488)^'Sensitivity &amp; Scenarios'!$C$18+('Sensitivity &amp; Scenarios'!$C$6*(1+$E488)^2*$G488+'Sensitivity &amp; Scenarios'!$C$11*'Sensitivity &amp; Scenarios'!$C$6*((1+$E488)^2-(1+$E488)^1))/(1+$C488)^('Sensitivity &amp; Scenarios'!$C$18+1)+('Sensitivity &amp; Scenarios'!$C$6*(1+$E488)^3*$G488+'Sensitivity &amp; Scenarios'!$C$11*'Sensitivity &amp; Scenarios'!$C$6*((1+$E488)^3-(1+$E488)^2))/(1+$C488)^('Sensitivity &amp; Scenarios'!$C$18+2)+('Sensitivity &amp; Scenarios'!$C$6*(1+$E488)^4*$G488+'Sensitivity &amp; Scenarios'!$C$11*'Sensitivity &amp; Scenarios'!$C$6*((1+$E488)^4-(1+$E488)^3))/(1+$C488)^('Sensitivity &amp; Scenarios'!$C$18+3)+('Sensitivity &amp; Scenarios'!$C$6*(1+$E488)^5*$G488+'Sensitivity &amp; Scenarios'!$C$11*'Sensitivity &amp; Scenarios'!$C$6*((1+$E488)^5-(1+$E488)^4))/(1+$C488)^('Sensitivity &amp; Scenarios'!$C$18+4)</f>
        <v>25941.274386101722</v>
      </c>
      <c r="I488" s="209">
        <f>('Sensitivity &amp; Scenarios'!$C$6*(1+$E488)^5*$G488+'Sensitivity &amp; Scenarios'!$C$11*'Sensitivity &amp; Scenarios'!$C$6*((1+$E488)^5-(1+$E488)^4))*(1+$D488)/($C488-$D488)/(1+$C488)^('Sensitivity &amp; Scenarios'!$C$18+4)</f>
        <v>86260.178449907398</v>
      </c>
      <c r="J488" s="209">
        <f>($H488+$I488-'Sensitivity &amp; Scenarios'!$C$15+'Sensitivity &amp; Scenarios'!$C$16)/'Sensitivity &amp; Scenarios'!$C$17</f>
        <v>2648.2644482493411</v>
      </c>
    </row>
    <row r="489" spans="2:10" x14ac:dyDescent="0.3">
      <c r="B489" s="127">
        <v>459</v>
      </c>
      <c r="C489" s="206">
        <f>$D$7+-1.117328*$E$7</f>
        <v>0.12637897943997797</v>
      </c>
      <c r="D489" s="206">
        <f>MIN($D$8+0.414616*$E$8,'Debt &amp; Cost of Capital'!$C$38)</f>
        <v>5.7487695999999998E-2</v>
      </c>
      <c r="E489" s="207">
        <f>$D$9+0.578662*$E$9</f>
        <v>0.18458095770254634</v>
      </c>
      <c r="F489" s="207">
        <f>$D$10+0.087963*$E$10</f>
        <v>0.14605555599999992</v>
      </c>
      <c r="G489" s="208">
        <f>$F489*(1-'Sensitivity &amp; Scenarios'!$C$12)+'Sensitivity &amp; Scenarios'!$C$9*'Sensitivity &amp; Scenarios'!$C$12-'Sensitivity &amp; Scenarios'!$C$10</f>
        <v>7.8488790643264639E-2</v>
      </c>
      <c r="H489" s="209">
        <f>('Sensitivity &amp; Scenarios'!$C$6*(1+$E489)^1*$G489+'Sensitivity &amp; Scenarios'!$C$11*'Sensitivity &amp; Scenarios'!$C$6*((1+$E489)^1-(1+$E489)^0))*'Sensitivity &amp; Scenarios'!$C$18/(1+$C489)^'Sensitivity &amp; Scenarios'!$C$18+('Sensitivity &amp; Scenarios'!$C$6*(1+$E489)^2*$G489+'Sensitivity &amp; Scenarios'!$C$11*'Sensitivity &amp; Scenarios'!$C$6*((1+$E489)^2-(1+$E489)^1))/(1+$C489)^('Sensitivity &amp; Scenarios'!$C$18+1)+('Sensitivity &amp; Scenarios'!$C$6*(1+$E489)^3*$G489+'Sensitivity &amp; Scenarios'!$C$11*'Sensitivity &amp; Scenarios'!$C$6*((1+$E489)^3-(1+$E489)^2))/(1+$C489)^('Sensitivity &amp; Scenarios'!$C$18+2)+('Sensitivity &amp; Scenarios'!$C$6*(1+$E489)^4*$G489+'Sensitivity &amp; Scenarios'!$C$11*'Sensitivity &amp; Scenarios'!$C$6*((1+$E489)^4-(1+$E489)^3))/(1+$C489)^('Sensitivity &amp; Scenarios'!$C$18+3)+('Sensitivity &amp; Scenarios'!$C$6*(1+$E489)^5*$G489+'Sensitivity &amp; Scenarios'!$C$11*'Sensitivity &amp; Scenarios'!$C$6*((1+$E489)^5-(1+$E489)^4))/(1+$C489)^('Sensitivity &amp; Scenarios'!$C$18+4)</f>
        <v>25710.302965915314</v>
      </c>
      <c r="I489" s="209">
        <f>('Sensitivity &amp; Scenarios'!$C$6*(1+$E489)^5*$G489+'Sensitivity &amp; Scenarios'!$C$11*'Sensitivity &amp; Scenarios'!$C$6*((1+$E489)^5-(1+$E489)^4))*(1+$D489)/($C489-$D489)/(1+$C489)^('Sensitivity &amp; Scenarios'!$C$18+4)</f>
        <v>93252.756880910674</v>
      </c>
      <c r="J489" s="209">
        <f>($H489+$I489-'Sensitivity &amp; Scenarios'!$C$15+'Sensitivity &amp; Scenarios'!$C$16)/'Sensitivity &amp; Scenarios'!$C$17</f>
        <v>2790.5880018472476</v>
      </c>
    </row>
    <row r="490" spans="2:10" x14ac:dyDescent="0.3">
      <c r="B490" s="127">
        <v>460</v>
      </c>
      <c r="C490" s="206">
        <f>$D$7+0.219585*$E$7</f>
        <v>0.13974810943997798</v>
      </c>
      <c r="D490" s="206">
        <f>MIN($D$8+-0.258706*$E$8,'Debt &amp; Cost of Capital'!$C$38)</f>
        <v>5.3447764000000002E-2</v>
      </c>
      <c r="E490" s="207">
        <f>$D$9+1.478279*$E$9</f>
        <v>0.21156946770254634</v>
      </c>
      <c r="F490" s="207">
        <f>$D$10+-0.900692*$E$10</f>
        <v>0.13419169599999992</v>
      </c>
      <c r="G490" s="208">
        <f>$F490*(1-'Sensitivity &amp; Scenarios'!$C$12)+'Sensitivity &amp; Scenarios'!$C$9*'Sensitivity &amp; Scenarios'!$C$12-'Sensitivity &amp; Scenarios'!$C$10</f>
        <v>6.9611064205264639E-2</v>
      </c>
      <c r="H490" s="209">
        <f>('Sensitivity &amp; Scenarios'!$C$6*(1+$E490)^1*$G490+'Sensitivity &amp; Scenarios'!$C$11*'Sensitivity &amp; Scenarios'!$C$6*((1+$E490)^1-(1+$E490)^0))*'Sensitivity &amp; Scenarios'!$C$18/(1+$C490)^'Sensitivity &amp; Scenarios'!$C$18+('Sensitivity &amp; Scenarios'!$C$6*(1+$E490)^2*$G490+'Sensitivity &amp; Scenarios'!$C$11*'Sensitivity &amp; Scenarios'!$C$6*((1+$E490)^2-(1+$E490)^1))/(1+$C490)^('Sensitivity &amp; Scenarios'!$C$18+1)+('Sensitivity &amp; Scenarios'!$C$6*(1+$E490)^3*$G490+'Sensitivity &amp; Scenarios'!$C$11*'Sensitivity &amp; Scenarios'!$C$6*((1+$E490)^3-(1+$E490)^2))/(1+$C490)^('Sensitivity &amp; Scenarios'!$C$18+2)+('Sensitivity &amp; Scenarios'!$C$6*(1+$E490)^4*$G490+'Sensitivity &amp; Scenarios'!$C$11*'Sensitivity &amp; Scenarios'!$C$6*((1+$E490)^4-(1+$E490)^3))/(1+$C490)^('Sensitivity &amp; Scenarios'!$C$18+3)+('Sensitivity &amp; Scenarios'!$C$6*(1+$E490)^5*$G490+'Sensitivity &amp; Scenarios'!$C$11*'Sensitivity &amp; Scenarios'!$C$6*((1+$E490)^5-(1+$E490)^4))/(1+$C490)^('Sensitivity &amp; Scenarios'!$C$18+4)</f>
        <v>24836.718526963759</v>
      </c>
      <c r="I490" s="209">
        <f>('Sensitivity &amp; Scenarios'!$C$6*(1+$E490)^5*$G490+'Sensitivity &amp; Scenarios'!$C$11*'Sensitivity &amp; Scenarios'!$C$6*((1+$E490)^5-(1+$E490)^4))*(1+$D490)/($C490-$D490)/(1+$C490)^('Sensitivity &amp; Scenarios'!$C$18+4)</f>
        <v>72987.521924675093</v>
      </c>
      <c r="J490" s="209">
        <f>($H490+$I490-'Sensitivity &amp; Scenarios'!$C$15+'Sensitivity &amp; Scenarios'!$C$16)/'Sensitivity &amp; Scenarios'!$C$17</f>
        <v>2345.6417205306225</v>
      </c>
    </row>
    <row r="491" spans="2:10" x14ac:dyDescent="0.3">
      <c r="B491" s="127">
        <v>461</v>
      </c>
      <c r="C491" s="206">
        <f>$D$7+-0.587321*$E$7</f>
        <v>0.13167904943997799</v>
      </c>
      <c r="D491" s="206">
        <f>MIN($D$8+0.010986*$E$8,'Debt &amp; Cost of Capital'!$C$38)</f>
        <v>5.5065915999999999E-2</v>
      </c>
      <c r="E491" s="207">
        <f>$D$9+0.878954*$E$9</f>
        <v>0.19358971770254635</v>
      </c>
      <c r="F491" s="207">
        <f>$D$10+-1.497373*$E$10</f>
        <v>0.1270315239999999</v>
      </c>
      <c r="G491" s="208">
        <f>$F491*(1-'Sensitivity &amp; Scenarios'!$C$12)+'Sensitivity &amp; Scenarios'!$C$9*'Sensitivity &amp; Scenarios'!$C$12-'Sensitivity &amp; Scenarios'!$C$10</f>
        <v>6.4253107497664622E-2</v>
      </c>
      <c r="H491" s="209">
        <f>('Sensitivity &amp; Scenarios'!$C$6*(1+$E491)^1*$G491+'Sensitivity &amp; Scenarios'!$C$11*'Sensitivity &amp; Scenarios'!$C$6*((1+$E491)^1-(1+$E491)^0))*'Sensitivity &amp; Scenarios'!$C$18/(1+$C491)^'Sensitivity &amp; Scenarios'!$C$18+('Sensitivity &amp; Scenarios'!$C$6*(1+$E491)^2*$G491+'Sensitivity &amp; Scenarios'!$C$11*'Sensitivity &amp; Scenarios'!$C$6*((1+$E491)^2-(1+$E491)^1))/(1+$C491)^('Sensitivity &amp; Scenarios'!$C$18+1)+('Sensitivity &amp; Scenarios'!$C$6*(1+$E491)^3*$G491+'Sensitivity &amp; Scenarios'!$C$11*'Sensitivity &amp; Scenarios'!$C$6*((1+$E491)^3-(1+$E491)^2))/(1+$C491)^('Sensitivity &amp; Scenarios'!$C$18+2)+('Sensitivity &amp; Scenarios'!$C$6*(1+$E491)^4*$G491+'Sensitivity &amp; Scenarios'!$C$11*'Sensitivity &amp; Scenarios'!$C$6*((1+$E491)^4-(1+$E491)^3))/(1+$C491)^('Sensitivity &amp; Scenarios'!$C$18+3)+('Sensitivity &amp; Scenarios'!$C$6*(1+$E491)^5*$G491+'Sensitivity &amp; Scenarios'!$C$11*'Sensitivity &amp; Scenarios'!$C$6*((1+$E491)^5-(1+$E491)^4))/(1+$C491)^('Sensitivity &amp; Scenarios'!$C$18+4)</f>
        <v>22317.668924464488</v>
      </c>
      <c r="I491" s="209">
        <f>('Sensitivity &amp; Scenarios'!$C$6*(1+$E491)^5*$G491+'Sensitivity &amp; Scenarios'!$C$11*'Sensitivity &amp; Scenarios'!$C$6*((1+$E491)^5-(1+$E491)^4))*(1+$D491)/($C491-$D491)/(1+$C491)^('Sensitivity &amp; Scenarios'!$C$18+4)</f>
        <v>72988.786083637635</v>
      </c>
      <c r="J491" s="209">
        <f>($H491+$I491-'Sensitivity &amp; Scenarios'!$C$15+'Sensitivity &amp; Scenarios'!$C$16)/'Sensitivity &amp; Scenarios'!$C$17</f>
        <v>2292.6454178842287</v>
      </c>
    </row>
    <row r="492" spans="2:10" x14ac:dyDescent="0.3">
      <c r="B492" s="127">
        <v>462</v>
      </c>
      <c r="C492" s="206">
        <f>$D$7+-1.310297*$E$7</f>
        <v>0.12444928943997798</v>
      </c>
      <c r="D492" s="206">
        <f>MIN($D$8+-2.037729*$E$8,'Debt &amp; Cost of Capital'!$C$38)</f>
        <v>4.2773625999999995E-2</v>
      </c>
      <c r="E492" s="207">
        <f>$D$9+0.032695*$E$9</f>
        <v>0.16820194770254634</v>
      </c>
      <c r="F492" s="207">
        <f>$D$10+-1.118306*$E$10</f>
        <v>0.13158032799999991</v>
      </c>
      <c r="G492" s="208">
        <f>$F492*(1-'Sensitivity &amp; Scenarios'!$C$12)+'Sensitivity &amp; Scenarios'!$C$9*'Sensitivity &amp; Scenarios'!$C$12-'Sensitivity &amp; Scenarios'!$C$10</f>
        <v>6.7656977530864637E-2</v>
      </c>
      <c r="H492" s="209">
        <f>('Sensitivity &amp; Scenarios'!$C$6*(1+$E492)^1*$G492+'Sensitivity &amp; Scenarios'!$C$11*'Sensitivity &amp; Scenarios'!$C$6*((1+$E492)^1-(1+$E492)^0))*'Sensitivity &amp; Scenarios'!$C$18/(1+$C492)^'Sensitivity &amp; Scenarios'!$C$18+('Sensitivity &amp; Scenarios'!$C$6*(1+$E492)^2*$G492+'Sensitivity &amp; Scenarios'!$C$11*'Sensitivity &amp; Scenarios'!$C$6*((1+$E492)^2-(1+$E492)^1))/(1+$C492)^('Sensitivity &amp; Scenarios'!$C$18+1)+('Sensitivity &amp; Scenarios'!$C$6*(1+$E492)^3*$G492+'Sensitivity &amp; Scenarios'!$C$11*'Sensitivity &amp; Scenarios'!$C$6*((1+$E492)^3-(1+$E492)^2))/(1+$C492)^('Sensitivity &amp; Scenarios'!$C$18+2)+('Sensitivity &amp; Scenarios'!$C$6*(1+$E492)^4*$G492+'Sensitivity &amp; Scenarios'!$C$11*'Sensitivity &amp; Scenarios'!$C$6*((1+$E492)^4-(1+$E492)^3))/(1+$C492)^('Sensitivity &amp; Scenarios'!$C$18+3)+('Sensitivity &amp; Scenarios'!$C$6*(1+$E492)^5*$G492+'Sensitivity &amp; Scenarios'!$C$11*'Sensitivity &amp; Scenarios'!$C$6*((1+$E492)^5-(1+$E492)^4))/(1+$C492)^('Sensitivity &amp; Scenarios'!$C$18+4)</f>
        <v>21564.238516398946</v>
      </c>
      <c r="I492" s="209">
        <f>('Sensitivity &amp; Scenarios'!$C$6*(1+$E492)^5*$G492+'Sensitivity &amp; Scenarios'!$C$11*'Sensitivity &amp; Scenarios'!$C$6*((1+$E492)^5-(1+$E492)^4))*(1+$D492)/($C492-$D492)/(1+$C492)^('Sensitivity &amp; Scenarios'!$C$18+4)</f>
        <v>63670.143172597913</v>
      </c>
      <c r="J492" s="209">
        <f>($H492+$I492-'Sensitivity &amp; Scenarios'!$C$15+'Sensitivity &amp; Scenarios'!$C$16)/'Sensitivity &amp; Scenarios'!$C$17</f>
        <v>2080.6405994171846</v>
      </c>
    </row>
    <row r="493" spans="2:10" x14ac:dyDescent="0.3">
      <c r="B493" s="127">
        <v>463</v>
      </c>
      <c r="C493" s="206">
        <f>$D$7+-0.38455*$E$7</f>
        <v>0.13370675943997798</v>
      </c>
      <c r="D493" s="206">
        <f>MIN($D$8+0.661378*$E$8,'Debt &amp; Cost of Capital'!$C$38)</f>
        <v>5.8968268000000004E-2</v>
      </c>
      <c r="E493" s="207">
        <f>$D$9+-0.641543*$E$9</f>
        <v>0.14797480770254634</v>
      </c>
      <c r="F493" s="207">
        <f>$D$10+0.231282*$E$10</f>
        <v>0.1477753839999999</v>
      </c>
      <c r="G493" s="208">
        <f>$F493*(1-'Sensitivity &amp; Scenarios'!$C$12)+'Sensitivity &amp; Scenarios'!$C$9*'Sensitivity &amp; Scenarios'!$C$12-'Sensitivity &amp; Scenarios'!$C$10</f>
        <v>7.9775737935664628E-2</v>
      </c>
      <c r="H493" s="209">
        <f>('Sensitivity &amp; Scenarios'!$C$6*(1+$E493)^1*$G493+'Sensitivity &amp; Scenarios'!$C$11*'Sensitivity &amp; Scenarios'!$C$6*((1+$E493)^1-(1+$E493)^0))*'Sensitivity &amp; Scenarios'!$C$18/(1+$C493)^'Sensitivity &amp; Scenarios'!$C$18+('Sensitivity &amp; Scenarios'!$C$6*(1+$E493)^2*$G493+'Sensitivity &amp; Scenarios'!$C$11*'Sensitivity &amp; Scenarios'!$C$6*((1+$E493)^2-(1+$E493)^1))/(1+$C493)^('Sensitivity &amp; Scenarios'!$C$18+1)+('Sensitivity &amp; Scenarios'!$C$6*(1+$E493)^3*$G493+'Sensitivity &amp; Scenarios'!$C$11*'Sensitivity &amp; Scenarios'!$C$6*((1+$E493)^3-(1+$E493)^2))/(1+$C493)^('Sensitivity &amp; Scenarios'!$C$18+2)+('Sensitivity &amp; Scenarios'!$C$6*(1+$E493)^4*$G493+'Sensitivity &amp; Scenarios'!$C$11*'Sensitivity &amp; Scenarios'!$C$6*((1+$E493)^4-(1+$E493)^3))/(1+$C493)^('Sensitivity &amp; Scenarios'!$C$18+3)+('Sensitivity &amp; Scenarios'!$C$6*(1+$E493)^5*$G493+'Sensitivity &amp; Scenarios'!$C$11*'Sensitivity &amp; Scenarios'!$C$6*((1+$E493)^5-(1+$E493)^4))/(1+$C493)^('Sensitivity &amp; Scenarios'!$C$18+4)</f>
        <v>22417.194564583926</v>
      </c>
      <c r="I493" s="209">
        <f>('Sensitivity &amp; Scenarios'!$C$6*(1+$E493)^5*$G493+'Sensitivity &amp; Scenarios'!$C$11*'Sensitivity &amp; Scenarios'!$C$6*((1+$E493)^5-(1+$E493)^4))*(1+$D493)/($C493-$D493)/(1+$C493)^('Sensitivity &amp; Scenarios'!$C$18+4)</f>
        <v>70147.126091393191</v>
      </c>
      <c r="J493" s="209">
        <f>($H493+$I493-'Sensitivity &amp; Scenarios'!$C$15+'Sensitivity &amp; Scenarios'!$C$16)/'Sensitivity &amp; Scenarios'!$C$17</f>
        <v>2234.9268452412184</v>
      </c>
    </row>
    <row r="494" spans="2:10" x14ac:dyDescent="0.3">
      <c r="B494" s="127">
        <v>464</v>
      </c>
      <c r="C494" s="206">
        <f>$D$7+-0.299338*$E$7</f>
        <v>0.13455887943997799</v>
      </c>
      <c r="D494" s="206">
        <f>MIN($D$8+0.672114*$E$8,'Debt &amp; Cost of Capital'!$C$38)</f>
        <v>5.9032684000000002E-2</v>
      </c>
      <c r="E494" s="207">
        <f>$D$9+0.475128*$E$9</f>
        <v>0.18147493770254633</v>
      </c>
      <c r="F494" s="207">
        <f>$D$10+-0.691934*$E$10</f>
        <v>0.1366967919999999</v>
      </c>
      <c r="G494" s="208">
        <f>$F494*(1-'Sensitivity &amp; Scenarios'!$C$12)+'Sensitivity &amp; Scenarios'!$C$9*'Sensitivity &amp; Scenarios'!$C$12-'Sensitivity &amp; Scenarios'!$C$10</f>
        <v>7.1485627542064625E-2</v>
      </c>
      <c r="H494" s="209">
        <f>('Sensitivity &amp; Scenarios'!$C$6*(1+$E494)^1*$G494+'Sensitivity &amp; Scenarios'!$C$11*'Sensitivity &amp; Scenarios'!$C$6*((1+$E494)^1-(1+$E494)^0))*'Sensitivity &amp; Scenarios'!$C$18/(1+$C494)^'Sensitivity &amp; Scenarios'!$C$18+('Sensitivity &amp; Scenarios'!$C$6*(1+$E494)^2*$G494+'Sensitivity &amp; Scenarios'!$C$11*'Sensitivity &amp; Scenarios'!$C$6*((1+$E494)^2-(1+$E494)^1))/(1+$C494)^('Sensitivity &amp; Scenarios'!$C$18+1)+('Sensitivity &amp; Scenarios'!$C$6*(1+$E494)^3*$G494+'Sensitivity &amp; Scenarios'!$C$11*'Sensitivity &amp; Scenarios'!$C$6*((1+$E494)^3-(1+$E494)^2))/(1+$C494)^('Sensitivity &amp; Scenarios'!$C$18+2)+('Sensitivity &amp; Scenarios'!$C$6*(1+$E494)^4*$G494+'Sensitivity &amp; Scenarios'!$C$11*'Sensitivity &amp; Scenarios'!$C$6*((1+$E494)^4-(1+$E494)^3))/(1+$C494)^('Sensitivity &amp; Scenarios'!$C$18+3)+('Sensitivity &amp; Scenarios'!$C$6*(1+$E494)^5*$G494+'Sensitivity &amp; Scenarios'!$C$11*'Sensitivity &amp; Scenarios'!$C$6*((1+$E494)^5-(1+$E494)^4))/(1+$C494)^('Sensitivity &amp; Scenarios'!$C$18+4)</f>
        <v>23075.676758320315</v>
      </c>
      <c r="I494" s="209">
        <f>('Sensitivity &amp; Scenarios'!$C$6*(1+$E494)^5*$G494+'Sensitivity &amp; Scenarios'!$C$11*'Sensitivity &amp; Scenarios'!$C$6*((1+$E494)^5-(1+$E494)^4))*(1+$D494)/($C494-$D494)/(1+$C494)^('Sensitivity &amp; Scenarios'!$C$18+4)</f>
        <v>75140.691014448792</v>
      </c>
      <c r="J494" s="209">
        <f>($H494+$I494-'Sensitivity &amp; Scenarios'!$C$15+'Sensitivity &amp; Scenarios'!$C$16)/'Sensitivity &amp; Scenarios'!$C$17</f>
        <v>2353.8955208057355</v>
      </c>
    </row>
    <row r="495" spans="2:10" x14ac:dyDescent="0.3">
      <c r="B495" s="127">
        <v>465</v>
      </c>
      <c r="C495" s="206">
        <f>$D$7+-0.168652*$E$7</f>
        <v>0.13586573943997798</v>
      </c>
      <c r="D495" s="206">
        <f>MIN($D$8+1.043743*$E$8,'Debt &amp; Cost of Capital'!$C$38)</f>
        <v>6.1262457999999999E-2</v>
      </c>
      <c r="E495" s="207">
        <f>$D$9+0.393377*$E$9</f>
        <v>0.17902240770254635</v>
      </c>
      <c r="F495" s="207">
        <f>$D$10+-1.396962*$E$10</f>
        <v>0.12823645599999992</v>
      </c>
      <c r="G495" s="208">
        <f>$F495*(1-'Sensitivity &amp; Scenarios'!$C$12)+'Sensitivity &amp; Scenarios'!$C$9*'Sensitivity &amp; Scenarios'!$C$12-'Sensitivity &amp; Scenarios'!$C$10</f>
        <v>6.5154758113264641E-2</v>
      </c>
      <c r="H495" s="209">
        <f>('Sensitivity &amp; Scenarios'!$C$6*(1+$E495)^1*$G495+'Sensitivity &amp; Scenarios'!$C$11*'Sensitivity &amp; Scenarios'!$C$6*((1+$E495)^1-(1+$E495)^0))*'Sensitivity &amp; Scenarios'!$C$18/(1+$C495)^'Sensitivity &amp; Scenarios'!$C$18+('Sensitivity &amp; Scenarios'!$C$6*(1+$E495)^2*$G495+'Sensitivity &amp; Scenarios'!$C$11*'Sensitivity &amp; Scenarios'!$C$6*((1+$E495)^2-(1+$E495)^1))/(1+$C495)^('Sensitivity &amp; Scenarios'!$C$18+1)+('Sensitivity &amp; Scenarios'!$C$6*(1+$E495)^3*$G495+'Sensitivity &amp; Scenarios'!$C$11*'Sensitivity &amp; Scenarios'!$C$6*((1+$E495)^3-(1+$E495)^2))/(1+$C495)^('Sensitivity &amp; Scenarios'!$C$18+2)+('Sensitivity &amp; Scenarios'!$C$6*(1+$E495)^4*$G495+'Sensitivity &amp; Scenarios'!$C$11*'Sensitivity &amp; Scenarios'!$C$6*((1+$E495)^4-(1+$E495)^3))/(1+$C495)^('Sensitivity &amp; Scenarios'!$C$18+3)+('Sensitivity &amp; Scenarios'!$C$6*(1+$E495)^5*$G495+'Sensitivity &amp; Scenarios'!$C$11*'Sensitivity &amp; Scenarios'!$C$6*((1+$E495)^5-(1+$E495)^4))/(1+$C495)^('Sensitivity &amp; Scenarios'!$C$18+4)</f>
        <v>21159.431587130646</v>
      </c>
      <c r="I495" s="209">
        <f>('Sensitivity &amp; Scenarios'!$C$6*(1+$E495)^5*$G495+'Sensitivity &amp; Scenarios'!$C$11*'Sensitivity &amp; Scenarios'!$C$6*((1+$E495)^5-(1+$E495)^4))*(1+$D495)/($C495-$D495)/(1+$C495)^('Sensitivity &amp; Scenarios'!$C$18+4)</f>
        <v>69501.485095831114</v>
      </c>
      <c r="J495" s="209">
        <f>($H495+$I495-'Sensitivity &amp; Scenarios'!$C$15+'Sensitivity &amp; Scenarios'!$C$16)/'Sensitivity &amp; Scenarios'!$C$17</f>
        <v>2194.8625207487489</v>
      </c>
    </row>
    <row r="496" spans="2:10" x14ac:dyDescent="0.3">
      <c r="B496" s="127">
        <v>466</v>
      </c>
      <c r="C496" s="206">
        <f>$D$7+0.655618*$E$7</f>
        <v>0.14410843943997798</v>
      </c>
      <c r="D496" s="206">
        <f>MIN($D$8+-1.084611*$E$8,'Debt &amp; Cost of Capital'!$C$38)</f>
        <v>4.8492333999999998E-2</v>
      </c>
      <c r="E496" s="207">
        <f>$D$9+1.412513*$E$9</f>
        <v>0.20959648770254635</v>
      </c>
      <c r="F496" s="207">
        <f>$D$10+1.024099*$E$10</f>
        <v>0.15728918799999991</v>
      </c>
      <c r="G496" s="208">
        <f>$F496*(1-'Sensitivity &amp; Scenarios'!$C$12)+'Sensitivity &amp; Scenarios'!$C$9*'Sensitivity &amp; Scenarios'!$C$12-'Sensitivity &amp; Scenarios'!$C$10</f>
        <v>8.6894917468864644E-2</v>
      </c>
      <c r="H496" s="209">
        <f>('Sensitivity &amp; Scenarios'!$C$6*(1+$E496)^1*$G496+'Sensitivity &amp; Scenarios'!$C$11*'Sensitivity &amp; Scenarios'!$C$6*((1+$E496)^1-(1+$E496)^0))*'Sensitivity &amp; Scenarios'!$C$18/(1+$C496)^'Sensitivity &amp; Scenarios'!$C$18+('Sensitivity &amp; Scenarios'!$C$6*(1+$E496)^2*$G496+'Sensitivity &amp; Scenarios'!$C$11*'Sensitivity &amp; Scenarios'!$C$6*((1+$E496)^2-(1+$E496)^1))/(1+$C496)^('Sensitivity &amp; Scenarios'!$C$18+1)+('Sensitivity &amp; Scenarios'!$C$6*(1+$E496)^3*$G496+'Sensitivity &amp; Scenarios'!$C$11*'Sensitivity &amp; Scenarios'!$C$6*((1+$E496)^3-(1+$E496)^2))/(1+$C496)^('Sensitivity &amp; Scenarios'!$C$18+2)+('Sensitivity &amp; Scenarios'!$C$6*(1+$E496)^4*$G496+'Sensitivity &amp; Scenarios'!$C$11*'Sensitivity &amp; Scenarios'!$C$6*((1+$E496)^4-(1+$E496)^3))/(1+$C496)^('Sensitivity &amp; Scenarios'!$C$18+3)+('Sensitivity &amp; Scenarios'!$C$6*(1+$E496)^5*$G496+'Sensitivity &amp; Scenarios'!$C$11*'Sensitivity &amp; Scenarios'!$C$6*((1+$E496)^5-(1+$E496)^4))/(1+$C496)^('Sensitivity &amp; Scenarios'!$C$18+4)</f>
        <v>29147.011566294099</v>
      </c>
      <c r="I496" s="209">
        <f>('Sensitivity &amp; Scenarios'!$C$6*(1+$E496)^5*$G496+'Sensitivity &amp; Scenarios'!$C$11*'Sensitivity &amp; Scenarios'!$C$6*((1+$E496)^5-(1+$E496)^4))*(1+$D496)/($C496-$D496)/(1+$C496)^('Sensitivity &amp; Scenarios'!$C$18+4)</f>
        <v>76220.996603491119</v>
      </c>
      <c r="J496" s="209">
        <f>($H496+$I496-'Sensitivity &amp; Scenarios'!$C$15+'Sensitivity &amp; Scenarios'!$C$16)/'Sensitivity &amp; Scenarios'!$C$17</f>
        <v>2504.4287999107437</v>
      </c>
    </row>
    <row r="497" spans="2:10" x14ac:dyDescent="0.3">
      <c r="B497" s="127">
        <v>467</v>
      </c>
      <c r="C497" s="206">
        <f>$D$7+0.289885*$E$7</f>
        <v>0.14045110943997799</v>
      </c>
      <c r="D497" s="206">
        <f>MIN($D$8+0.157233*$E$8,'Debt &amp; Cost of Capital'!$C$38)</f>
        <v>5.5943397999999998E-2</v>
      </c>
      <c r="E497" s="207">
        <f>$D$9+-0.209032*$E$9</f>
        <v>0.16095013770254635</v>
      </c>
      <c r="F497" s="207">
        <f>$D$10+0.678524*$E$10</f>
        <v>0.1531422879999999</v>
      </c>
      <c r="G497" s="208">
        <f>$F497*(1-'Sensitivity &amp; Scenarios'!$C$12)+'Sensitivity &amp; Scenarios'!$C$9*'Sensitivity &amp; Scenarios'!$C$12-'Sensitivity &amp; Scenarios'!$C$10</f>
        <v>8.3791792198864637E-2</v>
      </c>
      <c r="H497" s="209">
        <f>('Sensitivity &amp; Scenarios'!$C$6*(1+$E497)^1*$G497+'Sensitivity &amp; Scenarios'!$C$11*'Sensitivity &amp; Scenarios'!$C$6*((1+$E497)^1-(1+$E497)^0))*'Sensitivity &amp; Scenarios'!$C$18/(1+$C497)^'Sensitivity &amp; Scenarios'!$C$18+('Sensitivity &amp; Scenarios'!$C$6*(1+$E497)^2*$G497+'Sensitivity &amp; Scenarios'!$C$11*'Sensitivity &amp; Scenarios'!$C$6*((1+$E497)^2-(1+$E497)^1))/(1+$C497)^('Sensitivity &amp; Scenarios'!$C$18+1)+('Sensitivity &amp; Scenarios'!$C$6*(1+$E497)^3*$G497+'Sensitivity &amp; Scenarios'!$C$11*'Sensitivity &amp; Scenarios'!$C$6*((1+$E497)^3-(1+$E497)^2))/(1+$C497)^('Sensitivity &amp; Scenarios'!$C$18+2)+('Sensitivity &amp; Scenarios'!$C$6*(1+$E497)^4*$G497+'Sensitivity &amp; Scenarios'!$C$11*'Sensitivity &amp; Scenarios'!$C$6*((1+$E497)^4-(1+$E497)^3))/(1+$C497)^('Sensitivity &amp; Scenarios'!$C$18+3)+('Sensitivity &amp; Scenarios'!$C$6*(1+$E497)^5*$G497+'Sensitivity &amp; Scenarios'!$C$11*'Sensitivity &amp; Scenarios'!$C$6*((1+$E497)^5-(1+$E497)^4))/(1+$C497)^('Sensitivity &amp; Scenarios'!$C$18+4)</f>
        <v>24086.353727047062</v>
      </c>
      <c r="I497" s="209">
        <f>('Sensitivity &amp; Scenarios'!$C$6*(1+$E497)^5*$G497+'Sensitivity &amp; Scenarios'!$C$11*'Sensitivity &amp; Scenarios'!$C$6*((1+$E497)^5-(1+$E497)^4))*(1+$D497)/($C497-$D497)/(1+$C497)^('Sensitivity &amp; Scenarios'!$C$18+4)</f>
        <v>67109.984737592924</v>
      </c>
      <c r="J497" s="209">
        <f>($H497+$I497-'Sensitivity &amp; Scenarios'!$C$15+'Sensitivity &amp; Scenarios'!$C$16)/'Sensitivity &amp; Scenarios'!$C$17</f>
        <v>2206.132494073177</v>
      </c>
    </row>
    <row r="498" spans="2:10" x14ac:dyDescent="0.3">
      <c r="B498" s="127">
        <v>468</v>
      </c>
      <c r="C498" s="206">
        <f>$D$7+-0.370778*$E$7</f>
        <v>0.13384447943997799</v>
      </c>
      <c r="D498" s="206">
        <f>MIN($D$8+0.23557*$E$8,'Debt &amp; Cost of Capital'!$C$38)</f>
        <v>5.6413419999999999E-2</v>
      </c>
      <c r="E498" s="207">
        <f>$D$9+0.871934*$E$9</f>
        <v>0.19337911770254634</v>
      </c>
      <c r="F498" s="207">
        <f>$D$10+-0.561807*$E$10</f>
        <v>0.13825831599999991</v>
      </c>
      <c r="G498" s="208">
        <f>$F498*(1-'Sensitivity &amp; Scenarios'!$C$12)+'Sensitivity &amp; Scenarios'!$C$9*'Sensitivity &amp; Scenarios'!$C$12-'Sensitivity &amp; Scenarios'!$C$10</f>
        <v>7.2654115951264642E-2</v>
      </c>
      <c r="H498" s="209">
        <f>('Sensitivity &amp; Scenarios'!$C$6*(1+$E498)^1*$G498+'Sensitivity &amp; Scenarios'!$C$11*'Sensitivity &amp; Scenarios'!$C$6*((1+$E498)^1-(1+$E498)^0))*'Sensitivity &amp; Scenarios'!$C$18/(1+$C498)^'Sensitivity &amp; Scenarios'!$C$18+('Sensitivity &amp; Scenarios'!$C$6*(1+$E498)^2*$G498+'Sensitivity &amp; Scenarios'!$C$11*'Sensitivity &amp; Scenarios'!$C$6*((1+$E498)^2-(1+$E498)^1))/(1+$C498)^('Sensitivity &amp; Scenarios'!$C$18+1)+('Sensitivity &amp; Scenarios'!$C$6*(1+$E498)^3*$G498+'Sensitivity &amp; Scenarios'!$C$11*'Sensitivity &amp; Scenarios'!$C$6*((1+$E498)^3-(1+$E498)^2))/(1+$C498)^('Sensitivity &amp; Scenarios'!$C$18+2)+('Sensitivity &amp; Scenarios'!$C$6*(1+$E498)^4*$G498+'Sensitivity &amp; Scenarios'!$C$11*'Sensitivity &amp; Scenarios'!$C$6*((1+$E498)^4-(1+$E498)^3))/(1+$C498)^('Sensitivity &amp; Scenarios'!$C$18+3)+('Sensitivity &amp; Scenarios'!$C$6*(1+$E498)^5*$G498+'Sensitivity &amp; Scenarios'!$C$11*'Sensitivity &amp; Scenarios'!$C$6*((1+$E498)^5-(1+$E498)^4))/(1+$C498)^('Sensitivity &amp; Scenarios'!$C$18+4)</f>
        <v>24447.74427981527</v>
      </c>
      <c r="I498" s="209">
        <f>('Sensitivity &amp; Scenarios'!$C$6*(1+$E498)^5*$G498+'Sensitivity &amp; Scenarios'!$C$11*'Sensitivity &amp; Scenarios'!$C$6*((1+$E498)^5-(1+$E498)^4))*(1+$D498)/($C498-$D498)/(1+$C498)^('Sensitivity &amp; Scenarios'!$C$18+4)</f>
        <v>78923.095572580816</v>
      </c>
      <c r="J498" s="209">
        <f>($H498+$I498-'Sensitivity &amp; Scenarios'!$C$15+'Sensitivity &amp; Scenarios'!$C$16)/'Sensitivity &amp; Scenarios'!$C$17</f>
        <v>2462.3908507058795</v>
      </c>
    </row>
    <row r="499" spans="2:10" x14ac:dyDescent="0.3">
      <c r="B499" s="127">
        <v>469</v>
      </c>
      <c r="C499" s="206">
        <f>$D$7+-0.616193*$E$7</f>
        <v>0.13139032943997797</v>
      </c>
      <c r="D499" s="206">
        <f>MIN($D$8+-1.194365*$E$8,'Debt &amp; Cost of Capital'!$C$38)</f>
        <v>4.7833810000000004E-2</v>
      </c>
      <c r="E499" s="207">
        <f>$D$9+-1.064473*$E$9</f>
        <v>0.13528690770254634</v>
      </c>
      <c r="F499" s="207">
        <f>$D$10+-1.828395*$E$10</f>
        <v>0.12305925999999991</v>
      </c>
      <c r="G499" s="208">
        <f>$F499*(1-'Sensitivity &amp; Scenarios'!$C$12)+'Sensitivity &amp; Scenarios'!$C$9*'Sensitivity &amp; Scenarios'!$C$12-'Sensitivity &amp; Scenarios'!$C$10</f>
        <v>6.1280662346464634E-2</v>
      </c>
      <c r="H499" s="209">
        <f>('Sensitivity &amp; Scenarios'!$C$6*(1+$E499)^1*$G499+'Sensitivity &amp; Scenarios'!$C$11*'Sensitivity &amp; Scenarios'!$C$6*((1+$E499)^1-(1+$E499)^0))*'Sensitivity &amp; Scenarios'!$C$18/(1+$C499)^'Sensitivity &amp; Scenarios'!$C$18+('Sensitivity &amp; Scenarios'!$C$6*(1+$E499)^2*$G499+'Sensitivity &amp; Scenarios'!$C$11*'Sensitivity &amp; Scenarios'!$C$6*((1+$E499)^2-(1+$E499)^1))/(1+$C499)^('Sensitivity &amp; Scenarios'!$C$18+1)+('Sensitivity &amp; Scenarios'!$C$6*(1+$E499)^3*$G499+'Sensitivity &amp; Scenarios'!$C$11*'Sensitivity &amp; Scenarios'!$C$6*((1+$E499)^3-(1+$E499)^2))/(1+$C499)^('Sensitivity &amp; Scenarios'!$C$18+2)+('Sensitivity &amp; Scenarios'!$C$6*(1+$E499)^4*$G499+'Sensitivity &amp; Scenarios'!$C$11*'Sensitivity &amp; Scenarios'!$C$6*((1+$E499)^4-(1+$E499)^3))/(1+$C499)^('Sensitivity &amp; Scenarios'!$C$18+3)+('Sensitivity &amp; Scenarios'!$C$6*(1+$E499)^5*$G499+'Sensitivity &amp; Scenarios'!$C$11*'Sensitivity &amp; Scenarios'!$C$6*((1+$E499)^5-(1+$E499)^4))/(1+$C499)^('Sensitivity &amp; Scenarios'!$C$18+4)</f>
        <v>17232.465370407426</v>
      </c>
      <c r="I499" s="209">
        <f>('Sensitivity &amp; Scenarios'!$C$6*(1+$E499)^5*$G499+'Sensitivity &amp; Scenarios'!$C$11*'Sensitivity &amp; Scenarios'!$C$6*((1+$E499)^5-(1+$E499)^4))*(1+$D499)/($C499-$D499)/(1+$C499)^('Sensitivity &amp; Scenarios'!$C$18+4)</f>
        <v>46941.154232856999</v>
      </c>
      <c r="J499" s="209">
        <f>($H499+$I499-'Sensitivity &amp; Scenarios'!$C$15+'Sensitivity &amp; Scenarios'!$C$16)/'Sensitivity &amp; Scenarios'!$C$17</f>
        <v>1637.3373289481456</v>
      </c>
    </row>
    <row r="500" spans="2:10" x14ac:dyDescent="0.3">
      <c r="B500" s="127">
        <v>470</v>
      </c>
      <c r="C500" s="206">
        <f>$D$7+0.729829*$E$7</f>
        <v>0.14485054943997799</v>
      </c>
      <c r="D500" s="206">
        <f>MIN($D$8+1.808915*$E$8,'Debt &amp; Cost of Capital'!$C$38)</f>
        <v>6.5853490000000001E-2</v>
      </c>
      <c r="E500" s="207">
        <f>$D$9+1.425329*$E$9</f>
        <v>0.20998096770254635</v>
      </c>
      <c r="F500" s="207">
        <f>$D$10+-1.626084*$E$10</f>
        <v>0.12548699199999991</v>
      </c>
      <c r="G500" s="208">
        <f>$F500*(1-'Sensitivity &amp; Scenarios'!$C$12)+'Sensitivity &amp; Scenarios'!$C$9*'Sensitivity &amp; Scenarios'!$C$12-'Sensitivity &amp; Scenarios'!$C$10</f>
        <v>6.3097334202064634E-2</v>
      </c>
      <c r="H500" s="209">
        <f>('Sensitivity &amp; Scenarios'!$C$6*(1+$E500)^1*$G500+'Sensitivity &amp; Scenarios'!$C$11*'Sensitivity &amp; Scenarios'!$C$6*((1+$E500)^1-(1+$E500)^0))*'Sensitivity &amp; Scenarios'!$C$18/(1+$C500)^'Sensitivity &amp; Scenarios'!$C$18+('Sensitivity &amp; Scenarios'!$C$6*(1+$E500)^2*$G500+'Sensitivity &amp; Scenarios'!$C$11*'Sensitivity &amp; Scenarios'!$C$6*((1+$E500)^2-(1+$E500)^1))/(1+$C500)^('Sensitivity &amp; Scenarios'!$C$18+1)+('Sensitivity &amp; Scenarios'!$C$6*(1+$E500)^3*$G500+'Sensitivity &amp; Scenarios'!$C$11*'Sensitivity &amp; Scenarios'!$C$6*((1+$E500)^3-(1+$E500)^2))/(1+$C500)^('Sensitivity &amp; Scenarios'!$C$18+2)+('Sensitivity &amp; Scenarios'!$C$6*(1+$E500)^4*$G500+'Sensitivity &amp; Scenarios'!$C$11*'Sensitivity &amp; Scenarios'!$C$6*((1+$E500)^4-(1+$E500)^3))/(1+$C500)^('Sensitivity &amp; Scenarios'!$C$18+3)+('Sensitivity &amp; Scenarios'!$C$6*(1+$E500)^5*$G500+'Sensitivity &amp; Scenarios'!$C$11*'Sensitivity &amp; Scenarios'!$C$6*((1+$E500)^5-(1+$E500)^4))/(1+$C500)^('Sensitivity &amp; Scenarios'!$C$18+4)</f>
        <v>22589.578903591668</v>
      </c>
      <c r="I500" s="209">
        <f>('Sensitivity &amp; Scenarios'!$C$6*(1+$E500)^5*$G500+'Sensitivity &amp; Scenarios'!$C$11*'Sensitivity &amp; Scenarios'!$C$6*((1+$E500)^5-(1+$E500)^4))*(1+$D500)/($C500-$D500)/(1+$C500)^('Sensitivity &amp; Scenarios'!$C$18+4)</f>
        <v>72642.551986407692</v>
      </c>
      <c r="J500" s="209">
        <f>($H500+$I500-'Sensitivity &amp; Scenarios'!$C$15+'Sensitivity &amp; Scenarios'!$C$16)/'Sensitivity &amp; Scenarios'!$C$17</f>
        <v>2291.0809861464049</v>
      </c>
    </row>
    <row r="501" spans="2:10" x14ac:dyDescent="0.3">
      <c r="B501" s="127">
        <v>471</v>
      </c>
      <c r="C501" s="206">
        <f>$D$7+0.724855*$E$7</f>
        <v>0.14480080943997797</v>
      </c>
      <c r="D501" s="206">
        <f>MIN($D$8+1.422106*$E$8,'Debt &amp; Cost of Capital'!$C$38)</f>
        <v>6.3532636000000003E-2</v>
      </c>
      <c r="E501" s="207">
        <f>$D$9+-0.45681*$E$9</f>
        <v>0.15351679770254634</v>
      </c>
      <c r="F501" s="207">
        <f>$D$10+0.101447*$E$10</f>
        <v>0.14621736399999991</v>
      </c>
      <c r="G501" s="208">
        <f>$F501*(1-'Sensitivity &amp; Scenarios'!$C$12)+'Sensitivity &amp; Scenarios'!$C$9*'Sensitivity &amp; Scenarios'!$C$12-'Sensitivity &amp; Scenarios'!$C$10</f>
        <v>7.8609871569664633E-2</v>
      </c>
      <c r="H501" s="209">
        <f>('Sensitivity &amp; Scenarios'!$C$6*(1+$E501)^1*$G501+'Sensitivity &amp; Scenarios'!$C$11*'Sensitivity &amp; Scenarios'!$C$6*((1+$E501)^1-(1+$E501)^0))*'Sensitivity &amp; Scenarios'!$C$18/(1+$C501)^'Sensitivity &amp; Scenarios'!$C$18+('Sensitivity &amp; Scenarios'!$C$6*(1+$E501)^2*$G501+'Sensitivity &amp; Scenarios'!$C$11*'Sensitivity &amp; Scenarios'!$C$6*((1+$E501)^2-(1+$E501)^1))/(1+$C501)^('Sensitivity &amp; Scenarios'!$C$18+1)+('Sensitivity &amp; Scenarios'!$C$6*(1+$E501)^3*$G501+'Sensitivity &amp; Scenarios'!$C$11*'Sensitivity &amp; Scenarios'!$C$6*((1+$E501)^3-(1+$E501)^2))/(1+$C501)^('Sensitivity &amp; Scenarios'!$C$18+2)+('Sensitivity &amp; Scenarios'!$C$6*(1+$E501)^4*$G501+'Sensitivity &amp; Scenarios'!$C$11*'Sensitivity &amp; Scenarios'!$C$6*((1+$E501)^4-(1+$E501)^3))/(1+$C501)^('Sensitivity &amp; Scenarios'!$C$18+3)+('Sensitivity &amp; Scenarios'!$C$6*(1+$E501)^5*$G501+'Sensitivity &amp; Scenarios'!$C$11*'Sensitivity &amp; Scenarios'!$C$6*((1+$E501)^5-(1+$E501)^4))/(1+$C501)^('Sensitivity &amp; Scenarios'!$C$18+4)</f>
        <v>21982.134290042326</v>
      </c>
      <c r="I501" s="209">
        <f>('Sensitivity &amp; Scenarios'!$C$6*(1+$E501)^5*$G501+'Sensitivity &amp; Scenarios'!$C$11*'Sensitivity &amp; Scenarios'!$C$6*((1+$E501)^5-(1+$E501)^4))*(1+$D501)/($C501-$D501)/(1+$C501)^('Sensitivity &amp; Scenarios'!$C$18+4)</f>
        <v>62964.0552811409</v>
      </c>
      <c r="J501" s="209">
        <f>($H501+$I501-'Sensitivity &amp; Scenarios'!$C$15+'Sensitivity &amp; Scenarios'!$C$16)/'Sensitivity &amp; Scenarios'!$C$17</f>
        <v>2074.5745079894332</v>
      </c>
    </row>
    <row r="502" spans="2:10" x14ac:dyDescent="0.3">
      <c r="B502" s="127">
        <v>472</v>
      </c>
      <c r="C502" s="206">
        <f>$D$7+-2.007893*$E$7</f>
        <v>0.11747332943997799</v>
      </c>
      <c r="D502" s="206">
        <f>MIN($D$8+0.266736*$E$8,'Debt &amp; Cost of Capital'!$C$38)</f>
        <v>5.6600416000000001E-2</v>
      </c>
      <c r="E502" s="207">
        <f>$D$9+-1.06356*$E$9</f>
        <v>0.13531429770254633</v>
      </c>
      <c r="F502" s="207">
        <f>$D$10+0.199635*$E$10</f>
        <v>0.14739561999999989</v>
      </c>
      <c r="G502" s="208">
        <f>$F502*(1-'Sensitivity &amp; Scenarios'!$C$12)+'Sensitivity &amp; Scenarios'!$C$9*'Sensitivity &amp; Scenarios'!$C$12-'Sensitivity &amp; Scenarios'!$C$10</f>
        <v>7.9491560534464628E-2</v>
      </c>
      <c r="H502" s="209">
        <f>('Sensitivity &amp; Scenarios'!$C$6*(1+$E502)^1*$G502+'Sensitivity &amp; Scenarios'!$C$11*'Sensitivity &amp; Scenarios'!$C$6*((1+$E502)^1-(1+$E502)^0))*'Sensitivity &amp; Scenarios'!$C$18/(1+$C502)^'Sensitivity &amp; Scenarios'!$C$18+('Sensitivity &amp; Scenarios'!$C$6*(1+$E502)^2*$G502+'Sensitivity &amp; Scenarios'!$C$11*'Sensitivity &amp; Scenarios'!$C$6*((1+$E502)^2-(1+$E502)^1))/(1+$C502)^('Sensitivity &amp; Scenarios'!$C$18+1)+('Sensitivity &amp; Scenarios'!$C$6*(1+$E502)^3*$G502+'Sensitivity &amp; Scenarios'!$C$11*'Sensitivity &amp; Scenarios'!$C$6*((1+$E502)^3-(1+$E502)^2))/(1+$C502)^('Sensitivity &amp; Scenarios'!$C$18+2)+('Sensitivity &amp; Scenarios'!$C$6*(1+$E502)^4*$G502+'Sensitivity &amp; Scenarios'!$C$11*'Sensitivity &amp; Scenarios'!$C$6*((1+$E502)^4-(1+$E502)^3))/(1+$C502)^('Sensitivity &amp; Scenarios'!$C$18+3)+('Sensitivity &amp; Scenarios'!$C$6*(1+$E502)^5*$G502+'Sensitivity &amp; Scenarios'!$C$11*'Sensitivity &amp; Scenarios'!$C$6*((1+$E502)^5-(1+$E502)^4))/(1+$C502)^('Sensitivity &amp; Scenarios'!$C$18+4)</f>
        <v>22212.224181200538</v>
      </c>
      <c r="I502" s="209">
        <f>('Sensitivity &amp; Scenarios'!$C$6*(1+$E502)^5*$G502+'Sensitivity &amp; Scenarios'!$C$11*'Sensitivity &amp; Scenarios'!$C$6*((1+$E502)^5-(1+$E502)^4))*(1+$D502)/($C502-$D502)/(1+$C502)^('Sensitivity &amp; Scenarios'!$C$18+4)</f>
        <v>85663.68945470154</v>
      </c>
      <c r="J502" s="209">
        <f>($H502+$I502-'Sensitivity &amp; Scenarios'!$C$15+'Sensitivity &amp; Scenarios'!$C$16)/'Sensitivity &amp; Scenarios'!$C$17</f>
        <v>2557.2171411222876</v>
      </c>
    </row>
    <row r="503" spans="2:10" x14ac:dyDescent="0.3">
      <c r="B503" s="127">
        <v>473</v>
      </c>
      <c r="C503" s="206">
        <f>$D$7+-1.561203*$E$7</f>
        <v>0.12194022943997798</v>
      </c>
      <c r="D503" s="206">
        <f>MIN($D$8+0.542858*$E$8,'Debt &amp; Cost of Capital'!$C$38)</f>
        <v>5.8257148000000002E-2</v>
      </c>
      <c r="E503" s="207">
        <f>$D$9+1.024513*$E$9</f>
        <v>0.19795648770254634</v>
      </c>
      <c r="F503" s="207">
        <f>$D$10+-0.78318*$E$10</f>
        <v>0.13560183999999992</v>
      </c>
      <c r="G503" s="208">
        <f>$F503*(1-'Sensitivity &amp; Scenarios'!$C$12)+'Sensitivity &amp; Scenarios'!$C$9*'Sensitivity &amp; Scenarios'!$C$12-'Sensitivity &amp; Scenarios'!$C$10</f>
        <v>7.066627496046464E-2</v>
      </c>
      <c r="H503" s="209">
        <f>('Sensitivity &amp; Scenarios'!$C$6*(1+$E503)^1*$G503+'Sensitivity &amp; Scenarios'!$C$11*'Sensitivity &amp; Scenarios'!$C$6*((1+$E503)^1-(1+$E503)^0))*'Sensitivity &amp; Scenarios'!$C$18/(1+$C503)^'Sensitivity &amp; Scenarios'!$C$18+('Sensitivity &amp; Scenarios'!$C$6*(1+$E503)^2*$G503+'Sensitivity &amp; Scenarios'!$C$11*'Sensitivity &amp; Scenarios'!$C$6*((1+$E503)^2-(1+$E503)^1))/(1+$C503)^('Sensitivity &amp; Scenarios'!$C$18+1)+('Sensitivity &amp; Scenarios'!$C$6*(1+$E503)^3*$G503+'Sensitivity &amp; Scenarios'!$C$11*'Sensitivity &amp; Scenarios'!$C$6*((1+$E503)^3-(1+$E503)^2))/(1+$C503)^('Sensitivity &amp; Scenarios'!$C$18+2)+('Sensitivity &amp; Scenarios'!$C$6*(1+$E503)^4*$G503+'Sensitivity &amp; Scenarios'!$C$11*'Sensitivity &amp; Scenarios'!$C$6*((1+$E503)^4-(1+$E503)^3))/(1+$C503)^('Sensitivity &amp; Scenarios'!$C$18+3)+('Sensitivity &amp; Scenarios'!$C$6*(1+$E503)^5*$G503+'Sensitivity &amp; Scenarios'!$C$11*'Sensitivity &amp; Scenarios'!$C$6*((1+$E503)^5-(1+$E503)^4))/(1+$C503)^('Sensitivity &amp; Scenarios'!$C$18+4)</f>
        <v>25062.313005480268</v>
      </c>
      <c r="I503" s="209">
        <f>('Sensitivity &amp; Scenarios'!$C$6*(1+$E503)^5*$G503+'Sensitivity &amp; Scenarios'!$C$11*'Sensitivity &amp; Scenarios'!$C$6*((1+$E503)^5-(1+$E503)^4))*(1+$D503)/($C503-$D503)/(1+$C503)^('Sensitivity &amp; Scenarios'!$C$18+4)</f>
        <v>101036.61714752024</v>
      </c>
      <c r="J503" s="209">
        <f>($H503+$I503-'Sensitivity &amp; Scenarios'!$C$15+'Sensitivity &amp; Scenarios'!$C$16)/'Sensitivity &amp; Scenarios'!$C$17</f>
        <v>2940.7893398374372</v>
      </c>
    </row>
    <row r="504" spans="2:10" x14ac:dyDescent="0.3">
      <c r="B504" s="127">
        <v>474</v>
      </c>
      <c r="C504" s="206">
        <f>$D$7+-1.136923*$E$7</f>
        <v>0.12618302943997797</v>
      </c>
      <c r="D504" s="206">
        <f>MIN($D$8+-2.156023*$E$8,'Debt &amp; Cost of Capital'!$C$38)</f>
        <v>4.2063862E-2</v>
      </c>
      <c r="E504" s="207">
        <f>$D$9+-0.266414*$E$9</f>
        <v>0.15922867770254634</v>
      </c>
      <c r="F504" s="207">
        <f>$D$10+-0.581594*$E$10</f>
        <v>0.13802087199999991</v>
      </c>
      <c r="G504" s="208">
        <f>$F504*(1-'Sensitivity &amp; Scenarios'!$C$12)+'Sensitivity &amp; Scenarios'!$C$9*'Sensitivity &amp; Scenarios'!$C$12-'Sensitivity &amp; Scenarios'!$C$10</f>
        <v>7.2476436606064634E-2</v>
      </c>
      <c r="H504" s="209">
        <f>('Sensitivity &amp; Scenarios'!$C$6*(1+$E504)^1*$G504+'Sensitivity &amp; Scenarios'!$C$11*'Sensitivity &amp; Scenarios'!$C$6*((1+$E504)^1-(1+$E504)^0))*'Sensitivity &amp; Scenarios'!$C$18/(1+$C504)^'Sensitivity &amp; Scenarios'!$C$18+('Sensitivity &amp; Scenarios'!$C$6*(1+$E504)^2*$G504+'Sensitivity &amp; Scenarios'!$C$11*'Sensitivity &amp; Scenarios'!$C$6*((1+$E504)^2-(1+$E504)^1))/(1+$C504)^('Sensitivity &amp; Scenarios'!$C$18+1)+('Sensitivity &amp; Scenarios'!$C$6*(1+$E504)^3*$G504+'Sensitivity &amp; Scenarios'!$C$11*'Sensitivity &amp; Scenarios'!$C$6*((1+$E504)^3-(1+$E504)^2))/(1+$C504)^('Sensitivity &amp; Scenarios'!$C$18+2)+('Sensitivity &amp; Scenarios'!$C$6*(1+$E504)^4*$G504+'Sensitivity &amp; Scenarios'!$C$11*'Sensitivity &amp; Scenarios'!$C$6*((1+$E504)^4-(1+$E504)^3))/(1+$C504)^('Sensitivity &amp; Scenarios'!$C$18+3)+('Sensitivity &amp; Scenarios'!$C$6*(1+$E504)^5*$G504+'Sensitivity &amp; Scenarios'!$C$11*'Sensitivity &amp; Scenarios'!$C$6*((1+$E504)^5-(1+$E504)^4))/(1+$C504)^('Sensitivity &amp; Scenarios'!$C$18+4)</f>
        <v>21969.34669409772</v>
      </c>
      <c r="I504" s="209">
        <f>('Sensitivity &amp; Scenarios'!$C$6*(1+$E504)^5*$G504+'Sensitivity &amp; Scenarios'!$C$11*'Sensitivity &amp; Scenarios'!$C$6*((1+$E504)^5-(1+$E504)^4))*(1+$D504)/($C504-$D504)/(1+$C504)^('Sensitivity &amp; Scenarios'!$C$18+4)</f>
        <v>61910.739855370652</v>
      </c>
      <c r="J504" s="209">
        <f>($H504+$I504-'Sensitivity &amp; Scenarios'!$C$15+'Sensitivity &amp; Scenarios'!$C$16)/'Sensitivity &amp; Scenarios'!$C$17</f>
        <v>2052.1343439412722</v>
      </c>
    </row>
    <row r="505" spans="2:10" x14ac:dyDescent="0.3">
      <c r="B505" s="127">
        <v>475</v>
      </c>
      <c r="C505" s="206">
        <f>$D$7+-1.551019*$E$7</f>
        <v>0.12204206943997797</v>
      </c>
      <c r="D505" s="206">
        <f>MIN($D$8+0.453019*$E$8,'Debt &amp; Cost of Capital'!$C$38)</f>
        <v>5.7718114000000001E-2</v>
      </c>
      <c r="E505" s="207">
        <f>$D$9+-0.44997*$E$9</f>
        <v>0.15372199770254635</v>
      </c>
      <c r="F505" s="207">
        <f>$D$10+-1.075736*$E$10</f>
        <v>0.1320911679999999</v>
      </c>
      <c r="G505" s="208">
        <f>$F505*(1-'Sensitivity &amp; Scenarios'!$C$12)+'Sensitivity &amp; Scenarios'!$C$9*'Sensitivity &amp; Scenarios'!$C$12-'Sensitivity &amp; Scenarios'!$C$10</f>
        <v>6.8039239102864635E-2</v>
      </c>
      <c r="H505" s="209">
        <f>('Sensitivity &amp; Scenarios'!$C$6*(1+$E505)^1*$G505+'Sensitivity &amp; Scenarios'!$C$11*'Sensitivity &amp; Scenarios'!$C$6*((1+$E505)^1-(1+$E505)^0))*'Sensitivity &amp; Scenarios'!$C$18/(1+$C505)^'Sensitivity &amp; Scenarios'!$C$18+('Sensitivity &amp; Scenarios'!$C$6*(1+$E505)^2*$G505+'Sensitivity &amp; Scenarios'!$C$11*'Sensitivity &amp; Scenarios'!$C$6*((1+$E505)^2-(1+$E505)^1))/(1+$C505)^('Sensitivity &amp; Scenarios'!$C$18+1)+('Sensitivity &amp; Scenarios'!$C$6*(1+$E505)^3*$G505+'Sensitivity &amp; Scenarios'!$C$11*'Sensitivity &amp; Scenarios'!$C$6*((1+$E505)^3-(1+$E505)^2))/(1+$C505)^('Sensitivity &amp; Scenarios'!$C$18+2)+('Sensitivity &amp; Scenarios'!$C$6*(1+$E505)^4*$G505+'Sensitivity &amp; Scenarios'!$C$11*'Sensitivity &amp; Scenarios'!$C$6*((1+$E505)^4-(1+$E505)^3))/(1+$C505)^('Sensitivity &amp; Scenarios'!$C$18+3)+('Sensitivity &amp; Scenarios'!$C$6*(1+$E505)^5*$G505+'Sensitivity &amp; Scenarios'!$C$11*'Sensitivity &amp; Scenarios'!$C$6*((1+$E505)^5-(1+$E505)^4))/(1+$C505)^('Sensitivity &amp; Scenarios'!$C$18+4)</f>
        <v>20643.170160917776</v>
      </c>
      <c r="I505" s="209">
        <f>('Sensitivity &amp; Scenarios'!$C$6*(1+$E505)^5*$G505+'Sensitivity &amp; Scenarios'!$C$11*'Sensitivity &amp; Scenarios'!$C$6*((1+$E505)^5-(1+$E505)^4))*(1+$D505)/($C505-$D505)/(1+$C505)^('Sensitivity &amp; Scenarios'!$C$18+4)</f>
        <v>77069.959925661635</v>
      </c>
      <c r="J505" s="209">
        <f>($H505+$I505-'Sensitivity &amp; Scenarios'!$C$15+'Sensitivity &amp; Scenarios'!$C$16)/'Sensitivity &amp; Scenarios'!$C$17</f>
        <v>2343.3029833086102</v>
      </c>
    </row>
    <row r="506" spans="2:10" x14ac:dyDescent="0.3">
      <c r="B506" s="127">
        <v>476</v>
      </c>
      <c r="C506" s="206">
        <f>$D$7+-0.554572*$E$7</f>
        <v>0.13200653943997798</v>
      </c>
      <c r="D506" s="206">
        <f>MIN($D$8+1.071305*$E$8,'Debt &amp; Cost of Capital'!$C$38)</f>
        <v>6.1427830000000003E-2</v>
      </c>
      <c r="E506" s="207">
        <f>$D$9+0.602937*$E$9</f>
        <v>0.18530920770254633</v>
      </c>
      <c r="F506" s="207">
        <f>$D$10+-0.130026*$E$10</f>
        <v>0.1434396879999999</v>
      </c>
      <c r="G506" s="208">
        <f>$F506*(1-'Sensitivity &amp; Scenarios'!$C$12)+'Sensitivity &amp; Scenarios'!$C$9*'Sensitivity &amp; Scenarios'!$C$12-'Sensitivity &amp; Scenarios'!$C$10</f>
        <v>7.6531336618864632E-2</v>
      </c>
      <c r="H506" s="209">
        <f>('Sensitivity &amp; Scenarios'!$C$6*(1+$E506)^1*$G506+'Sensitivity &amp; Scenarios'!$C$11*'Sensitivity &amp; Scenarios'!$C$6*((1+$E506)^1-(1+$E506)^0))*'Sensitivity &amp; Scenarios'!$C$18/(1+$C506)^'Sensitivity &amp; Scenarios'!$C$18+('Sensitivity &amp; Scenarios'!$C$6*(1+$E506)^2*$G506+'Sensitivity &amp; Scenarios'!$C$11*'Sensitivity &amp; Scenarios'!$C$6*((1+$E506)^2-(1+$E506)^1))/(1+$C506)^('Sensitivity &amp; Scenarios'!$C$18+1)+('Sensitivity &amp; Scenarios'!$C$6*(1+$E506)^3*$G506+'Sensitivity &amp; Scenarios'!$C$11*'Sensitivity &amp; Scenarios'!$C$6*((1+$E506)^3-(1+$E506)^2))/(1+$C506)^('Sensitivity &amp; Scenarios'!$C$18+2)+('Sensitivity &amp; Scenarios'!$C$6*(1+$E506)^4*$G506+'Sensitivity &amp; Scenarios'!$C$11*'Sensitivity &amp; Scenarios'!$C$6*((1+$E506)^4-(1+$E506)^3))/(1+$C506)^('Sensitivity &amp; Scenarios'!$C$18+3)+('Sensitivity &amp; Scenarios'!$C$6*(1+$E506)^5*$G506+'Sensitivity &amp; Scenarios'!$C$11*'Sensitivity &amp; Scenarios'!$C$6*((1+$E506)^5-(1+$E506)^4))/(1+$C506)^('Sensitivity &amp; Scenarios'!$C$18+4)</f>
        <v>24890.04338507013</v>
      </c>
      <c r="I506" s="209">
        <f>('Sensitivity &amp; Scenarios'!$C$6*(1+$E506)^5*$G506+'Sensitivity &amp; Scenarios'!$C$11*'Sensitivity &amp; Scenarios'!$C$6*((1+$E506)^5-(1+$E506)^4))*(1+$D506)/($C506-$D506)/(1+$C506)^('Sensitivity &amp; Scenarios'!$C$18+4)</f>
        <v>87772.215079564252</v>
      </c>
      <c r="J506" s="209">
        <f>($H506+$I506-'Sensitivity &amp; Scenarios'!$C$15+'Sensitivity &amp; Scenarios'!$C$16)/'Sensitivity &amp; Scenarios'!$C$17</f>
        <v>2657.9638428575972</v>
      </c>
    </row>
    <row r="507" spans="2:10" x14ac:dyDescent="0.3">
      <c r="B507" s="127">
        <v>477</v>
      </c>
      <c r="C507" s="206">
        <f>$D$7+0.619105*$E$7</f>
        <v>0.14374330943997798</v>
      </c>
      <c r="D507" s="206">
        <f>MIN($D$8+-1.160912*$E$8,'Debt &amp; Cost of Capital'!$C$38)</f>
        <v>4.8034528E-2</v>
      </c>
      <c r="E507" s="207">
        <f>$D$9+0.03237*$E$9</f>
        <v>0.16819219770254634</v>
      </c>
      <c r="F507" s="207">
        <f>$D$10+0.147322*$E$10</f>
        <v>0.14676786399999991</v>
      </c>
      <c r="G507" s="208">
        <f>$F507*(1-'Sensitivity &amp; Scenarios'!$C$12)+'Sensitivity &amp; Scenarios'!$C$9*'Sensitivity &amp; Scenarios'!$C$12-'Sensitivity &amp; Scenarios'!$C$10</f>
        <v>7.9021810719664645E-2</v>
      </c>
      <c r="H507" s="209">
        <f>('Sensitivity &amp; Scenarios'!$C$6*(1+$E507)^1*$G507+'Sensitivity &amp; Scenarios'!$C$11*'Sensitivity &amp; Scenarios'!$C$6*((1+$E507)^1-(1+$E507)^0))*'Sensitivity &amp; Scenarios'!$C$18/(1+$C507)^'Sensitivity &amp; Scenarios'!$C$18+('Sensitivity &amp; Scenarios'!$C$6*(1+$E507)^2*$G507+'Sensitivity &amp; Scenarios'!$C$11*'Sensitivity &amp; Scenarios'!$C$6*((1+$E507)^2-(1+$E507)^1))/(1+$C507)^('Sensitivity &amp; Scenarios'!$C$18+1)+('Sensitivity &amp; Scenarios'!$C$6*(1+$E507)^3*$G507+'Sensitivity &amp; Scenarios'!$C$11*'Sensitivity &amp; Scenarios'!$C$6*((1+$E507)^3-(1+$E507)^2))/(1+$C507)^('Sensitivity &amp; Scenarios'!$C$18+2)+('Sensitivity &amp; Scenarios'!$C$6*(1+$E507)^4*$G507+'Sensitivity &amp; Scenarios'!$C$11*'Sensitivity &amp; Scenarios'!$C$6*((1+$E507)^4-(1+$E507)^3))/(1+$C507)^('Sensitivity &amp; Scenarios'!$C$18+3)+('Sensitivity &amp; Scenarios'!$C$6*(1+$E507)^5*$G507+'Sensitivity &amp; Scenarios'!$C$11*'Sensitivity &amp; Scenarios'!$C$6*((1+$E507)^5-(1+$E507)^4))/(1+$C507)^('Sensitivity &amp; Scenarios'!$C$18+4)</f>
        <v>23340.974101121916</v>
      </c>
      <c r="I507" s="209">
        <f>('Sensitivity &amp; Scenarios'!$C$6*(1+$E507)^5*$G507+'Sensitivity &amp; Scenarios'!$C$11*'Sensitivity &amp; Scenarios'!$C$6*((1+$E507)^5-(1+$E507)^4))*(1+$D507)/($C507-$D507)/(1+$C507)^('Sensitivity &amp; Scenarios'!$C$18+4)</f>
        <v>57336.531736090183</v>
      </c>
      <c r="J507" s="209">
        <f>($H507+$I507-'Sensitivity &amp; Scenarios'!$C$15+'Sensitivity &amp; Scenarios'!$C$16)/'Sensitivity &amp; Scenarios'!$C$17</f>
        <v>1984.7239388521771</v>
      </c>
    </row>
    <row r="508" spans="2:10" x14ac:dyDescent="0.3">
      <c r="B508" s="127">
        <v>478</v>
      </c>
      <c r="C508" s="206">
        <f>$D$7+-0.469837*$E$7</f>
        <v>0.13285388943997797</v>
      </c>
      <c r="D508" s="206">
        <f>MIN($D$8+0.435458*$E$8,'Debt &amp; Cost of Capital'!$C$38)</f>
        <v>5.7612747999999998E-2</v>
      </c>
      <c r="E508" s="207">
        <f>$D$9+-0.780433*$E$9</f>
        <v>0.14380810770254635</v>
      </c>
      <c r="F508" s="207">
        <f>$D$10+0.509821*$E$10</f>
        <v>0.15111785199999991</v>
      </c>
      <c r="G508" s="208">
        <f>$F508*(1-'Sensitivity &amp; Scenarios'!$C$12)+'Sensitivity &amp; Scenarios'!$C$9*'Sensitivity &amp; Scenarios'!$C$12-'Sensitivity &amp; Scenarios'!$C$10</f>
        <v>8.2276906740064645E-2</v>
      </c>
      <c r="H508" s="209">
        <f>('Sensitivity &amp; Scenarios'!$C$6*(1+$E508)^1*$G508+'Sensitivity &amp; Scenarios'!$C$11*'Sensitivity &amp; Scenarios'!$C$6*((1+$E508)^1-(1+$E508)^0))*'Sensitivity &amp; Scenarios'!$C$18/(1+$C508)^'Sensitivity &amp; Scenarios'!$C$18+('Sensitivity &amp; Scenarios'!$C$6*(1+$E508)^2*$G508+'Sensitivity &amp; Scenarios'!$C$11*'Sensitivity &amp; Scenarios'!$C$6*((1+$E508)^2-(1+$E508)^1))/(1+$C508)^('Sensitivity &amp; Scenarios'!$C$18+1)+('Sensitivity &amp; Scenarios'!$C$6*(1+$E508)^3*$G508+'Sensitivity &amp; Scenarios'!$C$11*'Sensitivity &amp; Scenarios'!$C$6*((1+$E508)^3-(1+$E508)^2))/(1+$C508)^('Sensitivity &amp; Scenarios'!$C$18+2)+('Sensitivity &amp; Scenarios'!$C$6*(1+$E508)^4*$G508+'Sensitivity &amp; Scenarios'!$C$11*'Sensitivity &amp; Scenarios'!$C$6*((1+$E508)^4-(1+$E508)^3))/(1+$C508)^('Sensitivity &amp; Scenarios'!$C$18+3)+('Sensitivity &amp; Scenarios'!$C$6*(1+$E508)^5*$G508+'Sensitivity &amp; Scenarios'!$C$11*'Sensitivity &amp; Scenarios'!$C$6*((1+$E508)^5-(1+$E508)^4))/(1+$C508)^('Sensitivity &amp; Scenarios'!$C$18+4)</f>
        <v>22715.182204285695</v>
      </c>
      <c r="I508" s="209">
        <f>('Sensitivity &amp; Scenarios'!$C$6*(1+$E508)^5*$G508+'Sensitivity &amp; Scenarios'!$C$11*'Sensitivity &amp; Scenarios'!$C$6*((1+$E508)^5-(1+$E508)^4))*(1+$D508)/($C508-$D508)/(1+$C508)^('Sensitivity &amp; Scenarios'!$C$18+4)</f>
        <v>70144.957782912883</v>
      </c>
      <c r="J508" s="209">
        <f>($H508+$I508-'Sensitivity &amp; Scenarios'!$C$15+'Sensitivity &amp; Scenarios'!$C$16)/'Sensitivity &amp; Scenarios'!$C$17</f>
        <v>2241.1534801780076</v>
      </c>
    </row>
    <row r="509" spans="2:10" x14ac:dyDescent="0.3">
      <c r="B509" s="127">
        <v>479</v>
      </c>
      <c r="C509" s="206">
        <f>$D$7+0.551859*$E$7</f>
        <v>0.14307084943997797</v>
      </c>
      <c r="D509" s="206">
        <f>MIN($D$8+-2.91716*$E$8,'Debt &amp; Cost of Capital'!$C$38)</f>
        <v>3.7497039999999995E-2</v>
      </c>
      <c r="E509" s="207">
        <f>$D$9+1.190306*$E$9</f>
        <v>0.20293027770254635</v>
      </c>
      <c r="F509" s="207">
        <f>$D$10+-3.047633*$E$10</f>
        <v>0.10842840399999991</v>
      </c>
      <c r="G509" s="208">
        <f>$F509*(1-'Sensitivity &amp; Scenarios'!$C$12)+'Sensitivity &amp; Scenarios'!$C$9*'Sensitivity &amp; Scenarios'!$C$12-'Sensitivity &amp; Scenarios'!$C$10</f>
        <v>5.0332392801664641E-2</v>
      </c>
      <c r="H509" s="209">
        <f>('Sensitivity &amp; Scenarios'!$C$6*(1+$E509)^1*$G509+'Sensitivity &amp; Scenarios'!$C$11*'Sensitivity &amp; Scenarios'!$C$6*((1+$E509)^1-(1+$E509)^0))*'Sensitivity &amp; Scenarios'!$C$18/(1+$C509)^'Sensitivity &amp; Scenarios'!$C$18+('Sensitivity &amp; Scenarios'!$C$6*(1+$E509)^2*$G509+'Sensitivity &amp; Scenarios'!$C$11*'Sensitivity &amp; Scenarios'!$C$6*((1+$E509)^2-(1+$E509)^1))/(1+$C509)^('Sensitivity &amp; Scenarios'!$C$18+1)+('Sensitivity &amp; Scenarios'!$C$6*(1+$E509)^3*$G509+'Sensitivity &amp; Scenarios'!$C$11*'Sensitivity &amp; Scenarios'!$C$6*((1+$E509)^3-(1+$E509)^2))/(1+$C509)^('Sensitivity &amp; Scenarios'!$C$18+2)+('Sensitivity &amp; Scenarios'!$C$6*(1+$E509)^4*$G509+'Sensitivity &amp; Scenarios'!$C$11*'Sensitivity &amp; Scenarios'!$C$6*((1+$E509)^4-(1+$E509)^3))/(1+$C509)^('Sensitivity &amp; Scenarios'!$C$18+3)+('Sensitivity &amp; Scenarios'!$C$6*(1+$E509)^5*$G509+'Sensitivity &amp; Scenarios'!$C$11*'Sensitivity &amp; Scenarios'!$C$6*((1+$E509)^5-(1+$E509)^4))/(1+$C509)^('Sensitivity &amp; Scenarios'!$C$18+4)</f>
        <v>18661.491916559571</v>
      </c>
      <c r="I509" s="209">
        <f>('Sensitivity &amp; Scenarios'!$C$6*(1+$E509)^5*$G509+'Sensitivity &amp; Scenarios'!$C$11*'Sensitivity &amp; Scenarios'!$C$6*((1+$E509)^5-(1+$E509)^4))*(1+$D509)/($C509-$D509)/(1+$C509)^('Sensitivity &amp; Scenarios'!$C$18+4)</f>
        <v>43383.324694591967</v>
      </c>
      <c r="J509" s="209">
        <f>($H509+$I509-'Sensitivity &amp; Scenarios'!$C$15+'Sensitivity &amp; Scenarios'!$C$16)/'Sensitivity &amp; Scenarios'!$C$17</f>
        <v>1592.5286309178291</v>
      </c>
    </row>
    <row r="510" spans="2:10" x14ac:dyDescent="0.3">
      <c r="B510" s="127">
        <v>480</v>
      </c>
      <c r="C510" s="206">
        <f>$D$7+-0.616049*$E$7</f>
        <v>0.13139176943997799</v>
      </c>
      <c r="D510" s="206">
        <f>MIN($D$8+1.025348*$E$8,'Debt &amp; Cost of Capital'!$C$38)</f>
        <v>6.1152088E-2</v>
      </c>
      <c r="E510" s="207">
        <f>$D$9+-0.317287*$E$9</f>
        <v>0.15770248770254633</v>
      </c>
      <c r="F510" s="207">
        <f>$D$10+-1.466186*$E$10</f>
        <v>0.12740576799999992</v>
      </c>
      <c r="G510" s="208">
        <f>$F510*(1-'Sensitivity &amp; Scenarios'!$C$12)+'Sensitivity &amp; Scenarios'!$C$9*'Sensitivity &amp; Scenarios'!$C$12-'Sensitivity &amp; Scenarios'!$C$10</f>
        <v>6.4533154282864644E-2</v>
      </c>
      <c r="H510" s="209">
        <f>('Sensitivity &amp; Scenarios'!$C$6*(1+$E510)^1*$G510+'Sensitivity &amp; Scenarios'!$C$11*'Sensitivity &amp; Scenarios'!$C$6*((1+$E510)^1-(1+$E510)^0))*'Sensitivity &amp; Scenarios'!$C$18/(1+$C510)^'Sensitivity &amp; Scenarios'!$C$18+('Sensitivity &amp; Scenarios'!$C$6*(1+$E510)^2*$G510+'Sensitivity &amp; Scenarios'!$C$11*'Sensitivity &amp; Scenarios'!$C$6*((1+$E510)^2-(1+$E510)^1))/(1+$C510)^('Sensitivity &amp; Scenarios'!$C$18+1)+('Sensitivity &amp; Scenarios'!$C$6*(1+$E510)^3*$G510+'Sensitivity &amp; Scenarios'!$C$11*'Sensitivity &amp; Scenarios'!$C$6*((1+$E510)^3-(1+$E510)^2))/(1+$C510)^('Sensitivity &amp; Scenarios'!$C$18+2)+('Sensitivity &amp; Scenarios'!$C$6*(1+$E510)^4*$G510+'Sensitivity &amp; Scenarios'!$C$11*'Sensitivity &amp; Scenarios'!$C$6*((1+$E510)^4-(1+$E510)^3))/(1+$C510)^('Sensitivity &amp; Scenarios'!$C$18+3)+('Sensitivity &amp; Scenarios'!$C$6*(1+$E510)^5*$G510+'Sensitivity &amp; Scenarios'!$C$11*'Sensitivity &amp; Scenarios'!$C$6*((1+$E510)^5-(1+$E510)^4))/(1+$C510)^('Sensitivity &amp; Scenarios'!$C$18+4)</f>
        <v>19603.038007120264</v>
      </c>
      <c r="I510" s="209">
        <f>('Sensitivity &amp; Scenarios'!$C$6*(1+$E510)^5*$G510+'Sensitivity &amp; Scenarios'!$C$11*'Sensitivity &amp; Scenarios'!$C$6*((1+$E510)^5-(1+$E510)^4))*(1+$D510)/($C510-$D510)/(1+$C510)^('Sensitivity &amp; Scenarios'!$C$18+4)</f>
        <v>66656.898084777524</v>
      </c>
      <c r="J510" s="209">
        <f>($H510+$I510-'Sensitivity &amp; Scenarios'!$C$15+'Sensitivity &amp; Scenarios'!$C$16)/'Sensitivity &amp; Scenarios'!$C$17</f>
        <v>2102.2272646574652</v>
      </c>
    </row>
    <row r="511" spans="2:10" x14ac:dyDescent="0.3">
      <c r="B511" s="127">
        <v>481</v>
      </c>
      <c r="C511" s="206">
        <f>$D$7+-1.093737*$E$7</f>
        <v>0.12661488943997798</v>
      </c>
      <c r="D511" s="206">
        <f>MIN($D$8+1.026906*$E$8,'Debt &amp; Cost of Capital'!$C$38)</f>
        <v>6.1161436E-2</v>
      </c>
      <c r="E511" s="207">
        <f>$D$9+-1.921505*$E$9</f>
        <v>0.10957594770254633</v>
      </c>
      <c r="F511" s="207">
        <f>$D$10+1.128991*$E$10</f>
        <v>0.15854789199999991</v>
      </c>
      <c r="G511" s="208">
        <f>$F511*(1-'Sensitivity &amp; Scenarios'!$C$12)+'Sensitivity &amp; Scenarios'!$C$9*'Sensitivity &amp; Scenarios'!$C$12-'Sensitivity &amp; Scenarios'!$C$10</f>
        <v>8.7836805672064644E-2</v>
      </c>
      <c r="H511" s="209">
        <f>('Sensitivity &amp; Scenarios'!$C$6*(1+$E511)^1*$G511+'Sensitivity &amp; Scenarios'!$C$11*'Sensitivity &amp; Scenarios'!$C$6*((1+$E511)^1-(1+$E511)^0))*'Sensitivity &amp; Scenarios'!$C$18/(1+$C511)^'Sensitivity &amp; Scenarios'!$C$18+('Sensitivity &amp; Scenarios'!$C$6*(1+$E511)^2*$G511+'Sensitivity &amp; Scenarios'!$C$11*'Sensitivity &amp; Scenarios'!$C$6*((1+$E511)^2-(1+$E511)^1))/(1+$C511)^('Sensitivity &amp; Scenarios'!$C$18+1)+('Sensitivity &amp; Scenarios'!$C$6*(1+$E511)^3*$G511+'Sensitivity &amp; Scenarios'!$C$11*'Sensitivity &amp; Scenarios'!$C$6*((1+$E511)^3-(1+$E511)^2))/(1+$C511)^('Sensitivity &amp; Scenarios'!$C$18+2)+('Sensitivity &amp; Scenarios'!$C$6*(1+$E511)^4*$G511+'Sensitivity &amp; Scenarios'!$C$11*'Sensitivity &amp; Scenarios'!$C$6*((1+$E511)^4-(1+$E511)^3))/(1+$C511)^('Sensitivity &amp; Scenarios'!$C$18+3)+('Sensitivity &amp; Scenarios'!$C$6*(1+$E511)^5*$G511+'Sensitivity &amp; Scenarios'!$C$11*'Sensitivity &amp; Scenarios'!$C$6*((1+$E511)^5-(1+$E511)^4))/(1+$C511)^('Sensitivity &amp; Scenarios'!$C$18+4)</f>
        <v>21525.245824323047</v>
      </c>
      <c r="I511" s="209">
        <f>('Sensitivity &amp; Scenarios'!$C$6*(1+$E511)^5*$G511+'Sensitivity &amp; Scenarios'!$C$11*'Sensitivity &amp; Scenarios'!$C$6*((1+$E511)^5-(1+$E511)^4))*(1+$D511)/($C511-$D511)/(1+$C511)^('Sensitivity &amp; Scenarios'!$C$18+4)</f>
        <v>73226.223780373839</v>
      </c>
      <c r="J511" s="209">
        <f>($H511+$I511-'Sensitivity &amp; Scenarios'!$C$15+'Sensitivity &amp; Scenarios'!$C$16)/'Sensitivity &amp; Scenarios'!$C$17</f>
        <v>2280.9636542618764</v>
      </c>
    </row>
    <row r="512" spans="2:10" x14ac:dyDescent="0.3">
      <c r="B512" s="127">
        <v>482</v>
      </c>
      <c r="C512" s="206">
        <f>$D$7+-0.055102*$E$7</f>
        <v>0.13700123943997797</v>
      </c>
      <c r="D512" s="206">
        <f>MIN($D$8+-1.192395*$E$8,'Debt &amp; Cost of Capital'!$C$38)</f>
        <v>4.784563E-2</v>
      </c>
      <c r="E512" s="207">
        <f>$D$9+-0.583115*$E$9</f>
        <v>0.14972764770254635</v>
      </c>
      <c r="F512" s="207">
        <f>$D$10+-1.017224*$E$10</f>
        <v>0.13279331199999991</v>
      </c>
      <c r="G512" s="208">
        <f>$F512*(1-'Sensitivity &amp; Scenarios'!$C$12)+'Sensitivity &amp; Scenarios'!$C$9*'Sensitivity &amp; Scenarios'!$C$12-'Sensitivity &amp; Scenarios'!$C$10</f>
        <v>6.8564653458064645E-2</v>
      </c>
      <c r="H512" s="209">
        <f>('Sensitivity &amp; Scenarios'!$C$6*(1+$E512)^1*$G512+'Sensitivity &amp; Scenarios'!$C$11*'Sensitivity &amp; Scenarios'!$C$6*((1+$E512)^1-(1+$E512)^0))*'Sensitivity &amp; Scenarios'!$C$18/(1+$C512)^'Sensitivity &amp; Scenarios'!$C$18+('Sensitivity &amp; Scenarios'!$C$6*(1+$E512)^2*$G512+'Sensitivity &amp; Scenarios'!$C$11*'Sensitivity &amp; Scenarios'!$C$6*((1+$E512)^2-(1+$E512)^1))/(1+$C512)^('Sensitivity &amp; Scenarios'!$C$18+1)+('Sensitivity &amp; Scenarios'!$C$6*(1+$E512)^3*$G512+'Sensitivity &amp; Scenarios'!$C$11*'Sensitivity &amp; Scenarios'!$C$6*((1+$E512)^3-(1+$E512)^2))/(1+$C512)^('Sensitivity &amp; Scenarios'!$C$18+2)+('Sensitivity &amp; Scenarios'!$C$6*(1+$E512)^4*$G512+'Sensitivity &amp; Scenarios'!$C$11*'Sensitivity &amp; Scenarios'!$C$6*((1+$E512)^4-(1+$E512)^3))/(1+$C512)^('Sensitivity &amp; Scenarios'!$C$18+3)+('Sensitivity &amp; Scenarios'!$C$6*(1+$E512)^5*$G512+'Sensitivity &amp; Scenarios'!$C$11*'Sensitivity &amp; Scenarios'!$C$6*((1+$E512)^5-(1+$E512)^4))/(1+$C512)^('Sensitivity &amp; Scenarios'!$C$18+4)</f>
        <v>19711.77655661988</v>
      </c>
      <c r="I512" s="209">
        <f>('Sensitivity &amp; Scenarios'!$C$6*(1+$E512)^5*$G512+'Sensitivity &amp; Scenarios'!$C$11*'Sensitivity &amp; Scenarios'!$C$6*((1+$E512)^5-(1+$E512)^4))*(1+$D512)/($C512-$D512)/(1+$C512)^('Sensitivity &amp; Scenarios'!$C$18+4)</f>
        <v>51036.015591294439</v>
      </c>
      <c r="J512" s="209">
        <f>($H512+$I512-'Sensitivity &amp; Scenarios'!$C$15+'Sensitivity &amp; Scenarios'!$C$16)/'Sensitivity &amp; Scenarios'!$C$17</f>
        <v>1775.7156163912855</v>
      </c>
    </row>
    <row r="513" spans="2:10" x14ac:dyDescent="0.3">
      <c r="B513" s="127">
        <v>483</v>
      </c>
      <c r="C513" s="206">
        <f>$D$7+0.866225*$E$7</f>
        <v>0.14621450943997799</v>
      </c>
      <c r="D513" s="206">
        <f>MIN($D$8+0.732428*$E$8,'Debt &amp; Cost of Capital'!$C$38)</f>
        <v>5.9394568000000002E-2</v>
      </c>
      <c r="E513" s="207">
        <f>$D$9+-1.719161*$E$9</f>
        <v>0.11564626770254635</v>
      </c>
      <c r="F513" s="207">
        <f>$D$10+-0.403592*$E$10</f>
        <v>0.14015689599999992</v>
      </c>
      <c r="G513" s="208">
        <f>$F513*(1-'Sensitivity &amp; Scenarios'!$C$12)+'Sensitivity &amp; Scenarios'!$C$9*'Sensitivity &amp; Scenarios'!$C$12-'Sensitivity &amp; Scenarios'!$C$10</f>
        <v>7.407482336526465E-2</v>
      </c>
      <c r="H513" s="209">
        <f>('Sensitivity &amp; Scenarios'!$C$6*(1+$E513)^1*$G513+'Sensitivity &amp; Scenarios'!$C$11*'Sensitivity &amp; Scenarios'!$C$6*((1+$E513)^1-(1+$E513)^0))*'Sensitivity &amp; Scenarios'!$C$18/(1+$C513)^'Sensitivity &amp; Scenarios'!$C$18+('Sensitivity &amp; Scenarios'!$C$6*(1+$E513)^2*$G513+'Sensitivity &amp; Scenarios'!$C$11*'Sensitivity &amp; Scenarios'!$C$6*((1+$E513)^2-(1+$E513)^1))/(1+$C513)^('Sensitivity &amp; Scenarios'!$C$18+1)+('Sensitivity &amp; Scenarios'!$C$6*(1+$E513)^3*$G513+'Sensitivity &amp; Scenarios'!$C$11*'Sensitivity &amp; Scenarios'!$C$6*((1+$E513)^3-(1+$E513)^2))/(1+$C513)^('Sensitivity &amp; Scenarios'!$C$18+2)+('Sensitivity &amp; Scenarios'!$C$6*(1+$E513)^4*$G513+'Sensitivity &amp; Scenarios'!$C$11*'Sensitivity &amp; Scenarios'!$C$6*((1+$E513)^4-(1+$E513)^3))/(1+$C513)^('Sensitivity &amp; Scenarios'!$C$18+3)+('Sensitivity &amp; Scenarios'!$C$6*(1+$E513)^5*$G513+'Sensitivity &amp; Scenarios'!$C$11*'Sensitivity &amp; Scenarios'!$C$6*((1+$E513)^5-(1+$E513)^4))/(1+$C513)^('Sensitivity &amp; Scenarios'!$C$18+4)</f>
        <v>18082.340955157742</v>
      </c>
      <c r="I513" s="209">
        <f>('Sensitivity &amp; Scenarios'!$C$6*(1+$E513)^5*$G513+'Sensitivity &amp; Scenarios'!$C$11*'Sensitivity &amp; Scenarios'!$C$6*((1+$E513)^5-(1+$E513)^4))*(1+$D513)/($C513-$D513)/(1+$C513)^('Sensitivity &amp; Scenarios'!$C$18+4)</f>
        <v>45283.025176347612</v>
      </c>
      <c r="J513" s="209">
        <f>($H513+$I513-'Sensitivity &amp; Scenarios'!$C$15+'Sensitivity &amp; Scenarios'!$C$16)/'Sensitivity &amp; Scenarios'!$C$17</f>
        <v>1620.3245824036374</v>
      </c>
    </row>
    <row r="514" spans="2:10" x14ac:dyDescent="0.3">
      <c r="B514" s="127">
        <v>484</v>
      </c>
      <c r="C514" s="206">
        <f>$D$7+-0.863186*$E$7</f>
        <v>0.12892039943997799</v>
      </c>
      <c r="D514" s="206">
        <f>MIN($D$8+1.29351*$E$8,'Debt &amp; Cost of Capital'!$C$38)</f>
        <v>6.2761060000000007E-2</v>
      </c>
      <c r="E514" s="207">
        <f>$D$9+-1.350099*$E$9</f>
        <v>0.12671812770254634</v>
      </c>
      <c r="F514" s="207">
        <f>$D$10+1.604229*$E$10</f>
        <v>0.16425074799999989</v>
      </c>
      <c r="G514" s="208">
        <f>$F514*(1-'Sensitivity &amp; Scenarios'!$C$12)+'Sensitivity &amp; Scenarios'!$C$9*'Sensitivity &amp; Scenarios'!$C$12-'Sensitivity &amp; Scenarios'!$C$10</f>
        <v>9.2104252816864629E-2</v>
      </c>
      <c r="H514" s="209">
        <f>('Sensitivity &amp; Scenarios'!$C$6*(1+$E514)^1*$G514+'Sensitivity &amp; Scenarios'!$C$11*'Sensitivity &amp; Scenarios'!$C$6*((1+$E514)^1-(1+$E514)^0))*'Sensitivity &amp; Scenarios'!$C$18/(1+$C514)^'Sensitivity &amp; Scenarios'!$C$18+('Sensitivity &amp; Scenarios'!$C$6*(1+$E514)^2*$G514+'Sensitivity &amp; Scenarios'!$C$11*'Sensitivity &amp; Scenarios'!$C$6*((1+$E514)^2-(1+$E514)^1))/(1+$C514)^('Sensitivity &amp; Scenarios'!$C$18+1)+('Sensitivity &amp; Scenarios'!$C$6*(1+$E514)^3*$G514+'Sensitivity &amp; Scenarios'!$C$11*'Sensitivity &amp; Scenarios'!$C$6*((1+$E514)^3-(1+$E514)^2))/(1+$C514)^('Sensitivity &amp; Scenarios'!$C$18+2)+('Sensitivity &amp; Scenarios'!$C$6*(1+$E514)^4*$G514+'Sensitivity &amp; Scenarios'!$C$11*'Sensitivity &amp; Scenarios'!$C$6*((1+$E514)^4-(1+$E514)^3))/(1+$C514)^('Sensitivity &amp; Scenarios'!$C$18+3)+('Sensitivity &amp; Scenarios'!$C$6*(1+$E514)^5*$G514+'Sensitivity &amp; Scenarios'!$C$11*'Sensitivity &amp; Scenarios'!$C$6*((1+$E514)^5-(1+$E514)^4))/(1+$C514)^('Sensitivity &amp; Scenarios'!$C$18+4)</f>
        <v>23774.316249123403</v>
      </c>
      <c r="I514" s="209">
        <f>('Sensitivity &amp; Scenarios'!$C$6*(1+$E514)^5*$G514+'Sensitivity &amp; Scenarios'!$C$11*'Sensitivity &amp; Scenarios'!$C$6*((1+$E514)^5-(1+$E514)^4))*(1+$D514)/($C514-$D514)/(1+$C514)^('Sensitivity &amp; Scenarios'!$C$18+4)</f>
        <v>82136.952526273366</v>
      </c>
      <c r="J514" s="209">
        <f>($H514+$I514-'Sensitivity &amp; Scenarios'!$C$15+'Sensitivity &amp; Scenarios'!$C$16)/'Sensitivity &amp; Scenarios'!$C$17</f>
        <v>2515.8637708868296</v>
      </c>
    </row>
    <row r="515" spans="2:10" x14ac:dyDescent="0.3">
      <c r="B515" s="127">
        <v>485</v>
      </c>
      <c r="C515" s="206">
        <f>$D$7+-0.033295*$E$7</f>
        <v>0.13721930943997798</v>
      </c>
      <c r="D515" s="206">
        <f>MIN($D$8+-1.161934*$E$8,'Debt &amp; Cost of Capital'!$C$38)</f>
        <v>4.8028396000000001E-2</v>
      </c>
      <c r="E515" s="207">
        <f>$D$9+-0.677274*$E$9</f>
        <v>0.14690287770254634</v>
      </c>
      <c r="F515" s="207">
        <f>$D$10+-0.801619*$E$10</f>
        <v>0.13538057199999992</v>
      </c>
      <c r="G515" s="208">
        <f>$F515*(1-'Sensitivity &amp; Scenarios'!$C$12)+'Sensitivity &amp; Scenarios'!$C$9*'Sensitivity &amp; Scenarios'!$C$12-'Sensitivity &amp; Scenarios'!$C$10</f>
        <v>7.0500700116064643E-2</v>
      </c>
      <c r="H515" s="209">
        <f>('Sensitivity &amp; Scenarios'!$C$6*(1+$E515)^1*$G515+'Sensitivity &amp; Scenarios'!$C$11*'Sensitivity &amp; Scenarios'!$C$6*((1+$E515)^1-(1+$E515)^0))*'Sensitivity &amp; Scenarios'!$C$18/(1+$C515)^'Sensitivity &amp; Scenarios'!$C$18+('Sensitivity &amp; Scenarios'!$C$6*(1+$E515)^2*$G515+'Sensitivity &amp; Scenarios'!$C$11*'Sensitivity &amp; Scenarios'!$C$6*((1+$E515)^2-(1+$E515)^1))/(1+$C515)^('Sensitivity &amp; Scenarios'!$C$18+1)+('Sensitivity &amp; Scenarios'!$C$6*(1+$E515)^3*$G515+'Sensitivity &amp; Scenarios'!$C$11*'Sensitivity &amp; Scenarios'!$C$6*((1+$E515)^3-(1+$E515)^2))/(1+$C515)^('Sensitivity &amp; Scenarios'!$C$18+2)+('Sensitivity &amp; Scenarios'!$C$6*(1+$E515)^4*$G515+'Sensitivity &amp; Scenarios'!$C$11*'Sensitivity &amp; Scenarios'!$C$6*((1+$E515)^4-(1+$E515)^3))/(1+$C515)^('Sensitivity &amp; Scenarios'!$C$18+3)+('Sensitivity &amp; Scenarios'!$C$6*(1+$E515)^5*$G515+'Sensitivity &amp; Scenarios'!$C$11*'Sensitivity &amp; Scenarios'!$C$6*((1+$E515)^5-(1+$E515)^4))/(1+$C515)^('Sensitivity &amp; Scenarios'!$C$18+4)</f>
        <v>19948.830986706875</v>
      </c>
      <c r="I515" s="209">
        <f>('Sensitivity &amp; Scenarios'!$C$6*(1+$E515)^5*$G515+'Sensitivity &amp; Scenarios'!$C$11*'Sensitivity &amp; Scenarios'!$C$6*((1+$E515)^5-(1+$E515)^4))*(1+$D515)/($C515-$D515)/(1+$C515)^('Sensitivity &amp; Scenarios'!$C$18+4)</f>
        <v>51389.219531510367</v>
      </c>
      <c r="J515" s="209">
        <f>($H515+$I515-'Sensitivity &amp; Scenarios'!$C$15+'Sensitivity &amp; Scenarios'!$C$16)/'Sensitivity &amp; Scenarios'!$C$17</f>
        <v>1788.1398328043406</v>
      </c>
    </row>
    <row r="516" spans="2:10" x14ac:dyDescent="0.3">
      <c r="B516" s="127">
        <v>486</v>
      </c>
      <c r="C516" s="206">
        <f>$D$7+-1.274618*$E$7</f>
        <v>0.12480607943997798</v>
      </c>
      <c r="D516" s="206">
        <f>MIN($D$8+0.094827*$E$8,'Debt &amp; Cost of Capital'!$C$38)</f>
        <v>5.5568962E-2</v>
      </c>
      <c r="E516" s="207">
        <f>$D$9+-1.227916*$E$9</f>
        <v>0.13038361770254633</v>
      </c>
      <c r="F516" s="207">
        <f>$D$10+-2.180366*$E$10</f>
        <v>0.11883560799999991</v>
      </c>
      <c r="G516" s="208">
        <f>$F516*(1-'Sensitivity &amp; Scenarios'!$C$12)+'Sensitivity &amp; Scenarios'!$C$9*'Sensitivity &amp; Scenarios'!$C$12-'Sensitivity &amp; Scenarios'!$C$10</f>
        <v>5.8120103554864647E-2</v>
      </c>
      <c r="H516" s="209">
        <f>('Sensitivity &amp; Scenarios'!$C$6*(1+$E516)^1*$G516+'Sensitivity &amp; Scenarios'!$C$11*'Sensitivity &amp; Scenarios'!$C$6*((1+$E516)^1-(1+$E516)^0))*'Sensitivity &amp; Scenarios'!$C$18/(1+$C516)^'Sensitivity &amp; Scenarios'!$C$18+('Sensitivity &amp; Scenarios'!$C$6*(1+$E516)^2*$G516+'Sensitivity &amp; Scenarios'!$C$11*'Sensitivity &amp; Scenarios'!$C$6*((1+$E516)^2-(1+$E516)^1))/(1+$C516)^('Sensitivity &amp; Scenarios'!$C$18+1)+('Sensitivity &amp; Scenarios'!$C$6*(1+$E516)^3*$G516+'Sensitivity &amp; Scenarios'!$C$11*'Sensitivity &amp; Scenarios'!$C$6*((1+$E516)^3-(1+$E516)^2))/(1+$C516)^('Sensitivity &amp; Scenarios'!$C$18+2)+('Sensitivity &amp; Scenarios'!$C$6*(1+$E516)^4*$G516+'Sensitivity &amp; Scenarios'!$C$11*'Sensitivity &amp; Scenarios'!$C$6*((1+$E516)^4-(1+$E516)^3))/(1+$C516)^('Sensitivity &amp; Scenarios'!$C$18+3)+('Sensitivity &amp; Scenarios'!$C$6*(1+$E516)^5*$G516+'Sensitivity &amp; Scenarios'!$C$11*'Sensitivity &amp; Scenarios'!$C$6*((1+$E516)^5-(1+$E516)^4))/(1+$C516)^('Sensitivity &amp; Scenarios'!$C$18+4)</f>
        <v>16446.186805378933</v>
      </c>
      <c r="I516" s="209">
        <f>('Sensitivity &amp; Scenarios'!$C$6*(1+$E516)^5*$G516+'Sensitivity &amp; Scenarios'!$C$11*'Sensitivity &amp; Scenarios'!$C$6*((1+$E516)^5-(1+$E516)^4))*(1+$D516)/($C516-$D516)/(1+$C516)^('Sensitivity &amp; Scenarios'!$C$18+4)</f>
        <v>54614.555135128183</v>
      </c>
      <c r="J516" s="209">
        <f>($H516+$I516-'Sensitivity &amp; Scenarios'!$C$15+'Sensitivity &amp; Scenarios'!$C$16)/'Sensitivity &amp; Scenarios'!$C$17</f>
        <v>1782.3028265778994</v>
      </c>
    </row>
    <row r="517" spans="2:10" x14ac:dyDescent="0.3">
      <c r="B517" s="127">
        <v>487</v>
      </c>
      <c r="C517" s="206">
        <f>$D$7+-0.379676*$E$7</f>
        <v>0.13375549943997797</v>
      </c>
      <c r="D517" s="206">
        <f>MIN($D$8+-1.802856*$E$8,'Debt &amp; Cost of Capital'!$C$38)</f>
        <v>4.4182864000000002E-2</v>
      </c>
      <c r="E517" s="207">
        <f>$D$9+-0.752161*$E$9</f>
        <v>0.14465626770254633</v>
      </c>
      <c r="F517" s="207">
        <f>$D$10+-0.909103*$E$10</f>
        <v>0.13409076399999992</v>
      </c>
      <c r="G517" s="208">
        <f>$F517*(1-'Sensitivity &amp; Scenarios'!$C$12)+'Sensitivity &amp; Scenarios'!$C$9*'Sensitivity &amp; Scenarios'!$C$12-'Sensitivity &amp; Scenarios'!$C$10</f>
        <v>6.9535536789664648E-2</v>
      </c>
      <c r="H517" s="209">
        <f>('Sensitivity &amp; Scenarios'!$C$6*(1+$E517)^1*$G517+'Sensitivity &amp; Scenarios'!$C$11*'Sensitivity &amp; Scenarios'!$C$6*((1+$E517)^1-(1+$E517)^0))*'Sensitivity &amp; Scenarios'!$C$18/(1+$C517)^'Sensitivity &amp; Scenarios'!$C$18+('Sensitivity &amp; Scenarios'!$C$6*(1+$E517)^2*$G517+'Sensitivity &amp; Scenarios'!$C$11*'Sensitivity &amp; Scenarios'!$C$6*((1+$E517)^2-(1+$E517)^1))/(1+$C517)^('Sensitivity &amp; Scenarios'!$C$18+1)+('Sensitivity &amp; Scenarios'!$C$6*(1+$E517)^3*$G517+'Sensitivity &amp; Scenarios'!$C$11*'Sensitivity &amp; Scenarios'!$C$6*((1+$E517)^3-(1+$E517)^2))/(1+$C517)^('Sensitivity &amp; Scenarios'!$C$18+2)+('Sensitivity &amp; Scenarios'!$C$6*(1+$E517)^4*$G517+'Sensitivity &amp; Scenarios'!$C$11*'Sensitivity &amp; Scenarios'!$C$6*((1+$E517)^4-(1+$E517)^3))/(1+$C517)^('Sensitivity &amp; Scenarios'!$C$18+3)+('Sensitivity &amp; Scenarios'!$C$6*(1+$E517)^5*$G517+'Sensitivity &amp; Scenarios'!$C$11*'Sensitivity &amp; Scenarios'!$C$6*((1+$E517)^5-(1+$E517)^4))/(1+$C517)^('Sensitivity &amp; Scenarios'!$C$18+4)</f>
        <v>19722.919182311478</v>
      </c>
      <c r="I517" s="209">
        <f>('Sensitivity &amp; Scenarios'!$C$6*(1+$E517)^5*$G517+'Sensitivity &amp; Scenarios'!$C$11*'Sensitivity &amp; Scenarios'!$C$6*((1+$E517)^5-(1+$E517)^4))*(1+$D517)/($C517-$D517)/(1+$C517)^('Sensitivity &amp; Scenarios'!$C$18+4)</f>
        <v>50505.457804226528</v>
      </c>
      <c r="J517" s="209">
        <f>($H517+$I517-'Sensitivity &amp; Scenarios'!$C$15+'Sensitivity &amp; Scenarios'!$C$16)/'Sensitivity &amp; Scenarios'!$C$17</f>
        <v>1764.7825628373823</v>
      </c>
    </row>
    <row r="518" spans="2:10" x14ac:dyDescent="0.3">
      <c r="B518" s="127">
        <v>488</v>
      </c>
      <c r="C518" s="206">
        <f>$D$7+-0.871216*$E$7</f>
        <v>0.12884009943997798</v>
      </c>
      <c r="D518" s="206">
        <f>MIN($D$8+2.000963*$E$8,'Debt &amp; Cost of Capital'!$C$38)</f>
        <v>6.7005778000000002E-2</v>
      </c>
      <c r="E518" s="207">
        <f>$D$9+0.056412*$E$9</f>
        <v>0.16891345770254634</v>
      </c>
      <c r="F518" s="207">
        <f>$D$10+0.245371*$E$10</f>
        <v>0.14794445199999989</v>
      </c>
      <c r="G518" s="208">
        <f>$F518*(1-'Sensitivity &amp; Scenarios'!$C$12)+'Sensitivity &amp; Scenarios'!$C$9*'Sensitivity &amp; Scenarios'!$C$12-'Sensitivity &amp; Scenarios'!$C$10</f>
        <v>7.9902251520064624E-2</v>
      </c>
      <c r="H518" s="209">
        <f>('Sensitivity &amp; Scenarios'!$C$6*(1+$E518)^1*$G518+'Sensitivity &amp; Scenarios'!$C$11*'Sensitivity &amp; Scenarios'!$C$6*((1+$E518)^1-(1+$E518)^0))*'Sensitivity &amp; Scenarios'!$C$18/(1+$C518)^'Sensitivity &amp; Scenarios'!$C$18+('Sensitivity &amp; Scenarios'!$C$6*(1+$E518)^2*$G518+'Sensitivity &amp; Scenarios'!$C$11*'Sensitivity &amp; Scenarios'!$C$6*((1+$E518)^2-(1+$E518)^1))/(1+$C518)^('Sensitivity &amp; Scenarios'!$C$18+1)+('Sensitivity &amp; Scenarios'!$C$6*(1+$E518)^3*$G518+'Sensitivity &amp; Scenarios'!$C$11*'Sensitivity &amp; Scenarios'!$C$6*((1+$E518)^3-(1+$E518)^2))/(1+$C518)^('Sensitivity &amp; Scenarios'!$C$18+2)+('Sensitivity &amp; Scenarios'!$C$6*(1+$E518)^4*$G518+'Sensitivity &amp; Scenarios'!$C$11*'Sensitivity &amp; Scenarios'!$C$6*((1+$E518)^4-(1+$E518)^3))/(1+$C518)^('Sensitivity &amp; Scenarios'!$C$18+3)+('Sensitivity &amp; Scenarios'!$C$6*(1+$E518)^5*$G518+'Sensitivity &amp; Scenarios'!$C$11*'Sensitivity &amp; Scenarios'!$C$6*((1+$E518)^5-(1+$E518)^4))/(1+$C518)^('Sensitivity &amp; Scenarios'!$C$18+4)</f>
        <v>24515.700673853451</v>
      </c>
      <c r="I518" s="209">
        <f>('Sensitivity &amp; Scenarios'!$C$6*(1+$E518)^5*$G518+'Sensitivity &amp; Scenarios'!$C$11*'Sensitivity &amp; Scenarios'!$C$6*((1+$E518)^5-(1+$E518)^4))*(1+$D518)/($C518-$D518)/(1+$C518)^('Sensitivity &amp; Scenarios'!$C$18+4)</f>
        <v>97263.612526808298</v>
      </c>
      <c r="J518" s="209">
        <f>($H518+$I518-'Sensitivity &amp; Scenarios'!$C$15+'Sensitivity &amp; Scenarios'!$C$16)/'Sensitivity &amp; Scenarios'!$C$17</f>
        <v>2849.8666887790255</v>
      </c>
    </row>
    <row r="519" spans="2:10" x14ac:dyDescent="0.3">
      <c r="B519" s="127">
        <v>489</v>
      </c>
      <c r="C519" s="206">
        <f>$D$7+-1.776398*$E$7</f>
        <v>0.11978827943997798</v>
      </c>
      <c r="D519" s="206">
        <f>MIN($D$8+-0.653963*$E$8,'Debt &amp; Cost of Capital'!$C$38)</f>
        <v>5.1076221999999998E-2</v>
      </c>
      <c r="E519" s="207">
        <f>$D$9+0.215303*$E$9</f>
        <v>0.17368018770254634</v>
      </c>
      <c r="F519" s="207">
        <f>$D$10+-1.024529*$E$10</f>
        <v>0.1327056519999999</v>
      </c>
      <c r="G519" s="208">
        <f>$F519*(1-'Sensitivity &amp; Scenarios'!$C$12)+'Sensitivity &amp; Scenarios'!$C$9*'Sensitivity &amp; Scenarios'!$C$12-'Sensitivity &amp; Scenarios'!$C$10</f>
        <v>6.8499057480064629E-2</v>
      </c>
      <c r="H519" s="209">
        <f>('Sensitivity &amp; Scenarios'!$C$6*(1+$E519)^1*$G519+'Sensitivity &amp; Scenarios'!$C$11*'Sensitivity &amp; Scenarios'!$C$6*((1+$E519)^1-(1+$E519)^0))*'Sensitivity &amp; Scenarios'!$C$18/(1+$C519)^'Sensitivity &amp; Scenarios'!$C$18+('Sensitivity &amp; Scenarios'!$C$6*(1+$E519)^2*$G519+'Sensitivity &amp; Scenarios'!$C$11*'Sensitivity &amp; Scenarios'!$C$6*((1+$E519)^2-(1+$E519)^1))/(1+$C519)^('Sensitivity &amp; Scenarios'!$C$18+1)+('Sensitivity &amp; Scenarios'!$C$6*(1+$E519)^3*$G519+'Sensitivity &amp; Scenarios'!$C$11*'Sensitivity &amp; Scenarios'!$C$6*((1+$E519)^3-(1+$E519)^2))/(1+$C519)^('Sensitivity &amp; Scenarios'!$C$18+2)+('Sensitivity &amp; Scenarios'!$C$6*(1+$E519)^4*$G519+'Sensitivity &amp; Scenarios'!$C$11*'Sensitivity &amp; Scenarios'!$C$6*((1+$E519)^4-(1+$E519)^3))/(1+$C519)^('Sensitivity &amp; Scenarios'!$C$18+3)+('Sensitivity &amp; Scenarios'!$C$6*(1+$E519)^5*$G519+'Sensitivity &amp; Scenarios'!$C$11*'Sensitivity &amp; Scenarios'!$C$6*((1+$E519)^5-(1+$E519)^4))/(1+$C519)^('Sensitivity &amp; Scenarios'!$C$18+4)</f>
        <v>22495.639850189305</v>
      </c>
      <c r="I519" s="209">
        <f>('Sensitivity &amp; Scenarios'!$C$6*(1+$E519)^5*$G519+'Sensitivity &amp; Scenarios'!$C$11*'Sensitivity &amp; Scenarios'!$C$6*((1+$E519)^5-(1+$E519)^4))*(1+$D519)/($C519-$D519)/(1+$C519)^('Sensitivity &amp; Scenarios'!$C$18+4)</f>
        <v>80829.875777773021</v>
      </c>
      <c r="J519" s="209">
        <f>($H519+$I519-'Sensitivity &amp; Scenarios'!$C$15+'Sensitivity &amp; Scenarios'!$C$16)/'Sensitivity &amp; Scenarios'!$C$17</f>
        <v>2461.4368312434708</v>
      </c>
    </row>
    <row r="520" spans="2:10" x14ac:dyDescent="0.3">
      <c r="B520" s="127">
        <v>490</v>
      </c>
      <c r="C520" s="206">
        <f>$D$7+0.908063*$E$7</f>
        <v>0.14663288943997799</v>
      </c>
      <c r="D520" s="206">
        <f>MIN($D$8+-1.202697*$E$8,'Debt &amp; Cost of Capital'!$C$38)</f>
        <v>4.7783817999999999E-2</v>
      </c>
      <c r="E520" s="207">
        <f>$D$9+-0.286366*$E$9</f>
        <v>0.15863011770254634</v>
      </c>
      <c r="F520" s="207">
        <f>$D$10+-0.586052*$E$10</f>
        <v>0.13796737599999992</v>
      </c>
      <c r="G520" s="208">
        <f>$F520*(1-'Sensitivity &amp; Scenarios'!$C$12)+'Sensitivity &amp; Scenarios'!$C$9*'Sensitivity &amp; Scenarios'!$C$12-'Sensitivity &amp; Scenarios'!$C$10</f>
        <v>7.2436405549264643E-2</v>
      </c>
      <c r="H520" s="209">
        <f>('Sensitivity &amp; Scenarios'!$C$6*(1+$E520)^1*$G520+'Sensitivity &amp; Scenarios'!$C$11*'Sensitivity &amp; Scenarios'!$C$6*((1+$E520)^1-(1+$E520)^0))*'Sensitivity &amp; Scenarios'!$C$18/(1+$C520)^'Sensitivity &amp; Scenarios'!$C$18+('Sensitivity &amp; Scenarios'!$C$6*(1+$E520)^2*$G520+'Sensitivity &amp; Scenarios'!$C$11*'Sensitivity &amp; Scenarios'!$C$6*((1+$E520)^2-(1+$E520)^1))/(1+$C520)^('Sensitivity &amp; Scenarios'!$C$18+1)+('Sensitivity &amp; Scenarios'!$C$6*(1+$E520)^3*$G520+'Sensitivity &amp; Scenarios'!$C$11*'Sensitivity &amp; Scenarios'!$C$6*((1+$E520)^3-(1+$E520)^2))/(1+$C520)^('Sensitivity &amp; Scenarios'!$C$18+2)+('Sensitivity &amp; Scenarios'!$C$6*(1+$E520)^4*$G520+'Sensitivity &amp; Scenarios'!$C$11*'Sensitivity &amp; Scenarios'!$C$6*((1+$E520)^4-(1+$E520)^3))/(1+$C520)^('Sensitivity &amp; Scenarios'!$C$18+3)+('Sensitivity &amp; Scenarios'!$C$6*(1+$E520)^5*$G520+'Sensitivity &amp; Scenarios'!$C$11*'Sensitivity &amp; Scenarios'!$C$6*((1+$E520)^5-(1+$E520)^4))/(1+$C520)^('Sensitivity &amp; Scenarios'!$C$18+4)</f>
        <v>20824.016520887733</v>
      </c>
      <c r="I520" s="209">
        <f>('Sensitivity &amp; Scenarios'!$C$6*(1+$E520)^5*$G520+'Sensitivity &amp; Scenarios'!$C$11*'Sensitivity &amp; Scenarios'!$C$6*((1+$E520)^5-(1+$E520)^4))*(1+$D520)/($C520-$D520)/(1+$C520)^('Sensitivity &amp; Scenarios'!$C$18+4)</f>
        <v>48561.774867200722</v>
      </c>
      <c r="J520" s="209">
        <f>($H520+$I520-'Sensitivity &amp; Scenarios'!$C$15+'Sensitivity &amp; Scenarios'!$C$16)/'Sensitivity &amp; Scenarios'!$C$17</f>
        <v>1747.0471670372542</v>
      </c>
    </row>
    <row r="521" spans="2:10" x14ac:dyDescent="0.3">
      <c r="B521" s="127">
        <v>491</v>
      </c>
      <c r="C521" s="206">
        <f>$D$7+0.164321*$E$7</f>
        <v>0.13919546943997799</v>
      </c>
      <c r="D521" s="206">
        <f>MIN($D$8+-0.64049*$E$8,'Debt &amp; Cost of Capital'!$C$38)</f>
        <v>5.1157059999999997E-2</v>
      </c>
      <c r="E521" s="207">
        <f>$D$9+-0.270894*$E$9</f>
        <v>0.15909427770254633</v>
      </c>
      <c r="F521" s="207">
        <f>$D$10+-0.23613*$E$10</f>
        <v>0.14216643999999989</v>
      </c>
      <c r="G521" s="208">
        <f>$F521*(1-'Sensitivity &amp; Scenarios'!$C$12)+'Sensitivity &amp; Scenarios'!$C$9*'Sensitivity &amp; Scenarios'!$C$12-'Sensitivity &amp; Scenarios'!$C$10</f>
        <v>7.5578565140464626E-2</v>
      </c>
      <c r="H521" s="209">
        <f>('Sensitivity &amp; Scenarios'!$C$6*(1+$E521)^1*$G521+'Sensitivity &amp; Scenarios'!$C$11*'Sensitivity &amp; Scenarios'!$C$6*((1+$E521)^1-(1+$E521)^0))*'Sensitivity &amp; Scenarios'!$C$18/(1+$C521)^'Sensitivity &amp; Scenarios'!$C$18+('Sensitivity &amp; Scenarios'!$C$6*(1+$E521)^2*$G521+'Sensitivity &amp; Scenarios'!$C$11*'Sensitivity &amp; Scenarios'!$C$6*((1+$E521)^2-(1+$E521)^1))/(1+$C521)^('Sensitivity &amp; Scenarios'!$C$18+1)+('Sensitivity &amp; Scenarios'!$C$6*(1+$E521)^3*$G521+'Sensitivity &amp; Scenarios'!$C$11*'Sensitivity &amp; Scenarios'!$C$6*((1+$E521)^3-(1+$E521)^2))/(1+$C521)^('Sensitivity &amp; Scenarios'!$C$18+2)+('Sensitivity &amp; Scenarios'!$C$6*(1+$E521)^4*$G521+'Sensitivity &amp; Scenarios'!$C$11*'Sensitivity &amp; Scenarios'!$C$6*((1+$E521)^4-(1+$E521)^3))/(1+$C521)^('Sensitivity &amp; Scenarios'!$C$18+3)+('Sensitivity &amp; Scenarios'!$C$6*(1+$E521)^5*$G521+'Sensitivity &amp; Scenarios'!$C$11*'Sensitivity &amp; Scenarios'!$C$6*((1+$E521)^5-(1+$E521)^4))/(1+$C521)^('Sensitivity &amp; Scenarios'!$C$18+4)</f>
        <v>22008.126065189368</v>
      </c>
      <c r="I521" s="209">
        <f>('Sensitivity &amp; Scenarios'!$C$6*(1+$E521)^5*$G521+'Sensitivity &amp; Scenarios'!$C$11*'Sensitivity &amp; Scenarios'!$C$6*((1+$E521)^5-(1+$E521)^4))*(1+$D521)/($C521-$D521)/(1+$C521)^('Sensitivity &amp; Scenarios'!$C$18+4)</f>
        <v>58540.805532391634</v>
      </c>
      <c r="J521" s="209">
        <f>($H521+$I521-'Sensitivity &amp; Scenarios'!$C$15+'Sensitivity &amp; Scenarios'!$C$16)/'Sensitivity &amp; Scenarios'!$C$17</f>
        <v>1982.0176084404609</v>
      </c>
    </row>
    <row r="522" spans="2:10" x14ac:dyDescent="0.3">
      <c r="B522" s="127">
        <v>492</v>
      </c>
      <c r="C522" s="206">
        <f>$D$7+-0.734388*$E$7</f>
        <v>0.13020837943997798</v>
      </c>
      <c r="D522" s="206">
        <f>MIN($D$8+0.485094*$E$8,'Debt &amp; Cost of Capital'!$C$38)</f>
        <v>5.7910563999999998E-2</v>
      </c>
      <c r="E522" s="207">
        <f>$D$9+0.238388*$E$9</f>
        <v>0.17437273770254633</v>
      </c>
      <c r="F522" s="207">
        <f>$D$10+-0.088614*$E$10</f>
        <v>0.1439366319999999</v>
      </c>
      <c r="G522" s="208">
        <f>$F522*(1-'Sensitivity &amp; Scenarios'!$C$12)+'Sensitivity &amp; Scenarios'!$C$9*'Sensitivity &amp; Scenarios'!$C$12-'Sensitivity &amp; Scenarios'!$C$10</f>
        <v>7.6903199814064627E-2</v>
      </c>
      <c r="H522" s="209">
        <f>('Sensitivity &amp; Scenarios'!$C$6*(1+$E522)^1*$G522+'Sensitivity &amp; Scenarios'!$C$11*'Sensitivity &amp; Scenarios'!$C$6*((1+$E522)^1-(1+$E522)^0))*'Sensitivity &amp; Scenarios'!$C$18/(1+$C522)^'Sensitivity &amp; Scenarios'!$C$18+('Sensitivity &amp; Scenarios'!$C$6*(1+$E522)^2*$G522+'Sensitivity &amp; Scenarios'!$C$11*'Sensitivity &amp; Scenarios'!$C$6*((1+$E522)^2-(1+$E522)^1))/(1+$C522)^('Sensitivity &amp; Scenarios'!$C$18+1)+('Sensitivity &amp; Scenarios'!$C$6*(1+$E522)^3*$G522+'Sensitivity &amp; Scenarios'!$C$11*'Sensitivity &amp; Scenarios'!$C$6*((1+$E522)^3-(1+$E522)^2))/(1+$C522)^('Sensitivity &amp; Scenarios'!$C$18+2)+('Sensitivity &amp; Scenarios'!$C$6*(1+$E522)^4*$G522+'Sensitivity &amp; Scenarios'!$C$11*'Sensitivity &amp; Scenarios'!$C$6*((1+$E522)^4-(1+$E522)^3))/(1+$C522)^('Sensitivity &amp; Scenarios'!$C$18+3)+('Sensitivity &amp; Scenarios'!$C$6*(1+$E522)^5*$G522+'Sensitivity &amp; Scenarios'!$C$11*'Sensitivity &amp; Scenarios'!$C$6*((1+$E522)^5-(1+$E522)^4))/(1+$C522)^('Sensitivity &amp; Scenarios'!$C$18+4)</f>
        <v>24137.68815911021</v>
      </c>
      <c r="I522" s="209">
        <f>('Sensitivity &amp; Scenarios'!$C$6*(1+$E522)^5*$G522+'Sensitivity &amp; Scenarios'!$C$11*'Sensitivity &amp; Scenarios'!$C$6*((1+$E522)^5-(1+$E522)^4))*(1+$D522)/($C522-$D522)/(1+$C522)^('Sensitivity &amp; Scenarios'!$C$18+4)</f>
        <v>81704.646003667629</v>
      </c>
      <c r="J522" s="209">
        <f>($H522+$I522-'Sensitivity &amp; Scenarios'!$C$15+'Sensitivity &amp; Scenarios'!$C$16)/'Sensitivity &amp; Scenarios'!$C$17</f>
        <v>2514.4127816444607</v>
      </c>
    </row>
    <row r="523" spans="2:10" x14ac:dyDescent="0.3">
      <c r="B523" s="127">
        <v>493</v>
      </c>
      <c r="C523" s="206">
        <f>$D$7+-0.430458*$E$7</f>
        <v>0.13324767943997798</v>
      </c>
      <c r="D523" s="206">
        <f>MIN($D$8+0.796544*$E$8,'Debt &amp; Cost of Capital'!$C$38)</f>
        <v>5.9779263999999999E-2</v>
      </c>
      <c r="E523" s="207">
        <f>$D$9+-0.235834*$E$9</f>
        <v>0.16014607770254635</v>
      </c>
      <c r="F523" s="207">
        <f>$D$10+-0.306697*$E$10</f>
        <v>0.14131963599999992</v>
      </c>
      <c r="G523" s="208">
        <f>$F523*(1-'Sensitivity &amp; Scenarios'!$C$12)+'Sensitivity &amp; Scenarios'!$C$9*'Sensitivity &amp; Scenarios'!$C$12-'Sensitivity &amp; Scenarios'!$C$10</f>
        <v>7.4944901707264644E-2</v>
      </c>
      <c r="H523" s="209">
        <f>('Sensitivity &amp; Scenarios'!$C$6*(1+$E523)^1*$G523+'Sensitivity &amp; Scenarios'!$C$11*'Sensitivity &amp; Scenarios'!$C$6*((1+$E523)^1-(1+$E523)^0))*'Sensitivity &amp; Scenarios'!$C$18/(1+$C523)^'Sensitivity &amp; Scenarios'!$C$18+('Sensitivity &amp; Scenarios'!$C$6*(1+$E523)^2*$G523+'Sensitivity &amp; Scenarios'!$C$11*'Sensitivity &amp; Scenarios'!$C$6*((1+$E523)^2-(1+$E523)^1))/(1+$C523)^('Sensitivity &amp; Scenarios'!$C$18+1)+('Sensitivity &amp; Scenarios'!$C$6*(1+$E523)^3*$G523+'Sensitivity &amp; Scenarios'!$C$11*'Sensitivity &amp; Scenarios'!$C$6*((1+$E523)^3-(1+$E523)^2))/(1+$C523)^('Sensitivity &amp; Scenarios'!$C$18+2)+('Sensitivity &amp; Scenarios'!$C$6*(1+$E523)^4*$G523+'Sensitivity &amp; Scenarios'!$C$11*'Sensitivity &amp; Scenarios'!$C$6*((1+$E523)^4-(1+$E523)^3))/(1+$C523)^('Sensitivity &amp; Scenarios'!$C$18+3)+('Sensitivity &amp; Scenarios'!$C$6*(1+$E523)^5*$G523+'Sensitivity &amp; Scenarios'!$C$11*'Sensitivity &amp; Scenarios'!$C$6*((1+$E523)^5-(1+$E523)^4))/(1+$C523)^('Sensitivity &amp; Scenarios'!$C$18+4)</f>
        <v>22265.938057620526</v>
      </c>
      <c r="I523" s="209">
        <f>('Sensitivity &amp; Scenarios'!$C$6*(1+$E523)^5*$G523+'Sensitivity &amp; Scenarios'!$C$11*'Sensitivity &amp; Scenarios'!$C$6*((1+$E523)^5-(1+$E523)^4))*(1+$D523)/($C523-$D523)/(1+$C523)^('Sensitivity &amp; Scenarios'!$C$18+4)</f>
        <v>72351.782032831121</v>
      </c>
      <c r="J523" s="209">
        <f>($H523+$I523-'Sensitivity &amp; Scenarios'!$C$15+'Sensitivity &amp; Scenarios'!$C$16)/'Sensitivity &amp; Scenarios'!$C$17</f>
        <v>2278.1483906523645</v>
      </c>
    </row>
    <row r="524" spans="2:10" x14ac:dyDescent="0.3">
      <c r="B524" s="127">
        <v>494</v>
      </c>
      <c r="C524" s="206">
        <f>$D$7+0.10469*$E$7</f>
        <v>0.13859915943997797</v>
      </c>
      <c r="D524" s="206">
        <f>MIN($D$8+1.696587*$E$8,'Debt &amp; Cost of Capital'!$C$38)</f>
        <v>6.5179522000000004E-2</v>
      </c>
      <c r="E524" s="207">
        <f>$D$9+-1.340356*$E$9</f>
        <v>0.12701041770254634</v>
      </c>
      <c r="F524" s="207">
        <f>$D$10+0.769857*$E$10</f>
        <v>0.15423828399999992</v>
      </c>
      <c r="G524" s="208">
        <f>$F524*(1-'Sensitivity &amp; Scenarios'!$C$12)+'Sensitivity &amp; Scenarios'!$C$9*'Sensitivity &amp; Scenarios'!$C$12-'Sensitivity &amp; Scenarios'!$C$10</f>
        <v>8.4611926005664639E-2</v>
      </c>
      <c r="H524" s="209">
        <f>('Sensitivity &amp; Scenarios'!$C$6*(1+$E524)^1*$G524+'Sensitivity &amp; Scenarios'!$C$11*'Sensitivity &amp; Scenarios'!$C$6*((1+$E524)^1-(1+$E524)^0))*'Sensitivity &amp; Scenarios'!$C$18/(1+$C524)^'Sensitivity &amp; Scenarios'!$C$18+('Sensitivity &amp; Scenarios'!$C$6*(1+$E524)^2*$G524+'Sensitivity &amp; Scenarios'!$C$11*'Sensitivity &amp; Scenarios'!$C$6*((1+$E524)^2-(1+$E524)^1))/(1+$C524)^('Sensitivity &amp; Scenarios'!$C$18+1)+('Sensitivity &amp; Scenarios'!$C$6*(1+$E524)^3*$G524+'Sensitivity &amp; Scenarios'!$C$11*'Sensitivity &amp; Scenarios'!$C$6*((1+$E524)^3-(1+$E524)^2))/(1+$C524)^('Sensitivity &amp; Scenarios'!$C$18+2)+('Sensitivity &amp; Scenarios'!$C$6*(1+$E524)^4*$G524+'Sensitivity &amp; Scenarios'!$C$11*'Sensitivity &amp; Scenarios'!$C$6*((1+$E524)^4-(1+$E524)^3))/(1+$C524)^('Sensitivity &amp; Scenarios'!$C$18+3)+('Sensitivity &amp; Scenarios'!$C$6*(1+$E524)^5*$G524+'Sensitivity &amp; Scenarios'!$C$11*'Sensitivity &amp; Scenarios'!$C$6*((1+$E524)^5-(1+$E524)^4))/(1+$C524)^('Sensitivity &amp; Scenarios'!$C$18+4)</f>
        <v>21574.953521323965</v>
      </c>
      <c r="I524" s="209">
        <f>('Sensitivity &amp; Scenarios'!$C$6*(1+$E524)^5*$G524+'Sensitivity &amp; Scenarios'!$C$11*'Sensitivity &amp; Scenarios'!$C$6*((1+$E524)^5-(1+$E524)^4))*(1+$D524)/($C524-$D524)/(1+$C524)^('Sensitivity &amp; Scenarios'!$C$18+4)</f>
        <v>66295.90256474186</v>
      </c>
      <c r="J524" s="209">
        <f>($H524+$I524-'Sensitivity &amp; Scenarios'!$C$15+'Sensitivity &amp; Scenarios'!$C$16)/'Sensitivity &amp; Scenarios'!$C$17</f>
        <v>2136.1351592992473</v>
      </c>
    </row>
    <row r="525" spans="2:10" x14ac:dyDescent="0.3">
      <c r="B525" s="127">
        <v>495</v>
      </c>
      <c r="C525" s="206">
        <f>$D$7+-1.893171*$E$7</f>
        <v>0.11862054943997798</v>
      </c>
      <c r="D525" s="206">
        <f>MIN($D$8+0.217273*$E$8,'Debt &amp; Cost of Capital'!$C$38)</f>
        <v>5.6303638000000003E-2</v>
      </c>
      <c r="E525" s="207">
        <f>$D$9+1.575083*$E$9</f>
        <v>0.21447358770254635</v>
      </c>
      <c r="F525" s="207">
        <f>$D$10+0.488669*$E$10</f>
        <v>0.1508640279999999</v>
      </c>
      <c r="G525" s="208">
        <f>$F525*(1-'Sensitivity &amp; Scenarios'!$C$12)+'Sensitivity &amp; Scenarios'!$C$9*'Sensitivity &amp; Scenarios'!$C$12-'Sensitivity &amp; Scenarios'!$C$10</f>
        <v>8.2086970240864629E-2</v>
      </c>
      <c r="H525" s="209">
        <f>('Sensitivity &amp; Scenarios'!$C$6*(1+$E525)^1*$G525+'Sensitivity &amp; Scenarios'!$C$11*'Sensitivity &amp; Scenarios'!$C$6*((1+$E525)^1-(1+$E525)^0))*'Sensitivity &amp; Scenarios'!$C$18/(1+$C525)^'Sensitivity &amp; Scenarios'!$C$18+('Sensitivity &amp; Scenarios'!$C$6*(1+$E525)^2*$G525+'Sensitivity &amp; Scenarios'!$C$11*'Sensitivity &amp; Scenarios'!$C$6*((1+$E525)^2-(1+$E525)^1))/(1+$C525)^('Sensitivity &amp; Scenarios'!$C$18+1)+('Sensitivity &amp; Scenarios'!$C$6*(1+$E525)^3*$G525+'Sensitivity &amp; Scenarios'!$C$11*'Sensitivity &amp; Scenarios'!$C$6*((1+$E525)^3-(1+$E525)^2))/(1+$C525)^('Sensitivity &amp; Scenarios'!$C$18+2)+('Sensitivity &amp; Scenarios'!$C$6*(1+$E525)^4*$G525+'Sensitivity &amp; Scenarios'!$C$11*'Sensitivity &amp; Scenarios'!$C$6*((1+$E525)^4-(1+$E525)^3))/(1+$C525)^('Sensitivity &amp; Scenarios'!$C$18+3)+('Sensitivity &amp; Scenarios'!$C$6*(1+$E525)^5*$G525+'Sensitivity &amp; Scenarios'!$C$11*'Sensitivity &amp; Scenarios'!$C$6*((1+$E525)^5-(1+$E525)^4))/(1+$C525)^('Sensitivity &amp; Scenarios'!$C$18+4)</f>
        <v>30217.43023093494</v>
      </c>
      <c r="I525" s="209">
        <f>('Sensitivity &amp; Scenarios'!$C$6*(1+$E525)^5*$G525+'Sensitivity &amp; Scenarios'!$C$11*'Sensitivity &amp; Scenarios'!$C$6*((1+$E525)^5-(1+$E525)^4))*(1+$D525)/($C525-$D525)/(1+$C525)^('Sensitivity &amp; Scenarios'!$C$18+4)</f>
        <v>127846.26249125537</v>
      </c>
      <c r="J525" s="209">
        <f>($H525+$I525-'Sensitivity &amp; Scenarios'!$C$15+'Sensitivity &amp; Scenarios'!$C$16)/'Sensitivity &amp; Scenarios'!$C$17</f>
        <v>3613.6084775783102</v>
      </c>
    </row>
    <row r="526" spans="2:10" x14ac:dyDescent="0.3">
      <c r="B526" s="127">
        <v>496</v>
      </c>
      <c r="C526" s="206">
        <f>$D$7+0.170625*$E$7</f>
        <v>0.13925850943997797</v>
      </c>
      <c r="D526" s="206">
        <f>MIN($D$8+-0.560449*$E$8,'Debt &amp; Cost of Capital'!$C$38)</f>
        <v>5.1637306000000001E-2</v>
      </c>
      <c r="E526" s="207">
        <f>$D$9+0.031047*$E$9</f>
        <v>0.16815250770254633</v>
      </c>
      <c r="F526" s="207">
        <f>$D$10+-0.252063*$E$10</f>
        <v>0.14197524399999992</v>
      </c>
      <c r="G526" s="208">
        <f>$F526*(1-'Sensitivity &amp; Scenarios'!$C$12)+'Sensitivity &amp; Scenarios'!$C$9*'Sensitivity &amp; Scenarios'!$C$12-'Sensitivity &amp; Scenarios'!$C$10</f>
        <v>7.5435493173664644E-2</v>
      </c>
      <c r="H526" s="209">
        <f>('Sensitivity &amp; Scenarios'!$C$6*(1+$E526)^1*$G526+'Sensitivity &amp; Scenarios'!$C$11*'Sensitivity &amp; Scenarios'!$C$6*((1+$E526)^1-(1+$E526)^0))*'Sensitivity &amp; Scenarios'!$C$18/(1+$C526)^'Sensitivity &amp; Scenarios'!$C$18+('Sensitivity &amp; Scenarios'!$C$6*(1+$E526)^2*$G526+'Sensitivity &amp; Scenarios'!$C$11*'Sensitivity &amp; Scenarios'!$C$6*((1+$E526)^2-(1+$E526)^1))/(1+$C526)^('Sensitivity &amp; Scenarios'!$C$18+1)+('Sensitivity &amp; Scenarios'!$C$6*(1+$E526)^3*$G526+'Sensitivity &amp; Scenarios'!$C$11*'Sensitivity &amp; Scenarios'!$C$6*((1+$E526)^3-(1+$E526)^2))/(1+$C526)^('Sensitivity &amp; Scenarios'!$C$18+2)+('Sensitivity &amp; Scenarios'!$C$6*(1+$E526)^4*$G526+'Sensitivity &amp; Scenarios'!$C$11*'Sensitivity &amp; Scenarios'!$C$6*((1+$E526)^4-(1+$E526)^3))/(1+$C526)^('Sensitivity &amp; Scenarios'!$C$18+3)+('Sensitivity &amp; Scenarios'!$C$6*(1+$E526)^5*$G526+'Sensitivity &amp; Scenarios'!$C$11*'Sensitivity &amp; Scenarios'!$C$6*((1+$E526)^5-(1+$E526)^4))/(1+$C526)^('Sensitivity &amp; Scenarios'!$C$18+4)</f>
        <v>22706.655562166943</v>
      </c>
      <c r="I526" s="209">
        <f>('Sensitivity &amp; Scenarios'!$C$6*(1+$E526)^5*$G526+'Sensitivity &amp; Scenarios'!$C$11*'Sensitivity &amp; Scenarios'!$C$6*((1+$E526)^5-(1+$E526)^4))*(1+$D526)/($C526-$D526)/(1+$C526)^('Sensitivity &amp; Scenarios'!$C$18+4)</f>
        <v>61566.250679639947</v>
      </c>
      <c r="J526" s="209">
        <f>($H526+$I526-'Sensitivity &amp; Scenarios'!$C$15+'Sensitivity &amp; Scenarios'!$C$16)/'Sensitivity &amp; Scenarios'!$C$17</f>
        <v>2060.4027177830849</v>
      </c>
    </row>
    <row r="527" spans="2:10" x14ac:dyDescent="0.3">
      <c r="B527" s="127">
        <v>497</v>
      </c>
      <c r="C527" s="206">
        <f>$D$7+-0.785977*$E$7</f>
        <v>0.12969248943997799</v>
      </c>
      <c r="D527" s="206">
        <f>MIN($D$8+-0.289876*$E$8,'Debt &amp; Cost of Capital'!$C$38)</f>
        <v>5.3260743999999999E-2</v>
      </c>
      <c r="E527" s="207">
        <f>$D$9+0.198381*$E$9</f>
        <v>0.17317252770254635</v>
      </c>
      <c r="F527" s="207">
        <f>$D$10+-0.767217*$E$10</f>
        <v>0.1357933959999999</v>
      </c>
      <c r="G527" s="208">
        <f>$F527*(1-'Sensitivity &amp; Scenarios'!$C$12)+'Sensitivity &amp; Scenarios'!$C$9*'Sensitivity &amp; Scenarios'!$C$12-'Sensitivity &amp; Scenarios'!$C$10</f>
        <v>7.0809616315264626E-2</v>
      </c>
      <c r="H527" s="209">
        <f>('Sensitivity &amp; Scenarios'!$C$6*(1+$E527)^1*$G527+'Sensitivity &amp; Scenarios'!$C$11*'Sensitivity &amp; Scenarios'!$C$6*((1+$E527)^1-(1+$E527)^0))*'Sensitivity &amp; Scenarios'!$C$18/(1+$C527)^'Sensitivity &amp; Scenarios'!$C$18+('Sensitivity &amp; Scenarios'!$C$6*(1+$E527)^2*$G527+'Sensitivity &amp; Scenarios'!$C$11*'Sensitivity &amp; Scenarios'!$C$6*((1+$E527)^2-(1+$E527)^1))/(1+$C527)^('Sensitivity &amp; Scenarios'!$C$18+1)+('Sensitivity &amp; Scenarios'!$C$6*(1+$E527)^3*$G527+'Sensitivity &amp; Scenarios'!$C$11*'Sensitivity &amp; Scenarios'!$C$6*((1+$E527)^3-(1+$E527)^2))/(1+$C527)^('Sensitivity &amp; Scenarios'!$C$18+2)+('Sensitivity &amp; Scenarios'!$C$6*(1+$E527)^4*$G527+'Sensitivity &amp; Scenarios'!$C$11*'Sensitivity &amp; Scenarios'!$C$6*((1+$E527)^4-(1+$E527)^3))/(1+$C527)^('Sensitivity &amp; Scenarios'!$C$18+3)+('Sensitivity &amp; Scenarios'!$C$6*(1+$E527)^5*$G527+'Sensitivity &amp; Scenarios'!$C$11*'Sensitivity &amp; Scenarios'!$C$6*((1+$E527)^5-(1+$E527)^4))/(1+$C527)^('Sensitivity &amp; Scenarios'!$C$18+4)</f>
        <v>22490.431769771418</v>
      </c>
      <c r="I527" s="209">
        <f>('Sensitivity &amp; Scenarios'!$C$6*(1+$E527)^5*$G527+'Sensitivity &amp; Scenarios'!$C$11*'Sensitivity &amp; Scenarios'!$C$6*((1+$E527)^5-(1+$E527)^4))*(1+$D527)/($C527-$D527)/(1+$C527)^('Sensitivity &amp; Scenarios'!$C$18+4)</f>
        <v>71622.836610396378</v>
      </c>
      <c r="J527" s="209">
        <f>($H527+$I527-'Sensitivity &amp; Scenarios'!$C$15+'Sensitivity &amp; Scenarios'!$C$16)/'Sensitivity &amp; Scenarios'!$C$17</f>
        <v>2267.5302994336221</v>
      </c>
    </row>
    <row r="528" spans="2:10" x14ac:dyDescent="0.3">
      <c r="B528" s="127">
        <v>498</v>
      </c>
      <c r="C528" s="206">
        <f>$D$7+-0.806282*$E$7</f>
        <v>0.12948943943997798</v>
      </c>
      <c r="D528" s="206">
        <f>MIN($D$8+-1.360243*$E$8,'Debt &amp; Cost of Capital'!$C$38)</f>
        <v>4.6838541999999997E-2</v>
      </c>
      <c r="E528" s="207">
        <f>$D$9+0.390725*$E$9</f>
        <v>0.17894284770254634</v>
      </c>
      <c r="F528" s="207">
        <f>$D$10+0.545323*$E$10</f>
        <v>0.15154387599999991</v>
      </c>
      <c r="G528" s="208">
        <f>$F528*(1-'Sensitivity &amp; Scenarios'!$C$12)+'Sensitivity &amp; Scenarios'!$C$9*'Sensitivity &amp; Scenarios'!$C$12-'Sensitivity &amp; Scenarios'!$C$10</f>
        <v>8.2595700499264638E-2</v>
      </c>
      <c r="H528" s="209">
        <f>('Sensitivity &amp; Scenarios'!$C$6*(1+$E528)^1*$G528+'Sensitivity &amp; Scenarios'!$C$11*'Sensitivity &amp; Scenarios'!$C$6*((1+$E528)^1-(1+$E528)^0))*'Sensitivity &amp; Scenarios'!$C$18/(1+$C528)^'Sensitivity &amp; Scenarios'!$C$18+('Sensitivity &amp; Scenarios'!$C$6*(1+$E528)^2*$G528+'Sensitivity &amp; Scenarios'!$C$11*'Sensitivity &amp; Scenarios'!$C$6*((1+$E528)^2-(1+$E528)^1))/(1+$C528)^('Sensitivity &amp; Scenarios'!$C$18+1)+('Sensitivity &amp; Scenarios'!$C$6*(1+$E528)^3*$G528+'Sensitivity &amp; Scenarios'!$C$11*'Sensitivity &amp; Scenarios'!$C$6*((1+$E528)^3-(1+$E528)^2))/(1+$C528)^('Sensitivity &amp; Scenarios'!$C$18+2)+('Sensitivity &amp; Scenarios'!$C$6*(1+$E528)^4*$G528+'Sensitivity &amp; Scenarios'!$C$11*'Sensitivity &amp; Scenarios'!$C$6*((1+$E528)^4-(1+$E528)^3))/(1+$C528)^('Sensitivity &amp; Scenarios'!$C$18+3)+('Sensitivity &amp; Scenarios'!$C$6*(1+$E528)^5*$G528+'Sensitivity &amp; Scenarios'!$C$11*'Sensitivity &amp; Scenarios'!$C$6*((1+$E528)^5-(1+$E528)^4))/(1+$C528)^('Sensitivity &amp; Scenarios'!$C$18+4)</f>
        <v>26077.614227125301</v>
      </c>
      <c r="I528" s="209">
        <f>('Sensitivity &amp; Scenarios'!$C$6*(1+$E528)^5*$G528+'Sensitivity &amp; Scenarios'!$C$11*'Sensitivity &amp; Scenarios'!$C$6*((1+$E528)^5-(1+$E528)^4))*(1+$D528)/($C528-$D528)/(1+$C528)^('Sensitivity &amp; Scenarios'!$C$18+4)</f>
        <v>77019.049666017076</v>
      </c>
      <c r="J528" s="209">
        <f>($H528+$I528-'Sensitivity &amp; Scenarios'!$C$15+'Sensitivity &amp; Scenarios'!$C$16)/'Sensitivity &amp; Scenarios'!$C$17</f>
        <v>2456.6197822646527</v>
      </c>
    </row>
    <row r="529" spans="2:10" x14ac:dyDescent="0.3">
      <c r="B529" s="127">
        <v>499</v>
      </c>
      <c r="C529" s="206">
        <f>$D$7+0.23166*$E$7</f>
        <v>0.13986885943997798</v>
      </c>
      <c r="D529" s="206">
        <f>MIN($D$8+0.96517*$E$8,'Debt &amp; Cost of Capital'!$C$38)</f>
        <v>6.0791020000000001E-2</v>
      </c>
      <c r="E529" s="207">
        <f>$D$9+0.087868*$E$9</f>
        <v>0.16985713770254635</v>
      </c>
      <c r="F529" s="207">
        <f>$D$10+0.392011*$E$10</f>
        <v>0.14970413199999991</v>
      </c>
      <c r="G529" s="208">
        <f>$F529*(1-'Sensitivity &amp; Scenarios'!$C$12)+'Sensitivity &amp; Scenarios'!$C$9*'Sensitivity &amp; Scenarios'!$C$12-'Sensitivity &amp; Scenarios'!$C$10</f>
        <v>8.1219020064064631E-2</v>
      </c>
      <c r="H529" s="209">
        <f>('Sensitivity &amp; Scenarios'!$C$6*(1+$E529)^1*$G529+'Sensitivity &amp; Scenarios'!$C$11*'Sensitivity &amp; Scenarios'!$C$6*((1+$E529)^1-(1+$E529)^0))*'Sensitivity &amp; Scenarios'!$C$18/(1+$C529)^'Sensitivity &amp; Scenarios'!$C$18+('Sensitivity &amp; Scenarios'!$C$6*(1+$E529)^2*$G529+'Sensitivity &amp; Scenarios'!$C$11*'Sensitivity &amp; Scenarios'!$C$6*((1+$E529)^2-(1+$E529)^1))/(1+$C529)^('Sensitivity &amp; Scenarios'!$C$18+1)+('Sensitivity &amp; Scenarios'!$C$6*(1+$E529)^3*$G529+'Sensitivity &amp; Scenarios'!$C$11*'Sensitivity &amp; Scenarios'!$C$6*((1+$E529)^3-(1+$E529)^2))/(1+$C529)^('Sensitivity &amp; Scenarios'!$C$18+2)+('Sensitivity &amp; Scenarios'!$C$6*(1+$E529)^4*$G529+'Sensitivity &amp; Scenarios'!$C$11*'Sensitivity &amp; Scenarios'!$C$6*((1+$E529)^4-(1+$E529)^3))/(1+$C529)^('Sensitivity &amp; Scenarios'!$C$18+3)+('Sensitivity &amp; Scenarios'!$C$6*(1+$E529)^5*$G529+'Sensitivity &amp; Scenarios'!$C$11*'Sensitivity &amp; Scenarios'!$C$6*((1+$E529)^5-(1+$E529)^4))/(1+$C529)^('Sensitivity &amp; Scenarios'!$C$18+4)</f>
        <v>24256.019949098893</v>
      </c>
      <c r="I529" s="209">
        <f>('Sensitivity &amp; Scenarios'!$C$6*(1+$E529)^5*$G529+'Sensitivity &amp; Scenarios'!$C$11*'Sensitivity &amp; Scenarios'!$C$6*((1+$E529)^5-(1+$E529)^4))*(1+$D529)/($C529-$D529)/(1+$C529)^('Sensitivity &amp; Scenarios'!$C$18+4)</f>
        <v>73628.620782224694</v>
      </c>
      <c r="J529" s="209">
        <f>($H529+$I529-'Sensitivity &amp; Scenarios'!$C$15+'Sensitivity &amp; Scenarios'!$C$16)/'Sensitivity &amp; Scenarios'!$C$17</f>
        <v>2346.913072507939</v>
      </c>
    </row>
    <row r="530" spans="2:10" x14ac:dyDescent="0.3">
      <c r="B530" s="127">
        <v>500</v>
      </c>
      <c r="C530" s="206">
        <f>$D$7+0.303837*$E$7</f>
        <v>0.14059062943997799</v>
      </c>
      <c r="D530" s="206">
        <f>MIN($D$8+-0.09154*$E$8,'Debt &amp; Cost of Capital'!$C$38)</f>
        <v>5.4450760000000001E-2</v>
      </c>
      <c r="E530" s="207">
        <f>$D$9+-0.530822*$E$9</f>
        <v>0.15129643770254633</v>
      </c>
      <c r="F530" s="207">
        <f>$D$10+2.214153*$E$10</f>
        <v>0.17156983599999992</v>
      </c>
      <c r="G530" s="208">
        <f>$F530*(1-'Sensitivity &amp; Scenarios'!$C$12)+'Sensitivity &amp; Scenarios'!$C$9*'Sensitivity &amp; Scenarios'!$C$12-'Sensitivity &amp; Scenarios'!$C$10</f>
        <v>9.7581126367264653E-2</v>
      </c>
      <c r="H530" s="209">
        <f>('Sensitivity &amp; Scenarios'!$C$6*(1+$E530)^1*$G530+'Sensitivity &amp; Scenarios'!$C$11*'Sensitivity &amp; Scenarios'!$C$6*((1+$E530)^1-(1+$E530)^0))*'Sensitivity &amp; Scenarios'!$C$18/(1+$C530)^'Sensitivity &amp; Scenarios'!$C$18+('Sensitivity &amp; Scenarios'!$C$6*(1+$E530)^2*$G530+'Sensitivity &amp; Scenarios'!$C$11*'Sensitivity &amp; Scenarios'!$C$6*((1+$E530)^2-(1+$E530)^1))/(1+$C530)^('Sensitivity &amp; Scenarios'!$C$18+1)+('Sensitivity &amp; Scenarios'!$C$6*(1+$E530)^3*$G530+'Sensitivity &amp; Scenarios'!$C$11*'Sensitivity &amp; Scenarios'!$C$6*((1+$E530)^3-(1+$E530)^2))/(1+$C530)^('Sensitivity &amp; Scenarios'!$C$18+2)+('Sensitivity &amp; Scenarios'!$C$6*(1+$E530)^4*$G530+'Sensitivity &amp; Scenarios'!$C$11*'Sensitivity &amp; Scenarios'!$C$6*((1+$E530)^4-(1+$E530)^3))/(1+$C530)^('Sensitivity &amp; Scenarios'!$C$18+3)+('Sensitivity &amp; Scenarios'!$C$6*(1+$E530)^5*$G530+'Sensitivity &amp; Scenarios'!$C$11*'Sensitivity &amp; Scenarios'!$C$6*((1+$E530)^5-(1+$E530)^4))/(1+$C530)^('Sensitivity &amp; Scenarios'!$C$18+4)</f>
        <v>26522.821519699588</v>
      </c>
      <c r="I530" s="209">
        <f>('Sensitivity &amp; Scenarios'!$C$6*(1+$E530)^5*$G530+'Sensitivity &amp; Scenarios'!$C$11*'Sensitivity &amp; Scenarios'!$C$6*((1+$E530)^5-(1+$E530)^4))*(1+$D530)/($C530-$D530)/(1+$C530)^('Sensitivity &amp; Scenarios'!$C$18+4)</f>
        <v>71289.956703793243</v>
      </c>
      <c r="J530" s="209">
        <f>($H530+$I530-'Sensitivity &amp; Scenarios'!$C$15+'Sensitivity &amp; Scenarios'!$C$16)/'Sensitivity &amp; Scenarios'!$C$17</f>
        <v>2345.4004546541405</v>
      </c>
    </row>
    <row r="531" spans="2:10" x14ac:dyDescent="0.3">
      <c r="B531" s="127">
        <v>501</v>
      </c>
      <c r="C531" s="206">
        <f>$D$7+-0.451951*$E$7</f>
        <v>0.13303274943997798</v>
      </c>
      <c r="D531" s="206">
        <f>MIN($D$8+-0.665878*$E$8,'Debt &amp; Cost of Capital'!$C$38)</f>
        <v>5.1004731999999997E-2</v>
      </c>
      <c r="E531" s="207">
        <f>$D$9+0.43401*$E$9</f>
        <v>0.18024139770254635</v>
      </c>
      <c r="F531" s="207">
        <f>$D$10+0.251854*$E$10</f>
        <v>0.14802224799999991</v>
      </c>
      <c r="G531" s="208">
        <f>$F531*(1-'Sensitivity &amp; Scenarios'!$C$12)+'Sensitivity &amp; Scenarios'!$C$9*'Sensitivity &amp; Scenarios'!$C$12-'Sensitivity &amp; Scenarios'!$C$10</f>
        <v>7.9960466266864635E-2</v>
      </c>
      <c r="H531" s="209">
        <f>('Sensitivity &amp; Scenarios'!$C$6*(1+$E531)^1*$G531+'Sensitivity &amp; Scenarios'!$C$11*'Sensitivity &amp; Scenarios'!$C$6*((1+$E531)^1-(1+$E531)^0))*'Sensitivity &amp; Scenarios'!$C$18/(1+$C531)^'Sensitivity &amp; Scenarios'!$C$18+('Sensitivity &amp; Scenarios'!$C$6*(1+$E531)^2*$G531+'Sensitivity &amp; Scenarios'!$C$11*'Sensitivity &amp; Scenarios'!$C$6*((1+$E531)^2-(1+$E531)^1))/(1+$C531)^('Sensitivity &amp; Scenarios'!$C$18+1)+('Sensitivity &amp; Scenarios'!$C$6*(1+$E531)^3*$G531+'Sensitivity &amp; Scenarios'!$C$11*'Sensitivity &amp; Scenarios'!$C$6*((1+$E531)^3-(1+$E531)^2))/(1+$C531)^('Sensitivity &amp; Scenarios'!$C$18+2)+('Sensitivity &amp; Scenarios'!$C$6*(1+$E531)^4*$G531+'Sensitivity &amp; Scenarios'!$C$11*'Sensitivity &amp; Scenarios'!$C$6*((1+$E531)^4-(1+$E531)^3))/(1+$C531)^('Sensitivity &amp; Scenarios'!$C$18+3)+('Sensitivity &amp; Scenarios'!$C$6*(1+$E531)^5*$G531+'Sensitivity &amp; Scenarios'!$C$11*'Sensitivity &amp; Scenarios'!$C$6*((1+$E531)^5-(1+$E531)^4))/(1+$C531)^('Sensitivity &amp; Scenarios'!$C$18+4)</f>
        <v>25275.107419228578</v>
      </c>
      <c r="I531" s="209">
        <f>('Sensitivity &amp; Scenarios'!$C$6*(1+$E531)^5*$G531+'Sensitivity &amp; Scenarios'!$C$11*'Sensitivity &amp; Scenarios'!$C$6*((1+$E531)^5-(1+$E531)^4))*(1+$D531)/($C531-$D531)/(1+$C531)^('Sensitivity &amp; Scenarios'!$C$18+4)</f>
        <v>75244.693078112992</v>
      </c>
      <c r="J531" s="209">
        <f>($H531+$I531-'Sensitivity &amp; Scenarios'!$C$15+'Sensitivity &amp; Scenarios'!$C$16)/'Sensitivity &amp; Scenarios'!$C$17</f>
        <v>2402.3799610150541</v>
      </c>
    </row>
    <row r="532" spans="2:10" x14ac:dyDescent="0.3">
      <c r="B532" s="127">
        <v>502</v>
      </c>
      <c r="C532" s="206">
        <f>$D$7+-1.404792*$E$7</f>
        <v>0.12350433943997798</v>
      </c>
      <c r="D532" s="206">
        <f>MIN($D$8+1.122678*$E$8,'Debt &amp; Cost of Capital'!$C$38)</f>
        <v>6.1736067999999998E-2</v>
      </c>
      <c r="E532" s="207">
        <f>$D$9+-0.094195*$E$9</f>
        <v>0.16439524770254635</v>
      </c>
      <c r="F532" s="207">
        <f>$D$10+-1.110931*$E$10</f>
        <v>0.1316688279999999</v>
      </c>
      <c r="G532" s="208">
        <f>$F532*(1-'Sensitivity &amp; Scenarios'!$C$12)+'Sensitivity &amp; Scenarios'!$C$9*'Sensitivity &amp; Scenarios'!$C$12-'Sensitivity &amp; Scenarios'!$C$10</f>
        <v>6.7723202080864631E-2</v>
      </c>
      <c r="H532" s="209">
        <f>('Sensitivity &amp; Scenarios'!$C$6*(1+$E532)^1*$G532+'Sensitivity &amp; Scenarios'!$C$11*'Sensitivity &amp; Scenarios'!$C$6*((1+$E532)^1-(1+$E532)^0))*'Sensitivity &amp; Scenarios'!$C$18/(1+$C532)^'Sensitivity &amp; Scenarios'!$C$18+('Sensitivity &amp; Scenarios'!$C$6*(1+$E532)^2*$G532+'Sensitivity &amp; Scenarios'!$C$11*'Sensitivity &amp; Scenarios'!$C$6*((1+$E532)^2-(1+$E532)^1))/(1+$C532)^('Sensitivity &amp; Scenarios'!$C$18+1)+('Sensitivity &amp; Scenarios'!$C$6*(1+$E532)^3*$G532+'Sensitivity &amp; Scenarios'!$C$11*'Sensitivity &amp; Scenarios'!$C$6*((1+$E532)^3-(1+$E532)^2))/(1+$C532)^('Sensitivity &amp; Scenarios'!$C$18+2)+('Sensitivity &amp; Scenarios'!$C$6*(1+$E532)^4*$G532+'Sensitivity &amp; Scenarios'!$C$11*'Sensitivity &amp; Scenarios'!$C$6*((1+$E532)^4-(1+$E532)^3))/(1+$C532)^('Sensitivity &amp; Scenarios'!$C$18+3)+('Sensitivity &amp; Scenarios'!$C$6*(1+$E532)^5*$G532+'Sensitivity &amp; Scenarios'!$C$11*'Sensitivity &amp; Scenarios'!$C$6*((1+$E532)^5-(1+$E532)^4))/(1+$C532)^('Sensitivity &amp; Scenarios'!$C$18+4)</f>
        <v>21327.853079379893</v>
      </c>
      <c r="I532" s="209">
        <f>('Sensitivity &amp; Scenarios'!$C$6*(1+$E532)^5*$G532+'Sensitivity &amp; Scenarios'!$C$11*'Sensitivity &amp; Scenarios'!$C$6*((1+$E532)^5-(1+$E532)^4))*(1+$D532)/($C532-$D532)/(1+$C532)^('Sensitivity &amp; Scenarios'!$C$18+4)</f>
        <v>84418.002059721388</v>
      </c>
      <c r="J532" s="209">
        <f>($H532+$I532-'Sensitivity &amp; Scenarios'!$C$15+'Sensitivity &amp; Scenarios'!$C$16)/'Sensitivity &amp; Scenarios'!$C$17</f>
        <v>2512.3820162546149</v>
      </c>
    </row>
    <row r="533" spans="2:10" x14ac:dyDescent="0.3">
      <c r="B533" s="127">
        <v>503</v>
      </c>
      <c r="C533" s="206">
        <f>$D$7+1.188784*$E$7</f>
        <v>0.14944009943997799</v>
      </c>
      <c r="D533" s="206">
        <f>MIN($D$8+0.625676*$E$8,'Debt &amp; Cost of Capital'!$C$38)</f>
        <v>5.8754055999999999E-2</v>
      </c>
      <c r="E533" s="207">
        <f>$D$9+-1.264542*$E$9</f>
        <v>0.12928483770254634</v>
      </c>
      <c r="F533" s="207">
        <f>$D$10+1.777183*$E$10</f>
        <v>0.1663261959999999</v>
      </c>
      <c r="G533" s="208">
        <f>$F533*(1-'Sensitivity &amp; Scenarios'!$C$12)+'Sensitivity &amp; Scenarios'!$C$9*'Sensitivity &amp; Scenarios'!$C$12-'Sensitivity &amp; Scenarios'!$C$10</f>
        <v>9.3657310555264633E-2</v>
      </c>
      <c r="H533" s="209">
        <f>('Sensitivity &amp; Scenarios'!$C$6*(1+$E533)^1*$G533+'Sensitivity &amp; Scenarios'!$C$11*'Sensitivity &amp; Scenarios'!$C$6*((1+$E533)^1-(1+$E533)^0))*'Sensitivity &amp; Scenarios'!$C$18/(1+$C533)^'Sensitivity &amp; Scenarios'!$C$18+('Sensitivity &amp; Scenarios'!$C$6*(1+$E533)^2*$G533+'Sensitivity &amp; Scenarios'!$C$11*'Sensitivity &amp; Scenarios'!$C$6*((1+$E533)^2-(1+$E533)^1))/(1+$C533)^('Sensitivity &amp; Scenarios'!$C$18+1)+('Sensitivity &amp; Scenarios'!$C$6*(1+$E533)^3*$G533+'Sensitivity &amp; Scenarios'!$C$11*'Sensitivity &amp; Scenarios'!$C$6*((1+$E533)^3-(1+$E533)^2))/(1+$C533)^('Sensitivity &amp; Scenarios'!$C$18+2)+('Sensitivity &amp; Scenarios'!$C$6*(1+$E533)^4*$G533+'Sensitivity &amp; Scenarios'!$C$11*'Sensitivity &amp; Scenarios'!$C$6*((1+$E533)^4-(1+$E533)^3))/(1+$C533)^('Sensitivity &amp; Scenarios'!$C$18+3)+('Sensitivity &amp; Scenarios'!$C$6*(1+$E533)^5*$G533+'Sensitivity &amp; Scenarios'!$C$11*'Sensitivity &amp; Scenarios'!$C$6*((1+$E533)^5-(1+$E533)^4))/(1+$C533)^('Sensitivity &amp; Scenarios'!$C$18+4)</f>
        <v>23164.917342065331</v>
      </c>
      <c r="I533" s="209">
        <f>('Sensitivity &amp; Scenarios'!$C$6*(1+$E533)^5*$G533+'Sensitivity &amp; Scenarios'!$C$11*'Sensitivity &amp; Scenarios'!$C$6*((1+$E533)^5-(1+$E533)^4))*(1+$D533)/($C533-$D533)/(1+$C533)^('Sensitivity &amp; Scenarios'!$C$18+4)</f>
        <v>56488.89157965831</v>
      </c>
      <c r="J533" s="209">
        <f>($H533+$I533-'Sensitivity &amp; Scenarios'!$C$15+'Sensitivity &amp; Scenarios'!$C$16)/'Sensitivity &amp; Scenarios'!$C$17</f>
        <v>1963.1763714489759</v>
      </c>
    </row>
    <row r="534" spans="2:10" x14ac:dyDescent="0.3">
      <c r="B534" s="127">
        <v>504</v>
      </c>
      <c r="C534" s="206">
        <f>$D$7+0.658797*$E$7</f>
        <v>0.14414022943997798</v>
      </c>
      <c r="D534" s="206">
        <f>MIN($D$8+-0.010196*$E$8,'Debt &amp; Cost of Capital'!$C$38)</f>
        <v>5.4938823999999997E-2</v>
      </c>
      <c r="E534" s="207">
        <f>$D$9+1.590219*$E$9</f>
        <v>0.21492766770254634</v>
      </c>
      <c r="F534" s="207">
        <f>$D$10+0.159298*$E$10</f>
        <v>0.1469115759999999</v>
      </c>
      <c r="G534" s="208">
        <f>$F534*(1-'Sensitivity &amp; Scenarios'!$C$12)+'Sensitivity &amp; Scenarios'!$C$9*'Sensitivity &amp; Scenarios'!$C$12-'Sensitivity &amp; Scenarios'!$C$10</f>
        <v>7.9129350409264637E-2</v>
      </c>
      <c r="H534" s="209">
        <f>('Sensitivity &amp; Scenarios'!$C$6*(1+$E534)^1*$G534+'Sensitivity &amp; Scenarios'!$C$11*'Sensitivity &amp; Scenarios'!$C$6*((1+$E534)^1-(1+$E534)^0))*'Sensitivity &amp; Scenarios'!$C$18/(1+$C534)^'Sensitivity &amp; Scenarios'!$C$18+('Sensitivity &amp; Scenarios'!$C$6*(1+$E534)^2*$G534+'Sensitivity &amp; Scenarios'!$C$11*'Sensitivity &amp; Scenarios'!$C$6*((1+$E534)^2-(1+$E534)^1))/(1+$C534)^('Sensitivity &amp; Scenarios'!$C$18+1)+('Sensitivity &amp; Scenarios'!$C$6*(1+$E534)^3*$G534+'Sensitivity &amp; Scenarios'!$C$11*'Sensitivity &amp; Scenarios'!$C$6*((1+$E534)^3-(1+$E534)^2))/(1+$C534)^('Sensitivity &amp; Scenarios'!$C$18+2)+('Sensitivity &amp; Scenarios'!$C$6*(1+$E534)^4*$G534+'Sensitivity &amp; Scenarios'!$C$11*'Sensitivity &amp; Scenarios'!$C$6*((1+$E534)^4-(1+$E534)^3))/(1+$C534)^('Sensitivity &amp; Scenarios'!$C$18+3)+('Sensitivity &amp; Scenarios'!$C$6*(1+$E534)^5*$G534+'Sensitivity &amp; Scenarios'!$C$11*'Sensitivity &amp; Scenarios'!$C$6*((1+$E534)^5-(1+$E534)^4))/(1+$C534)^('Sensitivity &amp; Scenarios'!$C$18+4)</f>
        <v>27510.346310327681</v>
      </c>
      <c r="I534" s="209">
        <f>('Sensitivity &amp; Scenarios'!$C$6*(1+$E534)^5*$G534+'Sensitivity &amp; Scenarios'!$C$11*'Sensitivity &amp; Scenarios'!$C$6*((1+$E534)^5-(1+$E534)^4))*(1+$D534)/($C534-$D534)/(1+$C534)^('Sensitivity &amp; Scenarios'!$C$18+4)</f>
        <v>78179.787534644536</v>
      </c>
      <c r="J534" s="209">
        <f>($H534+$I534-'Sensitivity &amp; Scenarios'!$C$15+'Sensitivity &amp; Scenarios'!$C$16)/'Sensitivity &amp; Scenarios'!$C$17</f>
        <v>2511.2091511977083</v>
      </c>
    </row>
    <row r="535" spans="2:10" x14ac:dyDescent="0.3">
      <c r="B535" s="127">
        <v>505</v>
      </c>
      <c r="C535" s="206">
        <f>$D$7+-0.028083*$E$7</f>
        <v>0.13727142943997797</v>
      </c>
      <c r="D535" s="206">
        <f>MIN($D$8+-0.6603*$E$8,'Debt &amp; Cost of Capital'!$C$38)</f>
        <v>5.1038199999999999E-2</v>
      </c>
      <c r="E535" s="207">
        <f>$D$9+0.58185*$E$9</f>
        <v>0.18467659770254635</v>
      </c>
      <c r="F535" s="207">
        <f>$D$10+0.476603*$E$10</f>
        <v>0.1507192359999999</v>
      </c>
      <c r="G535" s="208">
        <f>$F535*(1-'Sensitivity &amp; Scenarios'!$C$12)+'Sensitivity &amp; Scenarios'!$C$9*'Sensitivity &amp; Scenarios'!$C$12-'Sensitivity &amp; Scenarios'!$C$10</f>
        <v>8.1978622387264624E-2</v>
      </c>
      <c r="H535" s="209">
        <f>('Sensitivity &amp; Scenarios'!$C$6*(1+$E535)^1*$G535+'Sensitivity &amp; Scenarios'!$C$11*'Sensitivity &amp; Scenarios'!$C$6*((1+$E535)^1-(1+$E535)^0))*'Sensitivity &amp; Scenarios'!$C$18/(1+$C535)^'Sensitivity &amp; Scenarios'!$C$18+('Sensitivity &amp; Scenarios'!$C$6*(1+$E535)^2*$G535+'Sensitivity &amp; Scenarios'!$C$11*'Sensitivity &amp; Scenarios'!$C$6*((1+$E535)^2-(1+$E535)^1))/(1+$C535)^('Sensitivity &amp; Scenarios'!$C$18+1)+('Sensitivity &amp; Scenarios'!$C$6*(1+$E535)^3*$G535+'Sensitivity &amp; Scenarios'!$C$11*'Sensitivity &amp; Scenarios'!$C$6*((1+$E535)^3-(1+$E535)^2))/(1+$C535)^('Sensitivity &amp; Scenarios'!$C$18+2)+('Sensitivity &amp; Scenarios'!$C$6*(1+$E535)^4*$G535+'Sensitivity &amp; Scenarios'!$C$11*'Sensitivity &amp; Scenarios'!$C$6*((1+$E535)^4-(1+$E535)^3))/(1+$C535)^('Sensitivity &amp; Scenarios'!$C$18+3)+('Sensitivity &amp; Scenarios'!$C$6*(1+$E535)^5*$G535+'Sensitivity &amp; Scenarios'!$C$11*'Sensitivity &amp; Scenarios'!$C$6*((1+$E535)^5-(1+$E535)^4))/(1+$C535)^('Sensitivity &amp; Scenarios'!$C$18+4)</f>
        <v>25930.358024448455</v>
      </c>
      <c r="I535" s="209">
        <f>('Sensitivity &amp; Scenarios'!$C$6*(1+$E535)^5*$G535+'Sensitivity &amp; Scenarios'!$C$11*'Sensitivity &amp; Scenarios'!$C$6*((1+$E535)^5-(1+$E535)^4))*(1+$D535)/($C535-$D535)/(1+$C535)^('Sensitivity &amp; Scenarios'!$C$18+4)</f>
        <v>73435.435526505462</v>
      </c>
      <c r="J535" s="209">
        <f>($H535+$I535-'Sensitivity &amp; Scenarios'!$C$15+'Sensitivity &amp; Scenarios'!$C$16)/'Sensitivity &amp; Scenarios'!$C$17</f>
        <v>2378.0895269179805</v>
      </c>
    </row>
    <row r="536" spans="2:10" x14ac:dyDescent="0.3">
      <c r="B536" s="127">
        <v>506</v>
      </c>
      <c r="C536" s="206">
        <f>$D$7+0.01468*$E$7</f>
        <v>0.13769905943997798</v>
      </c>
      <c r="D536" s="206">
        <f>MIN($D$8+-0.789986*$E$8,'Debt &amp; Cost of Capital'!$C$38)</f>
        <v>5.0260083999999997E-2</v>
      </c>
      <c r="E536" s="207">
        <f>$D$9+0.12993*$E$9</f>
        <v>0.17111899770254635</v>
      </c>
      <c r="F536" s="207">
        <f>$D$10+-0.069799*$E$10</f>
        <v>0.14416241199999991</v>
      </c>
      <c r="G536" s="208">
        <f>$F536*(1-'Sensitivity &amp; Scenarios'!$C$12)+'Sensitivity &amp; Scenarios'!$C$9*'Sensitivity &amp; Scenarios'!$C$12-'Sensitivity &amp; Scenarios'!$C$10</f>
        <v>7.7072150988064636E-2</v>
      </c>
      <c r="H536" s="209">
        <f>('Sensitivity &amp; Scenarios'!$C$6*(1+$E536)^1*$G536+'Sensitivity &amp; Scenarios'!$C$11*'Sensitivity &amp; Scenarios'!$C$6*((1+$E536)^1-(1+$E536)^0))*'Sensitivity &amp; Scenarios'!$C$18/(1+$C536)^'Sensitivity &amp; Scenarios'!$C$18+('Sensitivity &amp; Scenarios'!$C$6*(1+$E536)^2*$G536+'Sensitivity &amp; Scenarios'!$C$11*'Sensitivity &amp; Scenarios'!$C$6*((1+$E536)^2-(1+$E536)^1))/(1+$C536)^('Sensitivity &amp; Scenarios'!$C$18+1)+('Sensitivity &amp; Scenarios'!$C$6*(1+$E536)^3*$G536+'Sensitivity &amp; Scenarios'!$C$11*'Sensitivity &amp; Scenarios'!$C$6*((1+$E536)^3-(1+$E536)^2))/(1+$C536)^('Sensitivity &amp; Scenarios'!$C$18+2)+('Sensitivity &amp; Scenarios'!$C$6*(1+$E536)^4*$G536+'Sensitivity &amp; Scenarios'!$C$11*'Sensitivity &amp; Scenarios'!$C$6*((1+$E536)^4-(1+$E536)^3))/(1+$C536)^('Sensitivity &amp; Scenarios'!$C$18+3)+('Sensitivity &amp; Scenarios'!$C$6*(1+$E536)^5*$G536+'Sensitivity &amp; Scenarios'!$C$11*'Sensitivity &amp; Scenarios'!$C$6*((1+$E536)^5-(1+$E536)^4))/(1+$C536)^('Sensitivity &amp; Scenarios'!$C$18+4)</f>
        <v>23453.524628904182</v>
      </c>
      <c r="I536" s="209">
        <f>('Sensitivity &amp; Scenarios'!$C$6*(1+$E536)^5*$G536+'Sensitivity &amp; Scenarios'!$C$11*'Sensitivity &amp; Scenarios'!$C$6*((1+$E536)^5-(1+$E536)^4))*(1+$D536)/($C536-$D536)/(1+$C536)^('Sensitivity &amp; Scenarios'!$C$18+4)</f>
        <v>64087.529966445894</v>
      </c>
      <c r="J536" s="209">
        <f>($H536+$I536-'Sensitivity &amp; Scenarios'!$C$15+'Sensitivity &amp; Scenarios'!$C$16)/'Sensitivity &amp; Scenarios'!$C$17</f>
        <v>2129.1932414880735</v>
      </c>
    </row>
    <row r="537" spans="2:10" x14ac:dyDescent="0.3">
      <c r="B537" s="127">
        <v>507</v>
      </c>
      <c r="C537" s="206">
        <f>$D$7+-1.333474*$E$7</f>
        <v>0.12421751943997798</v>
      </c>
      <c r="D537" s="206">
        <f>MIN($D$8+-1.471812*$E$8,'Debt &amp; Cost of Capital'!$C$38)</f>
        <v>4.6169128000000004E-2</v>
      </c>
      <c r="E537" s="207">
        <f>$D$9+0.565153*$E$9</f>
        <v>0.18417568770254633</v>
      </c>
      <c r="F537" s="207">
        <f>$D$10+-2.601888*$E$10</f>
        <v>0.11377734399999991</v>
      </c>
      <c r="G537" s="208">
        <f>$F537*(1-'Sensitivity &amp; Scenarios'!$C$12)+'Sensitivity &amp; Scenarios'!$C$9*'Sensitivity &amp; Scenarios'!$C$12-'Sensitivity &amp; Scenarios'!$C$10</f>
        <v>5.4335004603664638E-2</v>
      </c>
      <c r="H537" s="209">
        <f>('Sensitivity &amp; Scenarios'!$C$6*(1+$E537)^1*$G537+'Sensitivity &amp; Scenarios'!$C$11*'Sensitivity &amp; Scenarios'!$C$6*((1+$E537)^1-(1+$E537)^0))*'Sensitivity &amp; Scenarios'!$C$18/(1+$C537)^'Sensitivity &amp; Scenarios'!$C$18+('Sensitivity &amp; Scenarios'!$C$6*(1+$E537)^2*$G537+'Sensitivity &amp; Scenarios'!$C$11*'Sensitivity &amp; Scenarios'!$C$6*((1+$E537)^2-(1+$E537)^1))/(1+$C537)^('Sensitivity &amp; Scenarios'!$C$18+1)+('Sensitivity &amp; Scenarios'!$C$6*(1+$E537)^3*$G537+'Sensitivity &amp; Scenarios'!$C$11*'Sensitivity &amp; Scenarios'!$C$6*((1+$E537)^3-(1+$E537)^2))/(1+$C537)^('Sensitivity &amp; Scenarios'!$C$18+2)+('Sensitivity &amp; Scenarios'!$C$6*(1+$E537)^4*$G537+'Sensitivity &amp; Scenarios'!$C$11*'Sensitivity &amp; Scenarios'!$C$6*((1+$E537)^4-(1+$E537)^3))/(1+$C537)^('Sensitivity &amp; Scenarios'!$C$18+3)+('Sensitivity &amp; Scenarios'!$C$6*(1+$E537)^5*$G537+'Sensitivity &amp; Scenarios'!$C$11*'Sensitivity &amp; Scenarios'!$C$6*((1+$E537)^5-(1+$E537)^4))/(1+$C537)^('Sensitivity &amp; Scenarios'!$C$18+4)</f>
        <v>19293.118120749736</v>
      </c>
      <c r="I537" s="209">
        <f>('Sensitivity &amp; Scenarios'!$C$6*(1+$E537)^5*$G537+'Sensitivity &amp; Scenarios'!$C$11*'Sensitivity &amp; Scenarios'!$C$6*((1+$E537)^5-(1+$E537)^4))*(1+$D537)/($C537-$D537)/(1+$C537)^('Sensitivity &amp; Scenarios'!$C$18+4)</f>
        <v>61274.935192965</v>
      </c>
      <c r="J537" s="209">
        <f>($H537+$I537-'Sensitivity &amp; Scenarios'!$C$15+'Sensitivity &amp; Scenarios'!$C$16)/'Sensitivity &amp; Scenarios'!$C$17</f>
        <v>1982.4200971663945</v>
      </c>
    </row>
    <row r="538" spans="2:10" x14ac:dyDescent="0.3">
      <c r="B538" s="127">
        <v>508</v>
      </c>
      <c r="C538" s="206">
        <f>$D$7+0.205411*$E$7</f>
        <v>0.13960636943997798</v>
      </c>
      <c r="D538" s="206">
        <f>MIN($D$8+-0.478083*$E$8,'Debt &amp; Cost of Capital'!$C$38)</f>
        <v>5.2131502000000003E-2</v>
      </c>
      <c r="E538" s="207">
        <f>$D$9+1.308247*$E$9</f>
        <v>0.20646850770254632</v>
      </c>
      <c r="F538" s="207">
        <f>$D$10+-0.493468*$E$10</f>
        <v>0.13907838399999992</v>
      </c>
      <c r="G538" s="208">
        <f>$F538*(1-'Sensitivity &amp; Scenarios'!$C$12)+'Sensitivity &amp; Scenarios'!$C$9*'Sensitivity &amp; Scenarios'!$C$12-'Sensitivity &amp; Scenarios'!$C$10</f>
        <v>7.3267772835664643E-2</v>
      </c>
      <c r="H538" s="209">
        <f>('Sensitivity &amp; Scenarios'!$C$6*(1+$E538)^1*$G538+'Sensitivity &amp; Scenarios'!$C$11*'Sensitivity &amp; Scenarios'!$C$6*((1+$E538)^1-(1+$E538)^0))*'Sensitivity &amp; Scenarios'!$C$18/(1+$C538)^'Sensitivity &amp; Scenarios'!$C$18+('Sensitivity &amp; Scenarios'!$C$6*(1+$E538)^2*$G538+'Sensitivity &amp; Scenarios'!$C$11*'Sensitivity &amp; Scenarios'!$C$6*((1+$E538)^2-(1+$E538)^1))/(1+$C538)^('Sensitivity &amp; Scenarios'!$C$18+1)+('Sensitivity &amp; Scenarios'!$C$6*(1+$E538)^3*$G538+'Sensitivity &amp; Scenarios'!$C$11*'Sensitivity &amp; Scenarios'!$C$6*((1+$E538)^3-(1+$E538)^2))/(1+$C538)^('Sensitivity &amp; Scenarios'!$C$18+2)+('Sensitivity &amp; Scenarios'!$C$6*(1+$E538)^4*$G538+'Sensitivity &amp; Scenarios'!$C$11*'Sensitivity &amp; Scenarios'!$C$6*((1+$E538)^4-(1+$E538)^3))/(1+$C538)^('Sensitivity &amp; Scenarios'!$C$18+3)+('Sensitivity &amp; Scenarios'!$C$6*(1+$E538)^5*$G538+'Sensitivity &amp; Scenarios'!$C$11*'Sensitivity &amp; Scenarios'!$C$6*((1+$E538)^5-(1+$E538)^4))/(1+$C538)^('Sensitivity &amp; Scenarios'!$C$18+4)</f>
        <v>25408.728574018227</v>
      </c>
      <c r="I538" s="209">
        <f>('Sensitivity &amp; Scenarios'!$C$6*(1+$E538)^5*$G538+'Sensitivity &amp; Scenarios'!$C$11*'Sensitivity &amp; Scenarios'!$C$6*((1+$E538)^5-(1+$E538)^4))*(1+$D538)/($C538-$D538)/(1+$C538)^('Sensitivity &amp; Scenarios'!$C$18+4)</f>
        <v>73053.093834936546</v>
      </c>
      <c r="J538" s="209">
        <f>($H538+$I538-'Sensitivity &amp; Scenarios'!$C$15+'Sensitivity &amp; Scenarios'!$C$16)/'Sensitivity &amp; Scenarios'!$C$17</f>
        <v>2359.0620405418185</v>
      </c>
    </row>
    <row r="539" spans="2:10" x14ac:dyDescent="0.3">
      <c r="B539" s="127">
        <v>509</v>
      </c>
      <c r="C539" s="206">
        <f>$D$7+0.659484*$E$7</f>
        <v>0.14414709943997797</v>
      </c>
      <c r="D539" s="206">
        <f>MIN($D$8+-0.396914*$E$8,'Debt &amp; Cost of Capital'!$C$38)</f>
        <v>5.2618515999999997E-2</v>
      </c>
      <c r="E539" s="207">
        <f>$D$9+0.113748*$E$9</f>
        <v>0.17063353770254633</v>
      </c>
      <c r="F539" s="207">
        <f>$D$10+0.736837*$E$10</f>
        <v>0.1538420439999999</v>
      </c>
      <c r="G539" s="208">
        <f>$F539*(1-'Sensitivity &amp; Scenarios'!$C$12)+'Sensitivity &amp; Scenarios'!$C$9*'Sensitivity &amp; Scenarios'!$C$12-'Sensitivity &amp; Scenarios'!$C$10</f>
        <v>8.4315419613664636E-2</v>
      </c>
      <c r="H539" s="209">
        <f>('Sensitivity &amp; Scenarios'!$C$6*(1+$E539)^1*$G539+'Sensitivity &amp; Scenarios'!$C$11*'Sensitivity &amp; Scenarios'!$C$6*((1+$E539)^1-(1+$E539)^0))*'Sensitivity &amp; Scenarios'!$C$18/(1+$C539)^'Sensitivity &amp; Scenarios'!$C$18+('Sensitivity &amp; Scenarios'!$C$6*(1+$E539)^2*$G539+'Sensitivity &amp; Scenarios'!$C$11*'Sensitivity &amp; Scenarios'!$C$6*((1+$E539)^2-(1+$E539)^1))/(1+$C539)^('Sensitivity &amp; Scenarios'!$C$18+1)+('Sensitivity &amp; Scenarios'!$C$6*(1+$E539)^3*$G539+'Sensitivity &amp; Scenarios'!$C$11*'Sensitivity &amp; Scenarios'!$C$6*((1+$E539)^3-(1+$E539)^2))/(1+$C539)^('Sensitivity &amp; Scenarios'!$C$18+2)+('Sensitivity &amp; Scenarios'!$C$6*(1+$E539)^4*$G539+'Sensitivity &amp; Scenarios'!$C$11*'Sensitivity &amp; Scenarios'!$C$6*((1+$E539)^4-(1+$E539)^3))/(1+$C539)^('Sensitivity &amp; Scenarios'!$C$18+3)+('Sensitivity &amp; Scenarios'!$C$6*(1+$E539)^5*$G539+'Sensitivity &amp; Scenarios'!$C$11*'Sensitivity &amp; Scenarios'!$C$6*((1+$E539)^5-(1+$E539)^4))/(1+$C539)^('Sensitivity &amp; Scenarios'!$C$18+4)</f>
        <v>24832.429219038713</v>
      </c>
      <c r="I539" s="209">
        <f>('Sensitivity &amp; Scenarios'!$C$6*(1+$E539)^5*$G539+'Sensitivity &amp; Scenarios'!$C$11*'Sensitivity &amp; Scenarios'!$C$6*((1+$E539)^5-(1+$E539)^4))*(1+$D539)/($C539-$D539)/(1+$C539)^('Sensitivity &amp; Scenarios'!$C$18+4)</f>
        <v>64265.716838842789</v>
      </c>
      <c r="J539" s="209">
        <f>($H539+$I539-'Sensitivity &amp; Scenarios'!$C$15+'Sensitivity &amp; Scenarios'!$C$16)/'Sensitivity &amp; Scenarios'!$C$17</f>
        <v>2161.9681114072969</v>
      </c>
    </row>
    <row r="540" spans="2:10" x14ac:dyDescent="0.3">
      <c r="B540" s="127">
        <v>510</v>
      </c>
      <c r="C540" s="206">
        <f>$D$7+-0.462556*$E$7</f>
        <v>0.13292669943997798</v>
      </c>
      <c r="D540" s="206">
        <f>MIN($D$8+0.996555*$E$8,'Debt &amp; Cost of Capital'!$C$38)</f>
        <v>6.0979329999999998E-2</v>
      </c>
      <c r="E540" s="207">
        <f>$D$9+-0.993698*$E$9</f>
        <v>0.13741015770254633</v>
      </c>
      <c r="F540" s="207">
        <f>$D$10+0.294593*$E$10</f>
        <v>0.14853511599999991</v>
      </c>
      <c r="G540" s="208">
        <f>$F540*(1-'Sensitivity &amp; Scenarios'!$C$12)+'Sensitivity &amp; Scenarios'!$C$9*'Sensitivity &amp; Scenarios'!$C$12-'Sensitivity &amp; Scenarios'!$C$10</f>
        <v>8.034424539126464E-2</v>
      </c>
      <c r="H540" s="209">
        <f>('Sensitivity &amp; Scenarios'!$C$6*(1+$E540)^1*$G540+'Sensitivity &amp; Scenarios'!$C$11*'Sensitivity &amp; Scenarios'!$C$6*((1+$E540)^1-(1+$E540)^0))*'Sensitivity &amp; Scenarios'!$C$18/(1+$C540)^'Sensitivity &amp; Scenarios'!$C$18+('Sensitivity &amp; Scenarios'!$C$6*(1+$E540)^2*$G540+'Sensitivity &amp; Scenarios'!$C$11*'Sensitivity &amp; Scenarios'!$C$6*((1+$E540)^2-(1+$E540)^1))/(1+$C540)^('Sensitivity &amp; Scenarios'!$C$18+1)+('Sensitivity &amp; Scenarios'!$C$6*(1+$E540)^3*$G540+'Sensitivity &amp; Scenarios'!$C$11*'Sensitivity &amp; Scenarios'!$C$6*((1+$E540)^3-(1+$E540)^2))/(1+$C540)^('Sensitivity &amp; Scenarios'!$C$18+2)+('Sensitivity &amp; Scenarios'!$C$6*(1+$E540)^4*$G540+'Sensitivity &amp; Scenarios'!$C$11*'Sensitivity &amp; Scenarios'!$C$6*((1+$E540)^4-(1+$E540)^3))/(1+$C540)^('Sensitivity &amp; Scenarios'!$C$18+3)+('Sensitivity &amp; Scenarios'!$C$6*(1+$E540)^5*$G540+'Sensitivity &amp; Scenarios'!$C$11*'Sensitivity &amp; Scenarios'!$C$6*((1+$E540)^5-(1+$E540)^4))/(1+$C540)^('Sensitivity &amp; Scenarios'!$C$18+4)</f>
        <v>21736.486379648952</v>
      </c>
      <c r="I540" s="209">
        <f>('Sensitivity &amp; Scenarios'!$C$6*(1+$E540)^5*$G540+'Sensitivity &amp; Scenarios'!$C$11*'Sensitivity &amp; Scenarios'!$C$6*((1+$E540)^5-(1+$E540)^4))*(1+$D540)/($C540-$D540)/(1+$C540)^('Sensitivity &amp; Scenarios'!$C$18+4)</f>
        <v>69692.04096734809</v>
      </c>
      <c r="J540" s="209">
        <f>($H540+$I540-'Sensitivity &amp; Scenarios'!$C$15+'Sensitivity &amp; Scenarios'!$C$16)/'Sensitivity &amp; Scenarios'!$C$17</f>
        <v>2211.0197859240807</v>
      </c>
    </row>
    <row r="541" spans="2:10" x14ac:dyDescent="0.3">
      <c r="B541" s="127">
        <v>511</v>
      </c>
      <c r="C541" s="206">
        <f>$D$7+0.92264*$E$7</f>
        <v>0.14677865943997798</v>
      </c>
      <c r="D541" s="206">
        <f>MIN($D$8+0.660037*$E$8,'Debt &amp; Cost of Capital'!$C$38)</f>
        <v>5.8960222E-2</v>
      </c>
      <c r="E541" s="207">
        <f>$D$9+1.916445*$E$9</f>
        <v>0.22471444770254634</v>
      </c>
      <c r="F541" s="207">
        <f>$D$10+-0.763439*$E$10</f>
        <v>0.13583873199999991</v>
      </c>
      <c r="G541" s="208">
        <f>$F541*(1-'Sensitivity &amp; Scenarios'!$C$12)+'Sensitivity &amp; Scenarios'!$C$9*'Sensitivity &amp; Scenarios'!$C$12-'Sensitivity &amp; Scenarios'!$C$10</f>
        <v>7.0843541244064639E-2</v>
      </c>
      <c r="H541" s="209">
        <f>('Sensitivity &amp; Scenarios'!$C$6*(1+$E541)^1*$G541+'Sensitivity &amp; Scenarios'!$C$11*'Sensitivity &amp; Scenarios'!$C$6*((1+$E541)^1-(1+$E541)^0))*'Sensitivity &amp; Scenarios'!$C$18/(1+$C541)^'Sensitivity &amp; Scenarios'!$C$18+('Sensitivity &amp; Scenarios'!$C$6*(1+$E541)^2*$G541+'Sensitivity &amp; Scenarios'!$C$11*'Sensitivity &amp; Scenarios'!$C$6*((1+$E541)^2-(1+$E541)^1))/(1+$C541)^('Sensitivity &amp; Scenarios'!$C$18+1)+('Sensitivity &amp; Scenarios'!$C$6*(1+$E541)^3*$G541+'Sensitivity &amp; Scenarios'!$C$11*'Sensitivity &amp; Scenarios'!$C$6*((1+$E541)^3-(1+$E541)^2))/(1+$C541)^('Sensitivity &amp; Scenarios'!$C$18+2)+('Sensitivity &amp; Scenarios'!$C$6*(1+$E541)^4*$G541+'Sensitivity &amp; Scenarios'!$C$11*'Sensitivity &amp; Scenarios'!$C$6*((1+$E541)^4-(1+$E541)^3))/(1+$C541)^('Sensitivity &amp; Scenarios'!$C$18+3)+('Sensitivity &amp; Scenarios'!$C$6*(1+$E541)^5*$G541+'Sensitivity &amp; Scenarios'!$C$11*'Sensitivity &amp; Scenarios'!$C$6*((1+$E541)^5-(1+$E541)^4))/(1+$C541)^('Sensitivity &amp; Scenarios'!$C$18+4)</f>
        <v>25901.909822349691</v>
      </c>
      <c r="I541" s="209">
        <f>('Sensitivity &amp; Scenarios'!$C$6*(1+$E541)^5*$G541+'Sensitivity &amp; Scenarios'!$C$11*'Sensitivity &amp; Scenarios'!$C$6*((1+$E541)^5-(1+$E541)^4))*(1+$D541)/($C541-$D541)/(1+$C541)^('Sensitivity &amp; Scenarios'!$C$18+4)</f>
        <v>75798.535896400761</v>
      </c>
      <c r="J541" s="209">
        <f>($H541+$I541-'Sensitivity &amp; Scenarios'!$C$15+'Sensitivity &amp; Scenarios'!$C$16)/'Sensitivity &amp; Scenarios'!$C$17</f>
        <v>2427.2310982048507</v>
      </c>
    </row>
    <row r="542" spans="2:10" x14ac:dyDescent="0.3">
      <c r="B542" s="127">
        <v>512</v>
      </c>
      <c r="C542" s="206">
        <f>$D$7+-1.379149*$E$7</f>
        <v>0.12376076943997798</v>
      </c>
      <c r="D542" s="206">
        <f>MIN($D$8+-0.994335*$E$8,'Debt &amp; Cost of Capital'!$C$38)</f>
        <v>4.903399E-2</v>
      </c>
      <c r="E542" s="207">
        <f>$D$9+0.660443*$E$9</f>
        <v>0.18703438770254635</v>
      </c>
      <c r="F542" s="207">
        <f>$D$10+0.497923*$E$10</f>
        <v>0.1509750759999999</v>
      </c>
      <c r="G542" s="208">
        <f>$F542*(1-'Sensitivity &amp; Scenarios'!$C$12)+'Sensitivity &amp; Scenarios'!$C$9*'Sensitivity &amp; Scenarios'!$C$12-'Sensitivity &amp; Scenarios'!$C$10</f>
        <v>8.2170067459264626E-2</v>
      </c>
      <c r="H542" s="209">
        <f>('Sensitivity &amp; Scenarios'!$C$6*(1+$E542)^1*$G542+'Sensitivity &amp; Scenarios'!$C$11*'Sensitivity &amp; Scenarios'!$C$6*((1+$E542)^1-(1+$E542)^0))*'Sensitivity &amp; Scenarios'!$C$18/(1+$C542)^'Sensitivity &amp; Scenarios'!$C$18+('Sensitivity &amp; Scenarios'!$C$6*(1+$E542)^2*$G542+'Sensitivity &amp; Scenarios'!$C$11*'Sensitivity &amp; Scenarios'!$C$6*((1+$E542)^2-(1+$E542)^1))/(1+$C542)^('Sensitivity &amp; Scenarios'!$C$18+1)+('Sensitivity &amp; Scenarios'!$C$6*(1+$E542)^3*$G542+'Sensitivity &amp; Scenarios'!$C$11*'Sensitivity &amp; Scenarios'!$C$6*((1+$E542)^3-(1+$E542)^2))/(1+$C542)^('Sensitivity &amp; Scenarios'!$C$18+2)+('Sensitivity &amp; Scenarios'!$C$6*(1+$E542)^4*$G542+'Sensitivity &amp; Scenarios'!$C$11*'Sensitivity &amp; Scenarios'!$C$6*((1+$E542)^4-(1+$E542)^3))/(1+$C542)^('Sensitivity &amp; Scenarios'!$C$18+3)+('Sensitivity &amp; Scenarios'!$C$6*(1+$E542)^5*$G542+'Sensitivity &amp; Scenarios'!$C$11*'Sensitivity &amp; Scenarios'!$C$6*((1+$E542)^5-(1+$E542)^4))/(1+$C542)^('Sensitivity &amp; Scenarios'!$C$18+4)</f>
        <v>27113.841292160563</v>
      </c>
      <c r="I542" s="209">
        <f>('Sensitivity &amp; Scenarios'!$C$6*(1+$E542)^5*$G542+'Sensitivity &amp; Scenarios'!$C$11*'Sensitivity &amp; Scenarios'!$C$6*((1+$E542)^5-(1+$E542)^4))*(1+$D542)/($C542-$D542)/(1+$C542)^('Sensitivity &amp; Scenarios'!$C$18+4)</f>
        <v>90632.112651852105</v>
      </c>
      <c r="J542" s="209">
        <f>($H542+$I542-'Sensitivity &amp; Scenarios'!$C$15+'Sensitivity &amp; Scenarios'!$C$16)/'Sensitivity &amp; Scenarios'!$C$17</f>
        <v>2764.9694119297519</v>
      </c>
    </row>
    <row r="543" spans="2:10" x14ac:dyDescent="0.3">
      <c r="B543" s="127">
        <v>513</v>
      </c>
      <c r="C543" s="206">
        <f>$D$7+0.102257*$E$7</f>
        <v>0.13857482943997798</v>
      </c>
      <c r="D543" s="206">
        <f>MIN($D$8+-1.122957*$E$8,'Debt &amp; Cost of Capital'!$C$38)</f>
        <v>4.8262258000000002E-2</v>
      </c>
      <c r="E543" s="207">
        <f>$D$9+0.766867*$E$9</f>
        <v>0.19022710770254633</v>
      </c>
      <c r="F543" s="207">
        <f>$D$10+-1.224705*$E$10</f>
        <v>0.13030353999999991</v>
      </c>
      <c r="G543" s="208">
        <f>$F543*(1-'Sensitivity &amp; Scenarios'!$C$12)+'Sensitivity &amp; Scenarios'!$C$9*'Sensitivity &amp; Scenarios'!$C$12-'Sensitivity &amp; Scenarios'!$C$10</f>
        <v>6.6701557070464643E-2</v>
      </c>
      <c r="H543" s="209">
        <f>('Sensitivity &amp; Scenarios'!$C$6*(1+$E543)^1*$G543+'Sensitivity &amp; Scenarios'!$C$11*'Sensitivity &amp; Scenarios'!$C$6*((1+$E543)^1-(1+$E543)^0))*'Sensitivity &amp; Scenarios'!$C$18/(1+$C543)^'Sensitivity &amp; Scenarios'!$C$18+('Sensitivity &amp; Scenarios'!$C$6*(1+$E543)^2*$G543+'Sensitivity &amp; Scenarios'!$C$11*'Sensitivity &amp; Scenarios'!$C$6*((1+$E543)^2-(1+$E543)^1))/(1+$C543)^('Sensitivity &amp; Scenarios'!$C$18+1)+('Sensitivity &amp; Scenarios'!$C$6*(1+$E543)^3*$G543+'Sensitivity &amp; Scenarios'!$C$11*'Sensitivity &amp; Scenarios'!$C$6*((1+$E543)^3-(1+$E543)^2))/(1+$C543)^('Sensitivity &amp; Scenarios'!$C$18+2)+('Sensitivity &amp; Scenarios'!$C$6*(1+$E543)^4*$G543+'Sensitivity &amp; Scenarios'!$C$11*'Sensitivity &amp; Scenarios'!$C$6*((1+$E543)^4-(1+$E543)^3))/(1+$C543)^('Sensitivity &amp; Scenarios'!$C$18+3)+('Sensitivity &amp; Scenarios'!$C$6*(1+$E543)^5*$G543+'Sensitivity &amp; Scenarios'!$C$11*'Sensitivity &amp; Scenarios'!$C$6*((1+$E543)^5-(1+$E543)^4))/(1+$C543)^('Sensitivity &amp; Scenarios'!$C$18+4)</f>
        <v>22309.874514529449</v>
      </c>
      <c r="I543" s="209">
        <f>('Sensitivity &amp; Scenarios'!$C$6*(1+$E543)^5*$G543+'Sensitivity &amp; Scenarios'!$C$11*'Sensitivity &amp; Scenarios'!$C$6*((1+$E543)^5-(1+$E543)^4))*(1+$D543)/($C543-$D543)/(1+$C543)^('Sensitivity &amp; Scenarios'!$C$18+4)</f>
        <v>60544.71685418368</v>
      </c>
      <c r="J543" s="209">
        <f>($H543+$I543-'Sensitivity &amp; Scenarios'!$C$15+'Sensitivity &amp; Scenarios'!$C$16)/'Sensitivity &amp; Scenarios'!$C$17</f>
        <v>2030.5489252546895</v>
      </c>
    </row>
    <row r="544" spans="2:10" x14ac:dyDescent="0.3">
      <c r="B544" s="127">
        <v>514</v>
      </c>
      <c r="C544" s="206">
        <f>$D$7+1.15895*$E$7</f>
        <v>0.14914175943997798</v>
      </c>
      <c r="D544" s="206">
        <f>MIN($D$8+2.857438*$E$8,'Debt &amp; Cost of Capital'!$C$38)</f>
        <v>6.7799999999999999E-2</v>
      </c>
      <c r="E544" s="207">
        <f>$D$9+0.366451*$E$9</f>
        <v>0.17821462770254634</v>
      </c>
      <c r="F544" s="207">
        <f>$D$10+0.583108*$E$10</f>
        <v>0.15199729599999989</v>
      </c>
      <c r="G544" s="208">
        <f>$F544*(1-'Sensitivity &amp; Scenarios'!$C$12)+'Sensitivity &amp; Scenarios'!$C$9*'Sensitivity &amp; Scenarios'!$C$12-'Sensitivity &amp; Scenarios'!$C$10</f>
        <v>8.2934994685264621E-2</v>
      </c>
      <c r="H544" s="209">
        <f>('Sensitivity &amp; Scenarios'!$C$6*(1+$E544)^1*$G544+'Sensitivity &amp; Scenarios'!$C$11*'Sensitivity &amp; Scenarios'!$C$6*((1+$E544)^1-(1+$E544)^0))*'Sensitivity &amp; Scenarios'!$C$18/(1+$C544)^'Sensitivity &amp; Scenarios'!$C$18+('Sensitivity &amp; Scenarios'!$C$6*(1+$E544)^2*$G544+'Sensitivity &amp; Scenarios'!$C$11*'Sensitivity &amp; Scenarios'!$C$6*((1+$E544)^2-(1+$E544)^1))/(1+$C544)^('Sensitivity &amp; Scenarios'!$C$18+1)+('Sensitivity &amp; Scenarios'!$C$6*(1+$E544)^3*$G544+'Sensitivity &amp; Scenarios'!$C$11*'Sensitivity &amp; Scenarios'!$C$6*((1+$E544)^3-(1+$E544)^2))/(1+$C544)^('Sensitivity &amp; Scenarios'!$C$18+2)+('Sensitivity &amp; Scenarios'!$C$6*(1+$E544)^4*$G544+'Sensitivity &amp; Scenarios'!$C$11*'Sensitivity &amp; Scenarios'!$C$6*((1+$E544)^4-(1+$E544)^3))/(1+$C544)^('Sensitivity &amp; Scenarios'!$C$18+3)+('Sensitivity &amp; Scenarios'!$C$6*(1+$E544)^5*$G544+'Sensitivity &amp; Scenarios'!$C$11*'Sensitivity &amp; Scenarios'!$C$6*((1+$E544)^5-(1+$E544)^4))/(1+$C544)^('Sensitivity &amp; Scenarios'!$C$18+4)</f>
        <v>24846.330855145174</v>
      </c>
      <c r="I544" s="209">
        <f>('Sensitivity &amp; Scenarios'!$C$6*(1+$E544)^5*$G544+'Sensitivity &amp; Scenarios'!$C$11*'Sensitivity &amp; Scenarios'!$C$6*((1+$E544)^5-(1+$E544)^4))*(1+$D544)/($C544-$D544)/(1+$C544)^('Sensitivity &amp; Scenarios'!$C$18+4)</f>
        <v>73675.629237485817</v>
      </c>
      <c r="J544" s="209">
        <f>($H544+$I544-'Sensitivity &amp; Scenarios'!$C$15+'Sensitivity &amp; Scenarios'!$C$16)/'Sensitivity &amp; Scenarios'!$C$17</f>
        <v>2360.3278651944875</v>
      </c>
    </row>
    <row r="545" spans="2:10" x14ac:dyDescent="0.3">
      <c r="B545" s="127">
        <v>515</v>
      </c>
      <c r="C545" s="206">
        <f>$D$7+-0.49286*$E$7</f>
        <v>0.13262365943997798</v>
      </c>
      <c r="D545" s="206">
        <f>MIN($D$8+-1.810213*$E$8,'Debt &amp; Cost of Capital'!$C$38)</f>
        <v>4.4138721999999998E-2</v>
      </c>
      <c r="E545" s="207">
        <f>$D$9+-0.602719*$E$9</f>
        <v>0.14913952770254635</v>
      </c>
      <c r="F545" s="207">
        <f>$D$10+-1.092895*$E$10</f>
        <v>0.13188525999999989</v>
      </c>
      <c r="G545" s="208">
        <f>$F545*(1-'Sensitivity &amp; Scenarios'!$C$12)+'Sensitivity &amp; Scenarios'!$C$9*'Sensitivity &amp; Scenarios'!$C$12-'Sensitivity &amp; Scenarios'!$C$10</f>
        <v>6.7885158146464633E-2</v>
      </c>
      <c r="H545" s="209">
        <f>('Sensitivity &amp; Scenarios'!$C$6*(1+$E545)^1*$G545+'Sensitivity &amp; Scenarios'!$C$11*'Sensitivity &amp; Scenarios'!$C$6*((1+$E545)^1-(1+$E545)^0))*'Sensitivity &amp; Scenarios'!$C$18/(1+$C545)^'Sensitivity &amp; Scenarios'!$C$18+('Sensitivity &amp; Scenarios'!$C$6*(1+$E545)^2*$G545+'Sensitivity &amp; Scenarios'!$C$11*'Sensitivity &amp; Scenarios'!$C$6*((1+$E545)^2-(1+$E545)^1))/(1+$C545)^('Sensitivity &amp; Scenarios'!$C$18+1)+('Sensitivity &amp; Scenarios'!$C$6*(1+$E545)^3*$G545+'Sensitivity &amp; Scenarios'!$C$11*'Sensitivity &amp; Scenarios'!$C$6*((1+$E545)^3-(1+$E545)^2))/(1+$C545)^('Sensitivity &amp; Scenarios'!$C$18+2)+('Sensitivity &amp; Scenarios'!$C$6*(1+$E545)^4*$G545+'Sensitivity &amp; Scenarios'!$C$11*'Sensitivity &amp; Scenarios'!$C$6*((1+$E545)^4-(1+$E545)^3))/(1+$C545)^('Sensitivity &amp; Scenarios'!$C$18+3)+('Sensitivity &amp; Scenarios'!$C$6*(1+$E545)^5*$G545+'Sensitivity &amp; Scenarios'!$C$11*'Sensitivity &amp; Scenarios'!$C$6*((1+$E545)^5-(1+$E545)^4))/(1+$C545)^('Sensitivity &amp; Scenarios'!$C$18+4)</f>
        <v>19719.708583558902</v>
      </c>
      <c r="I545" s="209">
        <f>('Sensitivity &amp; Scenarios'!$C$6*(1+$E545)^5*$G545+'Sensitivity &amp; Scenarios'!$C$11*'Sensitivity &amp; Scenarios'!$C$6*((1+$E545)^5-(1+$E545)^4))*(1+$D545)/($C545-$D545)/(1+$C545)^('Sensitivity &amp; Scenarios'!$C$18+4)</f>
        <v>51574.359309693653</v>
      </c>
      <c r="J545" s="209">
        <f>($H545+$I545-'Sensitivity &amp; Scenarios'!$C$15+'Sensitivity &amp; Scenarios'!$C$16)/'Sensitivity &amp; Scenarios'!$C$17</f>
        <v>1787.2140523690798</v>
      </c>
    </row>
    <row r="546" spans="2:10" x14ac:dyDescent="0.3">
      <c r="B546" s="127">
        <v>516</v>
      </c>
      <c r="C546" s="206">
        <f>$D$7+-1.447005*$E$7</f>
        <v>0.12308220943997798</v>
      </c>
      <c r="D546" s="206">
        <f>MIN($D$8+1.72236*$E$8,'Debt &amp; Cost of Capital'!$C$38)</f>
        <v>6.5334160000000002E-2</v>
      </c>
      <c r="E546" s="207">
        <f>$D$9+0.272863*$E$9</f>
        <v>0.17540698770254634</v>
      </c>
      <c r="F546" s="207">
        <f>$D$10+0.379688*$E$10</f>
        <v>0.14955625599999992</v>
      </c>
      <c r="G546" s="208">
        <f>$F546*(1-'Sensitivity &amp; Scenarios'!$C$12)+'Sensitivity &amp; Scenarios'!$C$9*'Sensitivity &amp; Scenarios'!$C$12-'Sensitivity &amp; Scenarios'!$C$10</f>
        <v>8.1108364453264636E-2</v>
      </c>
      <c r="H546" s="209">
        <f>('Sensitivity &amp; Scenarios'!$C$6*(1+$E546)^1*$G546+'Sensitivity &amp; Scenarios'!$C$11*'Sensitivity &amp; Scenarios'!$C$6*((1+$E546)^1-(1+$E546)^0))*'Sensitivity &amp; Scenarios'!$C$18/(1+$C546)^'Sensitivity &amp; Scenarios'!$C$18+('Sensitivity &amp; Scenarios'!$C$6*(1+$E546)^2*$G546+'Sensitivity &amp; Scenarios'!$C$11*'Sensitivity &amp; Scenarios'!$C$6*((1+$E546)^2-(1+$E546)^1))/(1+$C546)^('Sensitivity &amp; Scenarios'!$C$18+1)+('Sensitivity &amp; Scenarios'!$C$6*(1+$E546)^3*$G546+'Sensitivity &amp; Scenarios'!$C$11*'Sensitivity &amp; Scenarios'!$C$6*((1+$E546)^3-(1+$E546)^2))/(1+$C546)^('Sensitivity &amp; Scenarios'!$C$18+2)+('Sensitivity &amp; Scenarios'!$C$6*(1+$E546)^4*$G546+'Sensitivity &amp; Scenarios'!$C$11*'Sensitivity &amp; Scenarios'!$C$6*((1+$E546)^4-(1+$E546)^3))/(1+$C546)^('Sensitivity &amp; Scenarios'!$C$18+3)+('Sensitivity &amp; Scenarios'!$C$6*(1+$E546)^5*$G546+'Sensitivity &amp; Scenarios'!$C$11*'Sensitivity &amp; Scenarios'!$C$6*((1+$E546)^5-(1+$E546)^4))/(1+$C546)^('Sensitivity &amp; Scenarios'!$C$18+4)</f>
        <v>25783.064238089246</v>
      </c>
      <c r="I546" s="209">
        <f>('Sensitivity &amp; Scenarios'!$C$6*(1+$E546)^5*$G546+'Sensitivity &amp; Scenarios'!$C$11*'Sensitivity &amp; Scenarios'!$C$6*((1+$E546)^5-(1+$E546)^4))*(1+$D546)/($C546-$D546)/(1+$C546)^('Sensitivity &amp; Scenarios'!$C$18+4)</f>
        <v>111438.54186400944</v>
      </c>
      <c r="J546" s="209">
        <f>($H546+$I546-'Sensitivity &amp; Scenarios'!$C$15+'Sensitivity &amp; Scenarios'!$C$16)/'Sensitivity &amp; Scenarios'!$C$17</f>
        <v>3174.9080580742689</v>
      </c>
    </row>
    <row r="547" spans="2:10" x14ac:dyDescent="0.3">
      <c r="B547" s="127">
        <v>517</v>
      </c>
      <c r="C547" s="206">
        <f>$D$7+-0.309022*$E$7</f>
        <v>0.13446203943997798</v>
      </c>
      <c r="D547" s="206">
        <f>MIN($D$8+-0.172871*$E$8,'Debt &amp; Cost of Capital'!$C$38)</f>
        <v>5.3962773999999998E-2</v>
      </c>
      <c r="E547" s="207">
        <f>$D$9+0.964551*$E$9</f>
        <v>0.19615762770254636</v>
      </c>
      <c r="F547" s="207">
        <f>$D$10+-0.032337*$E$10</f>
        <v>0.1446119559999999</v>
      </c>
      <c r="G547" s="208">
        <f>$F547*(1-'Sensitivity &amp; Scenarios'!$C$12)+'Sensitivity &amp; Scenarios'!$C$9*'Sensitivity &amp; Scenarios'!$C$12-'Sensitivity &amp; Scenarios'!$C$10</f>
        <v>7.7408544763264628E-2</v>
      </c>
      <c r="H547" s="209">
        <f>('Sensitivity &amp; Scenarios'!$C$6*(1+$E547)^1*$G547+'Sensitivity &amp; Scenarios'!$C$11*'Sensitivity &amp; Scenarios'!$C$6*((1+$E547)^1-(1+$E547)^0))*'Sensitivity &amp; Scenarios'!$C$18/(1+$C547)^'Sensitivity &amp; Scenarios'!$C$18+('Sensitivity &amp; Scenarios'!$C$6*(1+$E547)^2*$G547+'Sensitivity &amp; Scenarios'!$C$11*'Sensitivity &amp; Scenarios'!$C$6*((1+$E547)^2-(1+$E547)^1))/(1+$C547)^('Sensitivity &amp; Scenarios'!$C$18+1)+('Sensitivity &amp; Scenarios'!$C$6*(1+$E547)^3*$G547+'Sensitivity &amp; Scenarios'!$C$11*'Sensitivity &amp; Scenarios'!$C$6*((1+$E547)^3-(1+$E547)^2))/(1+$C547)^('Sensitivity &amp; Scenarios'!$C$18+2)+('Sensitivity &amp; Scenarios'!$C$6*(1+$E547)^4*$G547+'Sensitivity &amp; Scenarios'!$C$11*'Sensitivity &amp; Scenarios'!$C$6*((1+$E547)^4-(1+$E547)^3))/(1+$C547)^('Sensitivity &amp; Scenarios'!$C$18+3)+('Sensitivity &amp; Scenarios'!$C$6*(1+$E547)^5*$G547+'Sensitivity &amp; Scenarios'!$C$11*'Sensitivity &amp; Scenarios'!$C$6*((1+$E547)^5-(1+$E547)^4))/(1+$C547)^('Sensitivity &amp; Scenarios'!$C$18+4)</f>
        <v>25945.289022296085</v>
      </c>
      <c r="I547" s="209">
        <f>('Sensitivity &amp; Scenarios'!$C$6*(1+$E547)^5*$G547+'Sensitivity &amp; Scenarios'!$C$11*'Sensitivity &amp; Scenarios'!$C$6*((1+$E547)^5-(1+$E547)^4))*(1+$D547)/($C547-$D547)/(1+$C547)^('Sensitivity &amp; Scenarios'!$C$18+4)</f>
        <v>80628.77378976834</v>
      </c>
      <c r="J547" s="209">
        <f>($H547+$I547-'Sensitivity &amp; Scenarios'!$C$15+'Sensitivity &amp; Scenarios'!$C$16)/'Sensitivity &amp; Scenarios'!$C$17</f>
        <v>2529.8147743170994</v>
      </c>
    </row>
    <row r="548" spans="2:10" x14ac:dyDescent="0.3">
      <c r="B548" s="127">
        <v>518</v>
      </c>
      <c r="C548" s="206">
        <f>$D$7+0.530694*$E$7</f>
        <v>0.14285919943997799</v>
      </c>
      <c r="D548" s="206">
        <f>MIN($D$8+-0.196004*$E$8,'Debt &amp; Cost of Capital'!$C$38)</f>
        <v>5.3823976000000003E-2</v>
      </c>
      <c r="E548" s="207">
        <f>$D$9+-0.342153*$E$9</f>
        <v>0.15695650770254635</v>
      </c>
      <c r="F548" s="207">
        <f>$D$10+-1.406914*$E$10</f>
        <v>0.12811703199999991</v>
      </c>
      <c r="G548" s="208">
        <f>$F548*(1-'Sensitivity &amp; Scenarios'!$C$12)+'Sensitivity &amp; Scenarios'!$C$9*'Sensitivity &amp; Scenarios'!$C$12-'Sensitivity &amp; Scenarios'!$C$10</f>
        <v>6.5065393134064634E-2</v>
      </c>
      <c r="H548" s="209">
        <f>('Sensitivity &amp; Scenarios'!$C$6*(1+$E548)^1*$G548+'Sensitivity &amp; Scenarios'!$C$11*'Sensitivity &amp; Scenarios'!$C$6*((1+$E548)^1-(1+$E548)^0))*'Sensitivity &amp; Scenarios'!$C$18/(1+$C548)^'Sensitivity &amp; Scenarios'!$C$18+('Sensitivity &amp; Scenarios'!$C$6*(1+$E548)^2*$G548+'Sensitivity &amp; Scenarios'!$C$11*'Sensitivity &amp; Scenarios'!$C$6*((1+$E548)^2-(1+$E548)^1))/(1+$C548)^('Sensitivity &amp; Scenarios'!$C$18+1)+('Sensitivity &amp; Scenarios'!$C$6*(1+$E548)^3*$G548+'Sensitivity &amp; Scenarios'!$C$11*'Sensitivity &amp; Scenarios'!$C$6*((1+$E548)^3-(1+$E548)^2))/(1+$C548)^('Sensitivity &amp; Scenarios'!$C$18+2)+('Sensitivity &amp; Scenarios'!$C$6*(1+$E548)^4*$G548+'Sensitivity &amp; Scenarios'!$C$11*'Sensitivity &amp; Scenarios'!$C$6*((1+$E548)^4-(1+$E548)^3))/(1+$C548)^('Sensitivity &amp; Scenarios'!$C$18+3)+('Sensitivity &amp; Scenarios'!$C$6*(1+$E548)^5*$G548+'Sensitivity &amp; Scenarios'!$C$11*'Sensitivity &amp; Scenarios'!$C$6*((1+$E548)^5-(1+$E548)^4))/(1+$C548)^('Sensitivity &amp; Scenarios'!$C$18+4)</f>
        <v>19126.238822550564</v>
      </c>
      <c r="I548" s="209">
        <f>('Sensitivity &amp; Scenarios'!$C$6*(1+$E548)^5*$G548+'Sensitivity &amp; Scenarios'!$C$11*'Sensitivity &amp; Scenarios'!$C$6*((1+$E548)^5-(1+$E548)^4))*(1+$D548)/($C548-$D548)/(1+$C548)^('Sensitivity &amp; Scenarios'!$C$18+4)</f>
        <v>49972.443491842976</v>
      </c>
      <c r="J548" s="209">
        <f>($H548+$I548-'Sensitivity &amp; Scenarios'!$C$15+'Sensitivity &amp; Scenarios'!$C$16)/'Sensitivity &amp; Scenarios'!$C$17</f>
        <v>1741.0038723629123</v>
      </c>
    </row>
    <row r="549" spans="2:10" x14ac:dyDescent="0.3">
      <c r="B549" s="127">
        <v>519</v>
      </c>
      <c r="C549" s="206">
        <f>$D$7+-1.977749*$E$7</f>
        <v>0.11777476943997797</v>
      </c>
      <c r="D549" s="206">
        <f>MIN($D$8+-0.261562*$E$8,'Debt &amp; Cost of Capital'!$C$38)</f>
        <v>5.3430628000000001E-2</v>
      </c>
      <c r="E549" s="207">
        <f>$D$9+0.056497*$E$9</f>
        <v>0.16891600770254633</v>
      </c>
      <c r="F549" s="207">
        <f>$D$10+-1.28613*$E$10</f>
        <v>0.12956643999999989</v>
      </c>
      <c r="G549" s="208">
        <f>$F549*(1-'Sensitivity &amp; Scenarios'!$C$12)+'Sensitivity &amp; Scenarios'!$C$9*'Sensitivity &amp; Scenarios'!$C$12-'Sensitivity &amp; Scenarios'!$C$10</f>
        <v>6.6149985140464621E-2</v>
      </c>
      <c r="H549" s="209">
        <f>('Sensitivity &amp; Scenarios'!$C$6*(1+$E549)^1*$G549+'Sensitivity &amp; Scenarios'!$C$11*'Sensitivity &amp; Scenarios'!$C$6*((1+$E549)^1-(1+$E549)^0))*'Sensitivity &amp; Scenarios'!$C$18/(1+$C549)^'Sensitivity &amp; Scenarios'!$C$18+('Sensitivity &amp; Scenarios'!$C$6*(1+$E549)^2*$G549+'Sensitivity &amp; Scenarios'!$C$11*'Sensitivity &amp; Scenarios'!$C$6*((1+$E549)^2-(1+$E549)^1))/(1+$C549)^('Sensitivity &amp; Scenarios'!$C$18+1)+('Sensitivity &amp; Scenarios'!$C$6*(1+$E549)^3*$G549+'Sensitivity &amp; Scenarios'!$C$11*'Sensitivity &amp; Scenarios'!$C$6*((1+$E549)^3-(1+$E549)^2))/(1+$C549)^('Sensitivity &amp; Scenarios'!$C$18+2)+('Sensitivity &amp; Scenarios'!$C$6*(1+$E549)^4*$G549+'Sensitivity &amp; Scenarios'!$C$11*'Sensitivity &amp; Scenarios'!$C$6*((1+$E549)^4-(1+$E549)^3))/(1+$C549)^('Sensitivity &amp; Scenarios'!$C$18+3)+('Sensitivity &amp; Scenarios'!$C$6*(1+$E549)^5*$G549+'Sensitivity &amp; Scenarios'!$C$11*'Sensitivity &amp; Scenarios'!$C$6*((1+$E549)^5-(1+$E549)^4))/(1+$C549)^('Sensitivity &amp; Scenarios'!$C$18+4)</f>
        <v>21597.228527148342</v>
      </c>
      <c r="I549" s="209">
        <f>('Sensitivity &amp; Scenarios'!$C$6*(1+$E549)^5*$G549+'Sensitivity &amp; Scenarios'!$C$11*'Sensitivity &amp; Scenarios'!$C$6*((1+$E549)^5-(1+$E549)^4))*(1+$D549)/($C549-$D549)/(1+$C549)^('Sensitivity &amp; Scenarios'!$C$18+4)</f>
        <v>82724.736137458603</v>
      </c>
      <c r="J549" s="209">
        <f>($H549+$I549-'Sensitivity &amp; Scenarios'!$C$15+'Sensitivity &amp; Scenarios'!$C$16)/'Sensitivity &amp; Scenarios'!$C$17</f>
        <v>2482.4108641394369</v>
      </c>
    </row>
    <row r="550" spans="2:10" x14ac:dyDescent="0.3">
      <c r="B550" s="127">
        <v>520</v>
      </c>
      <c r="C550" s="206">
        <f>$D$7+-0.034475*$E$7</f>
        <v>0.13720750943997798</v>
      </c>
      <c r="D550" s="206">
        <f>MIN($D$8+0.053753*$E$8,'Debt &amp; Cost of Capital'!$C$38)</f>
        <v>5.5322518000000001E-2</v>
      </c>
      <c r="E550" s="207">
        <f>$D$9+-2.156008*$E$9</f>
        <v>0.10254085770254634</v>
      </c>
      <c r="F550" s="207">
        <f>$D$10+-0.915125*$E$10</f>
        <v>0.1340184999999999</v>
      </c>
      <c r="G550" s="208">
        <f>$F550*(1-'Sensitivity &amp; Scenarios'!$C$12)+'Sensitivity &amp; Scenarios'!$C$9*'Sensitivity &amp; Scenarios'!$C$12-'Sensitivity &amp; Scenarios'!$C$10</f>
        <v>6.9481461638464637E-2</v>
      </c>
      <c r="H550" s="209">
        <f>('Sensitivity &amp; Scenarios'!$C$6*(1+$E550)^1*$G550+'Sensitivity &amp; Scenarios'!$C$11*'Sensitivity &amp; Scenarios'!$C$6*((1+$E550)^1-(1+$E550)^0))*'Sensitivity &amp; Scenarios'!$C$18/(1+$C550)^'Sensitivity &amp; Scenarios'!$C$18+('Sensitivity &amp; Scenarios'!$C$6*(1+$E550)^2*$G550+'Sensitivity &amp; Scenarios'!$C$11*'Sensitivity &amp; Scenarios'!$C$6*((1+$E550)^2-(1+$E550)^1))/(1+$C550)^('Sensitivity &amp; Scenarios'!$C$18+1)+('Sensitivity &amp; Scenarios'!$C$6*(1+$E550)^3*$G550+'Sensitivity &amp; Scenarios'!$C$11*'Sensitivity &amp; Scenarios'!$C$6*((1+$E550)^3-(1+$E550)^2))/(1+$C550)^('Sensitivity &amp; Scenarios'!$C$18+2)+('Sensitivity &amp; Scenarios'!$C$6*(1+$E550)^4*$G550+'Sensitivity &amp; Scenarios'!$C$11*'Sensitivity &amp; Scenarios'!$C$6*((1+$E550)^4-(1+$E550)^3))/(1+$C550)^('Sensitivity &amp; Scenarios'!$C$18+3)+('Sensitivity &amp; Scenarios'!$C$6*(1+$E550)^5*$G550+'Sensitivity &amp; Scenarios'!$C$11*'Sensitivity &amp; Scenarios'!$C$6*((1+$E550)^5-(1+$E550)^4))/(1+$C550)^('Sensitivity &amp; Scenarios'!$C$18+4)</f>
        <v>16610.097733747345</v>
      </c>
      <c r="I550" s="209">
        <f>('Sensitivity &amp; Scenarios'!$C$6*(1+$E550)^5*$G550+'Sensitivity &amp; Scenarios'!$C$11*'Sensitivity &amp; Scenarios'!$C$6*((1+$E550)^5-(1+$E550)^4))*(1+$D550)/($C550-$D550)/(1+$C550)^('Sensitivity &amp; Scenarios'!$C$18+4)</f>
        <v>43607.850352427529</v>
      </c>
      <c r="J550" s="209">
        <f>($H550+$I550-'Sensitivity &amp; Scenarios'!$C$15+'Sensitivity &amp; Scenarios'!$C$16)/'Sensitivity &amp; Scenarios'!$C$17</f>
        <v>1554.0752839523964</v>
      </c>
    </row>
    <row r="551" spans="2:10" x14ac:dyDescent="0.3">
      <c r="B551" s="127">
        <v>521</v>
      </c>
      <c r="C551" s="206">
        <f>$D$7+0.407264*$E$7</f>
        <v>0.14162489943997797</v>
      </c>
      <c r="D551" s="206">
        <f>MIN($D$8+0.387059*$E$8,'Debt &amp; Cost of Capital'!$C$38)</f>
        <v>5.7322353999999999E-2</v>
      </c>
      <c r="E551" s="207">
        <f>$D$9+-1.153675*$E$9</f>
        <v>0.13261084770254633</v>
      </c>
      <c r="F551" s="207">
        <f>$D$10+0.158448*$E$10</f>
        <v>0.14690137599999992</v>
      </c>
      <c r="G551" s="208">
        <f>$F551*(1-'Sensitivity &amp; Scenarios'!$C$12)+'Sensitivity &amp; Scenarios'!$C$9*'Sensitivity &amp; Scenarios'!$C$12-'Sensitivity &amp; Scenarios'!$C$10</f>
        <v>7.9121717749264645E-2</v>
      </c>
      <c r="H551" s="209">
        <f>('Sensitivity &amp; Scenarios'!$C$6*(1+$E551)^1*$G551+'Sensitivity &amp; Scenarios'!$C$11*'Sensitivity &amp; Scenarios'!$C$6*((1+$E551)^1-(1+$E551)^0))*'Sensitivity &amp; Scenarios'!$C$18/(1+$C551)^'Sensitivity &amp; Scenarios'!$C$18+('Sensitivity &amp; Scenarios'!$C$6*(1+$E551)^2*$G551+'Sensitivity &amp; Scenarios'!$C$11*'Sensitivity &amp; Scenarios'!$C$6*((1+$E551)^2-(1+$E551)^1))/(1+$C551)^('Sensitivity &amp; Scenarios'!$C$18+1)+('Sensitivity &amp; Scenarios'!$C$6*(1+$E551)^3*$G551+'Sensitivity &amp; Scenarios'!$C$11*'Sensitivity &amp; Scenarios'!$C$6*((1+$E551)^3-(1+$E551)^2))/(1+$C551)^('Sensitivity &amp; Scenarios'!$C$18+2)+('Sensitivity &amp; Scenarios'!$C$6*(1+$E551)^4*$G551+'Sensitivity &amp; Scenarios'!$C$11*'Sensitivity &amp; Scenarios'!$C$6*((1+$E551)^4-(1+$E551)^3))/(1+$C551)^('Sensitivity &amp; Scenarios'!$C$18+3)+('Sensitivity &amp; Scenarios'!$C$6*(1+$E551)^5*$G551+'Sensitivity &amp; Scenarios'!$C$11*'Sensitivity &amp; Scenarios'!$C$6*((1+$E551)^5-(1+$E551)^4))/(1+$C551)^('Sensitivity &amp; Scenarios'!$C$18+4)</f>
        <v>20629.94259708243</v>
      </c>
      <c r="I551" s="209">
        <f>('Sensitivity &amp; Scenarios'!$C$6*(1+$E551)^5*$G551+'Sensitivity &amp; Scenarios'!$C$11*'Sensitivity &amp; Scenarios'!$C$6*((1+$E551)^5-(1+$E551)^4))*(1+$D551)/($C551-$D551)/(1+$C551)^('Sensitivity &amp; Scenarios'!$C$18+4)</f>
        <v>55036.321676542073</v>
      </c>
      <c r="J551" s="209">
        <f>($H551+$I551-'Sensitivity &amp; Scenarios'!$C$15+'Sensitivity &amp; Scenarios'!$C$16)/'Sensitivity &amp; Scenarios'!$C$17</f>
        <v>1879.2434360476886</v>
      </c>
    </row>
    <row r="552" spans="2:10" x14ac:dyDescent="0.3">
      <c r="B552" s="127">
        <v>522</v>
      </c>
      <c r="C552" s="206">
        <f>$D$7+1.022407*$E$7</f>
        <v>0.14777632943997798</v>
      </c>
      <c r="D552" s="206">
        <f>MIN($D$8+0.777073*$E$8,'Debt &amp; Cost of Capital'!$C$38)</f>
        <v>5.9662437999999998E-2</v>
      </c>
      <c r="E552" s="207">
        <f>$D$9+-0.095286*$E$9</f>
        <v>0.16436251770254634</v>
      </c>
      <c r="F552" s="207">
        <f>$D$10+-0.467976*$E$10</f>
        <v>0.13938428799999991</v>
      </c>
      <c r="G552" s="208">
        <f>$F552*(1-'Sensitivity &amp; Scenarios'!$C$12)+'Sensitivity &amp; Scenarios'!$C$9*'Sensitivity &amp; Scenarios'!$C$12-'Sensitivity &amp; Scenarios'!$C$10</f>
        <v>7.3496680798864636E-2</v>
      </c>
      <c r="H552" s="209">
        <f>('Sensitivity &amp; Scenarios'!$C$6*(1+$E552)^1*$G552+'Sensitivity &amp; Scenarios'!$C$11*'Sensitivity &amp; Scenarios'!$C$6*((1+$E552)^1-(1+$E552)^0))*'Sensitivity &amp; Scenarios'!$C$18/(1+$C552)^'Sensitivity &amp; Scenarios'!$C$18+('Sensitivity &amp; Scenarios'!$C$6*(1+$E552)^2*$G552+'Sensitivity &amp; Scenarios'!$C$11*'Sensitivity &amp; Scenarios'!$C$6*((1+$E552)^2-(1+$E552)^1))/(1+$C552)^('Sensitivity &amp; Scenarios'!$C$18+1)+('Sensitivity &amp; Scenarios'!$C$6*(1+$E552)^3*$G552+'Sensitivity &amp; Scenarios'!$C$11*'Sensitivity &amp; Scenarios'!$C$6*((1+$E552)^3-(1+$E552)^2))/(1+$C552)^('Sensitivity &amp; Scenarios'!$C$18+2)+('Sensitivity &amp; Scenarios'!$C$6*(1+$E552)^4*$G552+'Sensitivity &amp; Scenarios'!$C$11*'Sensitivity &amp; Scenarios'!$C$6*((1+$E552)^4-(1+$E552)^3))/(1+$C552)^('Sensitivity &amp; Scenarios'!$C$18+3)+('Sensitivity &amp; Scenarios'!$C$6*(1+$E552)^5*$G552+'Sensitivity &amp; Scenarios'!$C$11*'Sensitivity &amp; Scenarios'!$C$6*((1+$E552)^5-(1+$E552)^4))/(1+$C552)^('Sensitivity &amp; Scenarios'!$C$18+4)</f>
        <v>21462.575611967528</v>
      </c>
      <c r="I552" s="209">
        <f>('Sensitivity &amp; Scenarios'!$C$6*(1+$E552)^5*$G552+'Sensitivity &amp; Scenarios'!$C$11*'Sensitivity &amp; Scenarios'!$C$6*((1+$E552)^5-(1+$E552)^4))*(1+$D552)/($C552-$D552)/(1+$C552)^('Sensitivity &amp; Scenarios'!$C$18+4)</f>
        <v>57193.608920476872</v>
      </c>
      <c r="J552" s="209">
        <f>($H552+$I552-'Sensitivity &amp; Scenarios'!$C$15+'Sensitivity &amp; Scenarios'!$C$16)/'Sensitivity &amp; Scenarios'!$C$17</f>
        <v>1942.1775988182951</v>
      </c>
    </row>
    <row r="553" spans="2:10" x14ac:dyDescent="0.3">
      <c r="B553" s="127">
        <v>523</v>
      </c>
      <c r="C553" s="206">
        <f>$D$7+-0.629344*$E$7</f>
        <v>0.13125881943997797</v>
      </c>
      <c r="D553" s="206">
        <f>MIN($D$8+0.46782*$E$8,'Debt &amp; Cost of Capital'!$C$38)</f>
        <v>5.7806919999999998E-2</v>
      </c>
      <c r="E553" s="207">
        <f>$D$9+0.195104*$E$9</f>
        <v>0.17307421770254633</v>
      </c>
      <c r="F553" s="207">
        <f>$D$10+0.629404*$E$10</f>
        <v>0.15255284799999991</v>
      </c>
      <c r="G553" s="208">
        <f>$F553*(1-'Sensitivity &amp; Scenarios'!$C$12)+'Sensitivity &amp; Scenarios'!$C$9*'Sensitivity &amp; Scenarios'!$C$12-'Sensitivity &amp; Scenarios'!$C$10</f>
        <v>8.3350714246864632E-2</v>
      </c>
      <c r="H553" s="209">
        <f>('Sensitivity &amp; Scenarios'!$C$6*(1+$E553)^1*$G553+'Sensitivity &amp; Scenarios'!$C$11*'Sensitivity &amp; Scenarios'!$C$6*((1+$E553)^1-(1+$E553)^0))*'Sensitivity &amp; Scenarios'!$C$18/(1+$C553)^'Sensitivity &amp; Scenarios'!$C$18+('Sensitivity &amp; Scenarios'!$C$6*(1+$E553)^2*$G553+'Sensitivity &amp; Scenarios'!$C$11*'Sensitivity &amp; Scenarios'!$C$6*((1+$E553)^2-(1+$E553)^1))/(1+$C553)^('Sensitivity &amp; Scenarios'!$C$18+1)+('Sensitivity &amp; Scenarios'!$C$6*(1+$E553)^3*$G553+'Sensitivity &amp; Scenarios'!$C$11*'Sensitivity &amp; Scenarios'!$C$6*((1+$E553)^3-(1+$E553)^2))/(1+$C553)^('Sensitivity &amp; Scenarios'!$C$18+2)+('Sensitivity &amp; Scenarios'!$C$6*(1+$E553)^4*$G553+'Sensitivity &amp; Scenarios'!$C$11*'Sensitivity &amp; Scenarios'!$C$6*((1+$E553)^4-(1+$E553)^3))/(1+$C553)^('Sensitivity &amp; Scenarios'!$C$18+3)+('Sensitivity &amp; Scenarios'!$C$6*(1+$E553)^5*$G553+'Sensitivity &amp; Scenarios'!$C$11*'Sensitivity &amp; Scenarios'!$C$6*((1+$E553)^5-(1+$E553)^4))/(1+$C553)^('Sensitivity &amp; Scenarios'!$C$18+4)</f>
        <v>25620.044738973185</v>
      </c>
      <c r="I553" s="209">
        <f>('Sensitivity &amp; Scenarios'!$C$6*(1+$E553)^5*$G553+'Sensitivity &amp; Scenarios'!$C$11*'Sensitivity &amp; Scenarios'!$C$6*((1+$E553)^5-(1+$E553)^4))*(1+$D553)/($C553-$D553)/(1+$C553)^('Sensitivity &amp; Scenarios'!$C$18+4)</f>
        <v>85043.775484248908</v>
      </c>
      <c r="J553" s="209">
        <f>($H553+$I553-'Sensitivity &amp; Scenarios'!$C$15+'Sensitivity &amp; Scenarios'!$C$16)/'Sensitivity &amp; Scenarios'!$C$17</f>
        <v>2615.8991633060141</v>
      </c>
    </row>
    <row r="554" spans="2:10" x14ac:dyDescent="0.3">
      <c r="B554" s="127">
        <v>524</v>
      </c>
      <c r="C554" s="206">
        <f>$D$7+0.131874*$E$7</f>
        <v>0.13887099943997799</v>
      </c>
      <c r="D554" s="206">
        <f>MIN($D$8+0.818764*$E$8,'Debt &amp; Cost of Capital'!$C$38)</f>
        <v>5.9912583999999998E-2</v>
      </c>
      <c r="E554" s="207">
        <f>$D$9+0.094593*$E$9</f>
        <v>0.17005888770254635</v>
      </c>
      <c r="F554" s="207">
        <f>$D$10+0.784689*$E$10</f>
        <v>0.15441626799999991</v>
      </c>
      <c r="G554" s="208">
        <f>$F554*(1-'Sensitivity &amp; Scenarios'!$C$12)+'Sensitivity &amp; Scenarios'!$C$9*'Sensitivity &amp; Scenarios'!$C$12-'Sensitivity &amp; Scenarios'!$C$10</f>
        <v>8.4745111432864645E-2</v>
      </c>
      <c r="H554" s="209">
        <f>('Sensitivity &amp; Scenarios'!$C$6*(1+$E554)^1*$G554+'Sensitivity &amp; Scenarios'!$C$11*'Sensitivity &amp; Scenarios'!$C$6*((1+$E554)^1-(1+$E554)^0))*'Sensitivity &amp; Scenarios'!$C$18/(1+$C554)^'Sensitivity &amp; Scenarios'!$C$18+('Sensitivity &amp; Scenarios'!$C$6*(1+$E554)^2*$G554+'Sensitivity &amp; Scenarios'!$C$11*'Sensitivity &amp; Scenarios'!$C$6*((1+$E554)^2-(1+$E554)^1))/(1+$C554)^('Sensitivity &amp; Scenarios'!$C$18+1)+('Sensitivity &amp; Scenarios'!$C$6*(1+$E554)^3*$G554+'Sensitivity &amp; Scenarios'!$C$11*'Sensitivity &amp; Scenarios'!$C$6*((1+$E554)^3-(1+$E554)^2))/(1+$C554)^('Sensitivity &amp; Scenarios'!$C$18+2)+('Sensitivity &amp; Scenarios'!$C$6*(1+$E554)^4*$G554+'Sensitivity &amp; Scenarios'!$C$11*'Sensitivity &amp; Scenarios'!$C$6*((1+$E554)^4-(1+$E554)^3))/(1+$C554)^('Sensitivity &amp; Scenarios'!$C$18+3)+('Sensitivity &amp; Scenarios'!$C$6*(1+$E554)^5*$G554+'Sensitivity &amp; Scenarios'!$C$11*'Sensitivity &amp; Scenarios'!$C$6*((1+$E554)^5-(1+$E554)^4))/(1+$C554)^('Sensitivity &amp; Scenarios'!$C$18+4)</f>
        <v>25216.614114098589</v>
      </c>
      <c r="I554" s="209">
        <f>('Sensitivity &amp; Scenarios'!$C$6*(1+$E554)^5*$G554+'Sensitivity &amp; Scenarios'!$C$11*'Sensitivity &amp; Scenarios'!$C$6*((1+$E554)^5-(1+$E554)^4))*(1+$D554)/($C554-$D554)/(1+$C554)^('Sensitivity &amp; Scenarios'!$C$18+4)</f>
        <v>76740.912459966043</v>
      </c>
      <c r="J554" s="209">
        <f>($H554+$I554-'Sensitivity &amp; Scenarios'!$C$15+'Sensitivity &amp; Scenarios'!$C$16)/'Sensitivity &amp; Scenarios'!$C$17</f>
        <v>2432.6423356269265</v>
      </c>
    </row>
    <row r="555" spans="2:10" x14ac:dyDescent="0.3">
      <c r="B555" s="127">
        <v>525</v>
      </c>
      <c r="C555" s="206">
        <f>$D$7+0.870823*$E$7</f>
        <v>0.14626048943997799</v>
      </c>
      <c r="D555" s="206">
        <f>MIN($D$8+-0.804527*$E$8,'Debt &amp; Cost of Capital'!$C$38)</f>
        <v>5.0172837999999997E-2</v>
      </c>
      <c r="E555" s="207">
        <f>$D$9+-1.808144*$E$9</f>
        <v>0.11297677770254634</v>
      </c>
      <c r="F555" s="207">
        <f>$D$10+1.543493*$E$10</f>
        <v>0.16352191599999991</v>
      </c>
      <c r="G555" s="208">
        <f>$F555*(1-'Sensitivity &amp; Scenarios'!$C$12)+'Sensitivity &amp; Scenarios'!$C$9*'Sensitivity &amp; Scenarios'!$C$12-'Sensitivity &amp; Scenarios'!$C$10</f>
        <v>9.1558867831264629E-2</v>
      </c>
      <c r="H555" s="209">
        <f>('Sensitivity &amp; Scenarios'!$C$6*(1+$E555)^1*$G555+'Sensitivity &amp; Scenarios'!$C$11*'Sensitivity &amp; Scenarios'!$C$6*((1+$E555)^1-(1+$E555)^0))*'Sensitivity &amp; Scenarios'!$C$18/(1+$C555)^'Sensitivity &amp; Scenarios'!$C$18+('Sensitivity &amp; Scenarios'!$C$6*(1+$E555)^2*$G555+'Sensitivity &amp; Scenarios'!$C$11*'Sensitivity &amp; Scenarios'!$C$6*((1+$E555)^2-(1+$E555)^1))/(1+$C555)^('Sensitivity &amp; Scenarios'!$C$18+1)+('Sensitivity &amp; Scenarios'!$C$6*(1+$E555)^3*$G555+'Sensitivity &amp; Scenarios'!$C$11*'Sensitivity &amp; Scenarios'!$C$6*((1+$E555)^3-(1+$E555)^2))/(1+$C555)^('Sensitivity &amp; Scenarios'!$C$18+2)+('Sensitivity &amp; Scenarios'!$C$6*(1+$E555)^4*$G555+'Sensitivity &amp; Scenarios'!$C$11*'Sensitivity &amp; Scenarios'!$C$6*((1+$E555)^4-(1+$E555)^3))/(1+$C555)^('Sensitivity &amp; Scenarios'!$C$18+3)+('Sensitivity &amp; Scenarios'!$C$6*(1+$E555)^5*$G555+'Sensitivity &amp; Scenarios'!$C$11*'Sensitivity &amp; Scenarios'!$C$6*((1+$E555)^5-(1+$E555)^4))/(1+$C555)^('Sensitivity &amp; Scenarios'!$C$18+4)</f>
        <v>21567.461623645599</v>
      </c>
      <c r="I555" s="209">
        <f>('Sensitivity &amp; Scenarios'!$C$6*(1+$E555)^5*$G555+'Sensitivity &amp; Scenarios'!$C$11*'Sensitivity &amp; Scenarios'!$C$6*((1+$E555)^5-(1+$E555)^4))*(1+$D555)/($C555-$D555)/(1+$C555)^('Sensitivity &amp; Scenarios'!$C$18+4)</f>
        <v>48154.001554891183</v>
      </c>
      <c r="J555" s="209">
        <f>($H555+$I555-'Sensitivity &amp; Scenarios'!$C$15+'Sensitivity &amp; Scenarios'!$C$16)/'Sensitivity &amp; Scenarios'!$C$17</f>
        <v>1754.1126474744858</v>
      </c>
    </row>
    <row r="556" spans="2:10" x14ac:dyDescent="0.3">
      <c r="B556" s="127">
        <v>526</v>
      </c>
      <c r="C556" s="206">
        <f>$D$7+0.256659*$E$7</f>
        <v>0.14011884943997799</v>
      </c>
      <c r="D556" s="206">
        <f>MIN($D$8+-1.714486*$E$8,'Debt &amp; Cost of Capital'!$C$38)</f>
        <v>4.4713084E-2</v>
      </c>
      <c r="E556" s="207">
        <f>$D$9+-0.713819*$E$9</f>
        <v>0.14580652770254635</v>
      </c>
      <c r="F556" s="207">
        <f>$D$10+0.771874*$E$10</f>
        <v>0.15426248799999992</v>
      </c>
      <c r="G556" s="208">
        <f>$F556*(1-'Sensitivity &amp; Scenarios'!$C$12)+'Sensitivity &amp; Scenarios'!$C$9*'Sensitivity &amp; Scenarios'!$C$12-'Sensitivity &amp; Scenarios'!$C$10</f>
        <v>8.4630037858864651E-2</v>
      </c>
      <c r="H556" s="209">
        <f>('Sensitivity &amp; Scenarios'!$C$6*(1+$E556)^1*$G556+'Sensitivity &amp; Scenarios'!$C$11*'Sensitivity &amp; Scenarios'!$C$6*((1+$E556)^1-(1+$E556)^0))*'Sensitivity &amp; Scenarios'!$C$18/(1+$C556)^'Sensitivity &amp; Scenarios'!$C$18+('Sensitivity &amp; Scenarios'!$C$6*(1+$E556)^2*$G556+'Sensitivity &amp; Scenarios'!$C$11*'Sensitivity &amp; Scenarios'!$C$6*((1+$E556)^2-(1+$E556)^1))/(1+$C556)^('Sensitivity &amp; Scenarios'!$C$18+1)+('Sensitivity &amp; Scenarios'!$C$6*(1+$E556)^3*$G556+'Sensitivity &amp; Scenarios'!$C$11*'Sensitivity &amp; Scenarios'!$C$6*((1+$E556)^3-(1+$E556)^2))/(1+$C556)^('Sensitivity &amp; Scenarios'!$C$18+2)+('Sensitivity &amp; Scenarios'!$C$6*(1+$E556)^4*$G556+'Sensitivity &amp; Scenarios'!$C$11*'Sensitivity &amp; Scenarios'!$C$6*((1+$E556)^4-(1+$E556)^3))/(1+$C556)^('Sensitivity &amp; Scenarios'!$C$18+3)+('Sensitivity &amp; Scenarios'!$C$6*(1+$E556)^5*$G556+'Sensitivity &amp; Scenarios'!$C$11*'Sensitivity &amp; Scenarios'!$C$6*((1+$E556)^5-(1+$E556)^4))/(1+$C556)^('Sensitivity &amp; Scenarios'!$C$18+4)</f>
        <v>23023.913877107858</v>
      </c>
      <c r="I556" s="209">
        <f>('Sensitivity &amp; Scenarios'!$C$6*(1+$E556)^5*$G556+'Sensitivity &amp; Scenarios'!$C$11*'Sensitivity &amp; Scenarios'!$C$6*((1+$E556)^5-(1+$E556)^4))*(1+$D556)/($C556-$D556)/(1+$C556)^('Sensitivity &amp; Scenarios'!$C$18+4)</f>
        <v>54918.779256533664</v>
      </c>
      <c r="J556" s="209">
        <f>($H556+$I556-'Sensitivity &amp; Scenarios'!$C$15+'Sensitivity &amp; Scenarios'!$C$16)/'Sensitivity &amp; Scenarios'!$C$17</f>
        <v>1927.1594779519514</v>
      </c>
    </row>
    <row r="557" spans="2:10" x14ac:dyDescent="0.3">
      <c r="B557" s="127">
        <v>527</v>
      </c>
      <c r="C557" s="206">
        <f>$D$7+-0.279677*$E$7</f>
        <v>0.13475548943997798</v>
      </c>
      <c r="D557" s="206">
        <f>MIN($D$8+-0.512061*$E$8,'Debt &amp; Cost of Capital'!$C$38)</f>
        <v>5.1927634E-2</v>
      </c>
      <c r="E557" s="207">
        <f>$D$9+1.400882*$E$9</f>
        <v>0.20924755770254633</v>
      </c>
      <c r="F557" s="207">
        <f>$D$10+-1.047287*$E$10</f>
        <v>0.1324325559999999</v>
      </c>
      <c r="G557" s="208">
        <f>$F557*(1-'Sensitivity &amp; Scenarios'!$C$12)+'Sensitivity &amp; Scenarios'!$C$9*'Sensitivity &amp; Scenarios'!$C$12-'Sensitivity &amp; Scenarios'!$C$10</f>
        <v>6.8294699743264631E-2</v>
      </c>
      <c r="H557" s="209">
        <f>('Sensitivity &amp; Scenarios'!$C$6*(1+$E557)^1*$G557+'Sensitivity &amp; Scenarios'!$C$11*'Sensitivity &amp; Scenarios'!$C$6*((1+$E557)^1-(1+$E557)^0))*'Sensitivity &amp; Scenarios'!$C$18/(1+$C557)^'Sensitivity &amp; Scenarios'!$C$18+('Sensitivity &amp; Scenarios'!$C$6*(1+$E557)^2*$G557+'Sensitivity &amp; Scenarios'!$C$11*'Sensitivity &amp; Scenarios'!$C$6*((1+$E557)^2-(1+$E557)^1))/(1+$C557)^('Sensitivity &amp; Scenarios'!$C$18+1)+('Sensitivity &amp; Scenarios'!$C$6*(1+$E557)^3*$G557+'Sensitivity &amp; Scenarios'!$C$11*'Sensitivity &amp; Scenarios'!$C$6*((1+$E557)^3-(1+$E557)^2))/(1+$C557)^('Sensitivity &amp; Scenarios'!$C$18+2)+('Sensitivity &amp; Scenarios'!$C$6*(1+$E557)^4*$G557+'Sensitivity &amp; Scenarios'!$C$11*'Sensitivity &amp; Scenarios'!$C$6*((1+$E557)^4-(1+$E557)^3))/(1+$C557)^('Sensitivity &amp; Scenarios'!$C$18+3)+('Sensitivity &amp; Scenarios'!$C$6*(1+$E557)^5*$G557+'Sensitivity &amp; Scenarios'!$C$11*'Sensitivity &amp; Scenarios'!$C$6*((1+$E557)^5-(1+$E557)^4))/(1+$C557)^('Sensitivity &amp; Scenarios'!$C$18+4)</f>
        <v>24578.477362691934</v>
      </c>
      <c r="I557" s="209">
        <f>('Sensitivity &amp; Scenarios'!$C$6*(1+$E557)^5*$G557+'Sensitivity &amp; Scenarios'!$C$11*'Sensitivity &amp; Scenarios'!$C$6*((1+$E557)^5-(1+$E557)^4))*(1+$D557)/($C557-$D557)/(1+$C557)^('Sensitivity &amp; Scenarios'!$C$18+4)</f>
        <v>75469.988931629734</v>
      </c>
      <c r="J557" s="209">
        <f>($H557+$I557-'Sensitivity &amp; Scenarios'!$C$15+'Sensitivity &amp; Scenarios'!$C$16)/'Sensitivity &amp; Scenarios'!$C$17</f>
        <v>2392.458952799298</v>
      </c>
    </row>
    <row r="558" spans="2:10" x14ac:dyDescent="0.3">
      <c r="B558" s="127">
        <v>528</v>
      </c>
      <c r="C558" s="206">
        <f>$D$7+-0.798153*$E$7</f>
        <v>0.12957072943997799</v>
      </c>
      <c r="D558" s="206">
        <f>MIN($D$8+0.211386*$E$8,'Debt &amp; Cost of Capital'!$C$38)</f>
        <v>5.6268315999999999E-2</v>
      </c>
      <c r="E558" s="207">
        <f>$D$9+0.390455*$E$9</f>
        <v>0.17893474770254633</v>
      </c>
      <c r="F558" s="207">
        <f>$D$10+0.496343*$E$10</f>
        <v>0.15095611599999992</v>
      </c>
      <c r="G558" s="208">
        <f>$F558*(1-'Sensitivity &amp; Scenarios'!$C$12)+'Sensitivity &amp; Scenarios'!$C$9*'Sensitivity &amp; Scenarios'!$C$12-'Sensitivity &amp; Scenarios'!$C$10</f>
        <v>8.2155879691264644E-2</v>
      </c>
      <c r="H558" s="209">
        <f>('Sensitivity &amp; Scenarios'!$C$6*(1+$E558)^1*$G558+'Sensitivity &amp; Scenarios'!$C$11*'Sensitivity &amp; Scenarios'!$C$6*((1+$E558)^1-(1+$E558)^0))*'Sensitivity &amp; Scenarios'!$C$18/(1+$C558)^'Sensitivity &amp; Scenarios'!$C$18+('Sensitivity &amp; Scenarios'!$C$6*(1+$E558)^2*$G558+'Sensitivity &amp; Scenarios'!$C$11*'Sensitivity &amp; Scenarios'!$C$6*((1+$E558)^2-(1+$E558)^1))/(1+$C558)^('Sensitivity &amp; Scenarios'!$C$18+1)+('Sensitivity &amp; Scenarios'!$C$6*(1+$E558)^3*$G558+'Sensitivity &amp; Scenarios'!$C$11*'Sensitivity &amp; Scenarios'!$C$6*((1+$E558)^3-(1+$E558)^2))/(1+$C558)^('Sensitivity &amp; Scenarios'!$C$18+2)+('Sensitivity &amp; Scenarios'!$C$6*(1+$E558)^4*$G558+'Sensitivity &amp; Scenarios'!$C$11*'Sensitivity &amp; Scenarios'!$C$6*((1+$E558)^4-(1+$E558)^3))/(1+$C558)^('Sensitivity &amp; Scenarios'!$C$18+3)+('Sensitivity &amp; Scenarios'!$C$6*(1+$E558)^5*$G558+'Sensitivity &amp; Scenarios'!$C$11*'Sensitivity &amp; Scenarios'!$C$6*((1+$E558)^5-(1+$E558)^4))/(1+$C558)^('Sensitivity &amp; Scenarios'!$C$18+4)</f>
        <v>25955.996195024261</v>
      </c>
      <c r="I558" s="209">
        <f>('Sensitivity &amp; Scenarios'!$C$6*(1+$E558)^5*$G558+'Sensitivity &amp; Scenarios'!$C$11*'Sensitivity &amp; Scenarios'!$C$6*((1+$E558)^5-(1+$E558)^4))*(1+$D558)/($C558-$D558)/(1+$C558)^('Sensitivity &amp; Scenarios'!$C$18+4)</f>
        <v>87203.005094512686</v>
      </c>
      <c r="J558" s="209">
        <f>($H558+$I558-'Sensitivity &amp; Scenarios'!$C$15+'Sensitivity &amp; Scenarios'!$C$16)/'Sensitivity &amp; Scenarios'!$C$17</f>
        <v>2668.4196714721998</v>
      </c>
    </row>
    <row r="559" spans="2:10" x14ac:dyDescent="0.3">
      <c r="B559" s="127">
        <v>529</v>
      </c>
      <c r="C559" s="206">
        <f>$D$7+0.911238*$E$7</f>
        <v>0.14666463943997798</v>
      </c>
      <c r="D559" s="206">
        <f>MIN($D$8+0.198579*$E$8,'Debt &amp; Cost of Capital'!$C$38)</f>
        <v>5.6191473999999998E-2</v>
      </c>
      <c r="E559" s="207">
        <f>$D$9+0.489384*$E$9</f>
        <v>0.18190261770254634</v>
      </c>
      <c r="F559" s="207">
        <f>$D$10+-0.259209*$E$10</f>
        <v>0.14188949199999989</v>
      </c>
      <c r="G559" s="208">
        <f>$F559*(1-'Sensitivity &amp; Scenarios'!$C$12)+'Sensitivity &amp; Scenarios'!$C$9*'Sensitivity &amp; Scenarios'!$C$12-'Sensitivity &amp; Scenarios'!$C$10</f>
        <v>7.5371324952064625E-2</v>
      </c>
      <c r="H559" s="209">
        <f>('Sensitivity &amp; Scenarios'!$C$6*(1+$E559)^1*$G559+'Sensitivity &amp; Scenarios'!$C$11*'Sensitivity &amp; Scenarios'!$C$6*((1+$E559)^1-(1+$E559)^0))*'Sensitivity &amp; Scenarios'!$C$18/(1+$C559)^'Sensitivity &amp; Scenarios'!$C$18+('Sensitivity &amp; Scenarios'!$C$6*(1+$E559)^2*$G559+'Sensitivity &amp; Scenarios'!$C$11*'Sensitivity &amp; Scenarios'!$C$6*((1+$E559)^2-(1+$E559)^1))/(1+$C559)^('Sensitivity &amp; Scenarios'!$C$18+1)+('Sensitivity &amp; Scenarios'!$C$6*(1+$E559)^3*$G559+'Sensitivity &amp; Scenarios'!$C$11*'Sensitivity &amp; Scenarios'!$C$6*((1+$E559)^3-(1+$E559)^2))/(1+$C559)^('Sensitivity &amp; Scenarios'!$C$18+2)+('Sensitivity &amp; Scenarios'!$C$6*(1+$E559)^4*$G559+'Sensitivity &amp; Scenarios'!$C$11*'Sensitivity &amp; Scenarios'!$C$6*((1+$E559)^4-(1+$E559)^3))/(1+$C559)^('Sensitivity &amp; Scenarios'!$C$18+3)+('Sensitivity &amp; Scenarios'!$C$6*(1+$E559)^5*$G559+'Sensitivity &amp; Scenarios'!$C$11*'Sensitivity &amp; Scenarios'!$C$6*((1+$E559)^5-(1+$E559)^4))/(1+$C559)^('Sensitivity &amp; Scenarios'!$C$18+4)</f>
        <v>23406.877455714002</v>
      </c>
      <c r="I559" s="209">
        <f>('Sensitivity &amp; Scenarios'!$C$6*(1+$E559)^5*$G559+'Sensitivity &amp; Scenarios'!$C$11*'Sensitivity &amp; Scenarios'!$C$6*((1+$E559)^5-(1+$E559)^4))*(1+$D559)/($C559-$D559)/(1+$C559)^('Sensitivity &amp; Scenarios'!$C$18+4)</f>
        <v>62310.607921905117</v>
      </c>
      <c r="J559" s="209">
        <f>($H559+$I559-'Sensitivity &amp; Scenarios'!$C$15+'Sensitivity &amp; Scenarios'!$C$16)/'Sensitivity &amp; Scenarios'!$C$17</f>
        <v>2090.8093409028966</v>
      </c>
    </row>
    <row r="560" spans="2:10" x14ac:dyDescent="0.3">
      <c r="B560" s="127">
        <v>530</v>
      </c>
      <c r="C560" s="206">
        <f>$D$7+0.062698*$E$7</f>
        <v>0.13817923943997798</v>
      </c>
      <c r="D560" s="206">
        <f>MIN($D$8+0.107534*$E$8,'Debt &amp; Cost of Capital'!$C$38)</f>
        <v>5.5645204000000004E-2</v>
      </c>
      <c r="E560" s="207">
        <f>$D$9+0.215098*$E$9</f>
        <v>0.17367403770254633</v>
      </c>
      <c r="F560" s="207">
        <f>$D$10+0.77254*$E$10</f>
        <v>0.1542704799999999</v>
      </c>
      <c r="G560" s="208">
        <f>$F560*(1-'Sensitivity &amp; Scenarios'!$C$12)+'Sensitivity &amp; Scenarios'!$C$9*'Sensitivity &amp; Scenarios'!$C$12-'Sensitivity &amp; Scenarios'!$C$10</f>
        <v>8.4636018272464628E-2</v>
      </c>
      <c r="H560" s="209">
        <f>('Sensitivity &amp; Scenarios'!$C$6*(1+$E560)^1*$G560+'Sensitivity &amp; Scenarios'!$C$11*'Sensitivity &amp; Scenarios'!$C$6*((1+$E560)^1-(1+$E560)^0))*'Sensitivity &amp; Scenarios'!$C$18/(1+$C560)^'Sensitivity &amp; Scenarios'!$C$18+('Sensitivity &amp; Scenarios'!$C$6*(1+$E560)^2*$G560+'Sensitivity &amp; Scenarios'!$C$11*'Sensitivity &amp; Scenarios'!$C$6*((1+$E560)^2-(1+$E560)^1))/(1+$C560)^('Sensitivity &amp; Scenarios'!$C$18+1)+('Sensitivity &amp; Scenarios'!$C$6*(1+$E560)^3*$G560+'Sensitivity &amp; Scenarios'!$C$11*'Sensitivity &amp; Scenarios'!$C$6*((1+$E560)^3-(1+$E560)^2))/(1+$C560)^('Sensitivity &amp; Scenarios'!$C$18+2)+('Sensitivity &amp; Scenarios'!$C$6*(1+$E560)^4*$G560+'Sensitivity &amp; Scenarios'!$C$11*'Sensitivity &amp; Scenarios'!$C$6*((1+$E560)^4-(1+$E560)^3))/(1+$C560)^('Sensitivity &amp; Scenarios'!$C$18+3)+('Sensitivity &amp; Scenarios'!$C$6*(1+$E560)^5*$G560+'Sensitivity &amp; Scenarios'!$C$11*'Sensitivity &amp; Scenarios'!$C$6*((1+$E560)^5-(1+$E560)^4))/(1+$C560)^('Sensitivity &amp; Scenarios'!$C$18+4)</f>
        <v>25557.38037134934</v>
      </c>
      <c r="I560" s="209">
        <f>('Sensitivity &amp; Scenarios'!$C$6*(1+$E560)^5*$G560+'Sensitivity &amp; Scenarios'!$C$11*'Sensitivity &amp; Scenarios'!$C$6*((1+$E560)^5-(1+$E560)^4))*(1+$D560)/($C560-$D560)/(1+$C560)^('Sensitivity &amp; Scenarios'!$C$18+4)</f>
        <v>74600.038792403822</v>
      </c>
      <c r="J560" s="209">
        <f>($H560+$I560-'Sensitivity &amp; Scenarios'!$C$15+'Sensitivity &amp; Scenarios'!$C$16)/'Sensitivity &amp; Scenarios'!$C$17</f>
        <v>2394.7522773784067</v>
      </c>
    </row>
    <row r="561" spans="2:10" x14ac:dyDescent="0.3">
      <c r="B561" s="127">
        <v>531</v>
      </c>
      <c r="C561" s="206">
        <f>$D$7+0.555146*$E$7</f>
        <v>0.14310371943997799</v>
      </c>
      <c r="D561" s="206">
        <f>MIN($D$8+0.044217*$E$8,'Debt &amp; Cost of Capital'!$C$38)</f>
        <v>5.5265302000000002E-2</v>
      </c>
      <c r="E561" s="207">
        <f>$D$9+-0.809126*$E$9</f>
        <v>0.14294731770254634</v>
      </c>
      <c r="F561" s="207">
        <f>$D$10+0.067671*$E$10</f>
        <v>0.14581205199999991</v>
      </c>
      <c r="G561" s="208">
        <f>$F561*(1-'Sensitivity &amp; Scenarios'!$C$12)+'Sensitivity &amp; Scenarios'!$C$9*'Sensitivity &amp; Scenarios'!$C$12-'Sensitivity &amp; Scenarios'!$C$10</f>
        <v>7.830657660006464E-2</v>
      </c>
      <c r="H561" s="209">
        <f>('Sensitivity &amp; Scenarios'!$C$6*(1+$E561)^1*$G561+'Sensitivity &amp; Scenarios'!$C$11*'Sensitivity &amp; Scenarios'!$C$6*((1+$E561)^1-(1+$E561)^0))*'Sensitivity &amp; Scenarios'!$C$18/(1+$C561)^'Sensitivity &amp; Scenarios'!$C$18+('Sensitivity &amp; Scenarios'!$C$6*(1+$E561)^2*$G561+'Sensitivity &amp; Scenarios'!$C$11*'Sensitivity &amp; Scenarios'!$C$6*((1+$E561)^2-(1+$E561)^1))/(1+$C561)^('Sensitivity &amp; Scenarios'!$C$18+1)+('Sensitivity &amp; Scenarios'!$C$6*(1+$E561)^3*$G561+'Sensitivity &amp; Scenarios'!$C$11*'Sensitivity &amp; Scenarios'!$C$6*((1+$E561)^3-(1+$E561)^2))/(1+$C561)^('Sensitivity &amp; Scenarios'!$C$18+2)+('Sensitivity &amp; Scenarios'!$C$6*(1+$E561)^4*$G561+'Sensitivity &amp; Scenarios'!$C$11*'Sensitivity &amp; Scenarios'!$C$6*((1+$E561)^4-(1+$E561)^3))/(1+$C561)^('Sensitivity &amp; Scenarios'!$C$18+3)+('Sensitivity &amp; Scenarios'!$C$6*(1+$E561)^5*$G561+'Sensitivity &amp; Scenarios'!$C$11*'Sensitivity &amp; Scenarios'!$C$6*((1+$E561)^5-(1+$E561)^4))/(1+$C561)^('Sensitivity &amp; Scenarios'!$C$18+4)</f>
        <v>21167.223424861128</v>
      </c>
      <c r="I561" s="209">
        <f>('Sensitivity &amp; Scenarios'!$C$6*(1+$E561)^5*$G561+'Sensitivity &amp; Scenarios'!$C$11*'Sensitivity &amp; Scenarios'!$C$6*((1+$E561)^5-(1+$E561)^4))*(1+$D561)/($C561-$D561)/(1+$C561)^('Sensitivity &amp; Scenarios'!$C$18+4)</f>
        <v>54875.800304695171</v>
      </c>
      <c r="J561" s="209">
        <f>($H561+$I561-'Sensitivity &amp; Scenarios'!$C$15+'Sensitivity &amp; Scenarios'!$C$16)/'Sensitivity &amp; Scenarios'!$C$17</f>
        <v>1887.1737615655793</v>
      </c>
    </row>
    <row r="562" spans="2:10" x14ac:dyDescent="0.3">
      <c r="B562" s="127">
        <v>532</v>
      </c>
      <c r="C562" s="206">
        <f>$D$7+-0.028018*$E$7</f>
        <v>0.13727207943997799</v>
      </c>
      <c r="D562" s="206">
        <f>MIN($D$8+0.193182*$E$8,'Debt &amp; Cost of Capital'!$C$38)</f>
        <v>5.6159092000000001E-2</v>
      </c>
      <c r="E562" s="207">
        <f>$D$9+2.206525*$E$9</f>
        <v>0.23341684770254634</v>
      </c>
      <c r="F562" s="207">
        <f>$D$10+-0.523773*$E$10</f>
        <v>0.1387147239999999</v>
      </c>
      <c r="G562" s="208">
        <f>$F562*(1-'Sensitivity &amp; Scenarios'!$C$12)+'Sensitivity &amp; Scenarios'!$C$9*'Sensitivity &amp; Scenarios'!$C$12-'Sensitivity &amp; Scenarios'!$C$10</f>
        <v>7.2995646057664634E-2</v>
      </c>
      <c r="H562" s="209">
        <f>('Sensitivity &amp; Scenarios'!$C$6*(1+$E562)^1*$G562+'Sensitivity &amp; Scenarios'!$C$11*'Sensitivity &amp; Scenarios'!$C$6*((1+$E562)^1-(1+$E562)^0))*'Sensitivity &amp; Scenarios'!$C$18/(1+$C562)^'Sensitivity &amp; Scenarios'!$C$18+('Sensitivity &amp; Scenarios'!$C$6*(1+$E562)^2*$G562+'Sensitivity &amp; Scenarios'!$C$11*'Sensitivity &amp; Scenarios'!$C$6*((1+$E562)^2-(1+$E562)^1))/(1+$C562)^('Sensitivity &amp; Scenarios'!$C$18+1)+('Sensitivity &amp; Scenarios'!$C$6*(1+$E562)^3*$G562+'Sensitivity &amp; Scenarios'!$C$11*'Sensitivity &amp; Scenarios'!$C$6*((1+$E562)^3-(1+$E562)^2))/(1+$C562)^('Sensitivity &amp; Scenarios'!$C$18+2)+('Sensitivity &amp; Scenarios'!$C$6*(1+$E562)^4*$G562+'Sensitivity &amp; Scenarios'!$C$11*'Sensitivity &amp; Scenarios'!$C$6*((1+$E562)^4-(1+$E562)^3))/(1+$C562)^('Sensitivity &amp; Scenarios'!$C$18+3)+('Sensitivity &amp; Scenarios'!$C$6*(1+$E562)^5*$G562+'Sensitivity &amp; Scenarios'!$C$11*'Sensitivity &amp; Scenarios'!$C$6*((1+$E562)^5-(1+$E562)^4))/(1+$C562)^('Sensitivity &amp; Scenarios'!$C$18+4)</f>
        <v>27997.177198137761</v>
      </c>
      <c r="I562" s="209">
        <f>('Sensitivity &amp; Scenarios'!$C$6*(1+$E562)^5*$G562+'Sensitivity &amp; Scenarios'!$C$11*'Sensitivity &amp; Scenarios'!$C$6*((1+$E562)^5-(1+$E562)^4))*(1+$D562)/($C562-$D562)/(1+$C562)^('Sensitivity &amp; Scenarios'!$C$18+4)</f>
        <v>90828.438374303514</v>
      </c>
      <c r="J562" s="209">
        <f>($H562+$I562-'Sensitivity &amp; Scenarios'!$C$15+'Sensitivity &amp; Scenarios'!$C$16)/'Sensitivity &amp; Scenarios'!$C$17</f>
        <v>2787.6949680579687</v>
      </c>
    </row>
    <row r="563" spans="2:10" x14ac:dyDescent="0.3">
      <c r="B563" s="127">
        <v>533</v>
      </c>
      <c r="C563" s="206">
        <f>$D$7+0.422289*$E$7</f>
        <v>0.14177514943997799</v>
      </c>
      <c r="D563" s="206">
        <f>MIN($D$8+1.068462*$E$8,'Debt &amp; Cost of Capital'!$C$38)</f>
        <v>6.1410772000000002E-2</v>
      </c>
      <c r="E563" s="207">
        <f>$D$9+0.098002*$E$9</f>
        <v>0.17016115770254633</v>
      </c>
      <c r="F563" s="207">
        <f>$D$10+2.337845*$E$10</f>
        <v>0.17305413999999991</v>
      </c>
      <c r="G563" s="208">
        <f>$F563*(1-'Sensitivity &amp; Scenarios'!$C$12)+'Sensitivity &amp; Scenarios'!$C$9*'Sensitivity &amp; Scenarios'!$C$12-'Sensitivity &amp; Scenarios'!$C$10</f>
        <v>9.869183105046464E-2</v>
      </c>
      <c r="H563" s="209">
        <f>('Sensitivity &amp; Scenarios'!$C$6*(1+$E563)^1*$G563+'Sensitivity &amp; Scenarios'!$C$11*'Sensitivity &amp; Scenarios'!$C$6*((1+$E563)^1-(1+$E563)^0))*'Sensitivity &amp; Scenarios'!$C$18/(1+$C563)^'Sensitivity &amp; Scenarios'!$C$18+('Sensitivity &amp; Scenarios'!$C$6*(1+$E563)^2*$G563+'Sensitivity &amp; Scenarios'!$C$11*'Sensitivity &amp; Scenarios'!$C$6*((1+$E563)^2-(1+$E563)^1))/(1+$C563)^('Sensitivity &amp; Scenarios'!$C$18+1)+('Sensitivity &amp; Scenarios'!$C$6*(1+$E563)^3*$G563+'Sensitivity &amp; Scenarios'!$C$11*'Sensitivity &amp; Scenarios'!$C$6*((1+$E563)^3-(1+$E563)^2))/(1+$C563)^('Sensitivity &amp; Scenarios'!$C$18+2)+('Sensitivity &amp; Scenarios'!$C$6*(1+$E563)^4*$G563+'Sensitivity &amp; Scenarios'!$C$11*'Sensitivity &amp; Scenarios'!$C$6*((1+$E563)^4-(1+$E563)^3))/(1+$C563)^('Sensitivity &amp; Scenarios'!$C$18+3)+('Sensitivity &amp; Scenarios'!$C$6*(1+$E563)^5*$G563+'Sensitivity &amp; Scenarios'!$C$11*'Sensitivity &amp; Scenarios'!$C$6*((1+$E563)^5-(1+$E563)^4))/(1+$C563)^('Sensitivity &amp; Scenarios'!$C$18+4)</f>
        <v>28511.196075622756</v>
      </c>
      <c r="I563" s="209">
        <f>('Sensitivity &amp; Scenarios'!$C$6*(1+$E563)^5*$G563+'Sensitivity &amp; Scenarios'!$C$11*'Sensitivity &amp; Scenarios'!$C$6*((1+$E563)^5-(1+$E563)^4))*(1+$D563)/($C563-$D563)/(1+$C563)^('Sensitivity &amp; Scenarios'!$C$18+4)</f>
        <v>84993.737747204243</v>
      </c>
      <c r="J563" s="209">
        <f>($H563+$I563-'Sensitivity &amp; Scenarios'!$C$15+'Sensitivity &amp; Scenarios'!$C$16)/'Sensitivity &amp; Scenarios'!$C$17</f>
        <v>2675.7011279904805</v>
      </c>
    </row>
    <row r="564" spans="2:10" x14ac:dyDescent="0.3">
      <c r="B564" s="127">
        <v>534</v>
      </c>
      <c r="C564" s="206">
        <f>$D$7+-0.378039*$E$7</f>
        <v>0.13377186943997799</v>
      </c>
      <c r="D564" s="206">
        <f>MIN($D$8+0.324089*$E$8,'Debt &amp; Cost of Capital'!$C$38)</f>
        <v>5.6944533999999998E-2</v>
      </c>
      <c r="E564" s="207">
        <f>$D$9+-0.798806*$E$9</f>
        <v>0.14325691770254634</v>
      </c>
      <c r="F564" s="207">
        <f>$D$10+-0.351525*$E$10</f>
        <v>0.1407816999999999</v>
      </c>
      <c r="G564" s="208">
        <f>$F564*(1-'Sensitivity &amp; Scenarios'!$C$12)+'Sensitivity &amp; Scenarios'!$C$9*'Sensitivity &amp; Scenarios'!$C$12-'Sensitivity &amp; Scenarios'!$C$10</f>
        <v>7.4542364198464633E-2</v>
      </c>
      <c r="H564" s="209">
        <f>('Sensitivity &amp; Scenarios'!$C$6*(1+$E564)^1*$G564+'Sensitivity &amp; Scenarios'!$C$11*'Sensitivity &amp; Scenarios'!$C$6*((1+$E564)^1-(1+$E564)^0))*'Sensitivity &amp; Scenarios'!$C$18/(1+$C564)^'Sensitivity &amp; Scenarios'!$C$18+('Sensitivity &amp; Scenarios'!$C$6*(1+$E564)^2*$G564+'Sensitivity &amp; Scenarios'!$C$11*'Sensitivity &amp; Scenarios'!$C$6*((1+$E564)^2-(1+$E564)^1))/(1+$C564)^('Sensitivity &amp; Scenarios'!$C$18+1)+('Sensitivity &amp; Scenarios'!$C$6*(1+$E564)^3*$G564+'Sensitivity &amp; Scenarios'!$C$11*'Sensitivity &amp; Scenarios'!$C$6*((1+$E564)^3-(1+$E564)^2))/(1+$C564)^('Sensitivity &amp; Scenarios'!$C$18+2)+('Sensitivity &amp; Scenarios'!$C$6*(1+$E564)^4*$G564+'Sensitivity &amp; Scenarios'!$C$11*'Sensitivity &amp; Scenarios'!$C$6*((1+$E564)^4-(1+$E564)^3))/(1+$C564)^('Sensitivity &amp; Scenarios'!$C$18+3)+('Sensitivity &amp; Scenarios'!$C$6*(1+$E564)^5*$G564+'Sensitivity &amp; Scenarios'!$C$11*'Sensitivity &amp; Scenarios'!$C$6*((1+$E564)^5-(1+$E564)^4))/(1+$C564)^('Sensitivity &amp; Scenarios'!$C$18+4)</f>
        <v>20796.867915959192</v>
      </c>
      <c r="I564" s="209">
        <f>('Sensitivity &amp; Scenarios'!$C$6*(1+$E564)^5*$G564+'Sensitivity &amp; Scenarios'!$C$11*'Sensitivity &amp; Scenarios'!$C$6*((1+$E564)^5-(1+$E564)^4))*(1+$D564)/($C564-$D564)/(1+$C564)^('Sensitivity &amp; Scenarios'!$C$18+4)</f>
        <v>62707.450437618769</v>
      </c>
      <c r="J564" s="209">
        <f>($H564+$I564-'Sensitivity &amp; Scenarios'!$C$15+'Sensitivity &amp; Scenarios'!$C$16)/'Sensitivity &amp; Scenarios'!$C$17</f>
        <v>2044.2248832342771</v>
      </c>
    </row>
    <row r="565" spans="2:10" x14ac:dyDescent="0.3">
      <c r="B565" s="127">
        <v>535</v>
      </c>
      <c r="C565" s="206">
        <f>$D$7+0.248934*$E$7</f>
        <v>0.14004159943997799</v>
      </c>
      <c r="D565" s="206">
        <f>MIN($D$8+0.846304*$E$8,'Debt &amp; Cost of Capital'!$C$38)</f>
        <v>6.0077824000000002E-2</v>
      </c>
      <c r="E565" s="207">
        <f>$D$9+0.319095*$E$9</f>
        <v>0.17679394770254633</v>
      </c>
      <c r="F565" s="207">
        <f>$D$10+1.259115*$E$10</f>
        <v>0.16010937999999991</v>
      </c>
      <c r="G565" s="208">
        <f>$F565*(1-'Sensitivity &amp; Scenarios'!$C$12)+'Sensitivity &amp; Scenarios'!$C$9*'Sensitivity &amp; Scenarios'!$C$12-'Sensitivity &amp; Scenarios'!$C$10</f>
        <v>8.9005267142464636E-2</v>
      </c>
      <c r="H565" s="209">
        <f>('Sensitivity &amp; Scenarios'!$C$6*(1+$E565)^1*$G565+'Sensitivity &amp; Scenarios'!$C$11*'Sensitivity &amp; Scenarios'!$C$6*((1+$E565)^1-(1+$E565)^0))*'Sensitivity &amp; Scenarios'!$C$18/(1+$C565)^'Sensitivity &amp; Scenarios'!$C$18+('Sensitivity &amp; Scenarios'!$C$6*(1+$E565)^2*$G565+'Sensitivity &amp; Scenarios'!$C$11*'Sensitivity &amp; Scenarios'!$C$6*((1+$E565)^2-(1+$E565)^1))/(1+$C565)^('Sensitivity &amp; Scenarios'!$C$18+1)+('Sensitivity &amp; Scenarios'!$C$6*(1+$E565)^3*$G565+'Sensitivity &amp; Scenarios'!$C$11*'Sensitivity &amp; Scenarios'!$C$6*((1+$E565)^3-(1+$E565)^2))/(1+$C565)^('Sensitivity &amp; Scenarios'!$C$18+2)+('Sensitivity &amp; Scenarios'!$C$6*(1+$E565)^4*$G565+'Sensitivity &amp; Scenarios'!$C$11*'Sensitivity &amp; Scenarios'!$C$6*((1+$E565)^4-(1+$E565)^3))/(1+$C565)^('Sensitivity &amp; Scenarios'!$C$18+3)+('Sensitivity &amp; Scenarios'!$C$6*(1+$E565)^5*$G565+'Sensitivity &amp; Scenarios'!$C$11*'Sensitivity &amp; Scenarios'!$C$6*((1+$E565)^5-(1+$E565)^4))/(1+$C565)^('Sensitivity &amp; Scenarios'!$C$18+4)</f>
        <v>26830.742359018805</v>
      </c>
      <c r="I565" s="209">
        <f>('Sensitivity &amp; Scenarios'!$C$6*(1+$E565)^5*$G565+'Sensitivity &amp; Scenarios'!$C$11*'Sensitivity &amp; Scenarios'!$C$6*((1+$E565)^5-(1+$E565)^4))*(1+$D565)/($C565-$D565)/(1+$C565)^('Sensitivity &amp; Scenarios'!$C$18+4)</f>
        <v>81321.521744272861</v>
      </c>
      <c r="J565" s="209">
        <f>($H565+$I565-'Sensitivity &amp; Scenarios'!$C$15+'Sensitivity &amp; Scenarios'!$C$16)/'Sensitivity &amp; Scenarios'!$C$17</f>
        <v>2563.0339802988929</v>
      </c>
    </row>
    <row r="566" spans="2:10" x14ac:dyDescent="0.3">
      <c r="B566" s="127">
        <v>536</v>
      </c>
      <c r="C566" s="206">
        <f>$D$7+-0.094965*$E$7</f>
        <v>0.13660260943997798</v>
      </c>
      <c r="D566" s="206">
        <f>MIN($D$8+-0.332169*$E$8,'Debt &amp; Cost of Capital'!$C$38)</f>
        <v>5.3006985999999999E-2</v>
      </c>
      <c r="E566" s="207">
        <f>$D$9+2.703985*$E$9</f>
        <v>0.24834064770254632</v>
      </c>
      <c r="F566" s="207">
        <f>$D$10+0.394238*$E$10</f>
        <v>0.14973085599999991</v>
      </c>
      <c r="G566" s="208">
        <f>$F566*(1-'Sensitivity &amp; Scenarios'!$C$12)+'Sensitivity &amp; Scenarios'!$C$9*'Sensitivity &amp; Scenarios'!$C$12-'Sensitivity &amp; Scenarios'!$C$10</f>
        <v>8.1239017633264646E-2</v>
      </c>
      <c r="H566" s="209">
        <f>('Sensitivity &amp; Scenarios'!$C$6*(1+$E566)^1*$G566+'Sensitivity &amp; Scenarios'!$C$11*'Sensitivity &amp; Scenarios'!$C$6*((1+$E566)^1-(1+$E566)^0))*'Sensitivity &amp; Scenarios'!$C$18/(1+$C566)^'Sensitivity &amp; Scenarios'!$C$18+('Sensitivity &amp; Scenarios'!$C$6*(1+$E566)^2*$G566+'Sensitivity &amp; Scenarios'!$C$11*'Sensitivity &amp; Scenarios'!$C$6*((1+$E566)^2-(1+$E566)^1))/(1+$C566)^('Sensitivity &amp; Scenarios'!$C$18+1)+('Sensitivity &amp; Scenarios'!$C$6*(1+$E566)^3*$G566+'Sensitivity &amp; Scenarios'!$C$11*'Sensitivity &amp; Scenarios'!$C$6*((1+$E566)^3-(1+$E566)^2))/(1+$C566)^('Sensitivity &amp; Scenarios'!$C$18+2)+('Sensitivity &amp; Scenarios'!$C$6*(1+$E566)^4*$G566+'Sensitivity &amp; Scenarios'!$C$11*'Sensitivity &amp; Scenarios'!$C$6*((1+$E566)^4-(1+$E566)^3))/(1+$C566)^('Sensitivity &amp; Scenarios'!$C$18+3)+('Sensitivity &amp; Scenarios'!$C$6*(1+$E566)^5*$G566+'Sensitivity &amp; Scenarios'!$C$11*'Sensitivity &amp; Scenarios'!$C$6*((1+$E566)^5-(1+$E566)^4))/(1+$C566)^('Sensitivity &amp; Scenarios'!$C$18+4)</f>
        <v>32083.33865689618</v>
      </c>
      <c r="I566" s="209">
        <f>('Sensitivity &amp; Scenarios'!$C$6*(1+$E566)^5*$G566+'Sensitivity &amp; Scenarios'!$C$11*'Sensitivity &amp; Scenarios'!$C$6*((1+$E566)^5-(1+$E566)^4))*(1+$D566)/($C566-$D566)/(1+$C566)^('Sensitivity &amp; Scenarios'!$C$18+4)</f>
        <v>102854.28089266219</v>
      </c>
      <c r="J566" s="209">
        <f>($H566+$I566-'Sensitivity &amp; Scenarios'!$C$15+'Sensitivity &amp; Scenarios'!$C$16)/'Sensitivity &amp; Scenarios'!$C$17</f>
        <v>3126.8329359905179</v>
      </c>
    </row>
    <row r="567" spans="2:10" x14ac:dyDescent="0.3">
      <c r="B567" s="127">
        <v>537</v>
      </c>
      <c r="C567" s="206">
        <f>$D$7+-0.719482*$E$7</f>
        <v>0.13035743943997799</v>
      </c>
      <c r="D567" s="206">
        <f>MIN($D$8+-0.694264*$E$8,'Debt &amp; Cost of Capital'!$C$38)</f>
        <v>5.0834416E-2</v>
      </c>
      <c r="E567" s="207">
        <f>$D$9+-0.94268*$E$9</f>
        <v>0.13894069770254636</v>
      </c>
      <c r="F567" s="207">
        <f>$D$10+0.936569*$E$10</f>
        <v>0.15623882799999991</v>
      </c>
      <c r="G567" s="208">
        <f>$F567*(1-'Sensitivity &amp; Scenarios'!$C$12)+'Sensitivity &amp; Scenarios'!$C$9*'Sensitivity &amp; Scenarios'!$C$12-'Sensitivity &amp; Scenarios'!$C$10</f>
        <v>8.6108933080864647E-2</v>
      </c>
      <c r="H567" s="209">
        <f>('Sensitivity &amp; Scenarios'!$C$6*(1+$E567)^1*$G567+'Sensitivity &amp; Scenarios'!$C$11*'Sensitivity &amp; Scenarios'!$C$6*((1+$E567)^1-(1+$E567)^0))*'Sensitivity &amp; Scenarios'!$C$18/(1+$C567)^'Sensitivity &amp; Scenarios'!$C$18+('Sensitivity &amp; Scenarios'!$C$6*(1+$E567)^2*$G567+'Sensitivity &amp; Scenarios'!$C$11*'Sensitivity &amp; Scenarios'!$C$6*((1+$E567)^2-(1+$E567)^1))/(1+$C567)^('Sensitivity &amp; Scenarios'!$C$18+1)+('Sensitivity &amp; Scenarios'!$C$6*(1+$E567)^3*$G567+'Sensitivity &amp; Scenarios'!$C$11*'Sensitivity &amp; Scenarios'!$C$6*((1+$E567)^3-(1+$E567)^2))/(1+$C567)^('Sensitivity &amp; Scenarios'!$C$18+2)+('Sensitivity &amp; Scenarios'!$C$6*(1+$E567)^4*$G567+'Sensitivity &amp; Scenarios'!$C$11*'Sensitivity &amp; Scenarios'!$C$6*((1+$E567)^4-(1+$E567)^3))/(1+$C567)^('Sensitivity &amp; Scenarios'!$C$18+3)+('Sensitivity &amp; Scenarios'!$C$6*(1+$E567)^5*$G567+'Sensitivity &amp; Scenarios'!$C$11*'Sensitivity &amp; Scenarios'!$C$6*((1+$E567)^5-(1+$E567)^4))/(1+$C567)^('Sensitivity &amp; Scenarios'!$C$18+4)</f>
        <v>23351.640415060603</v>
      </c>
      <c r="I567" s="209">
        <f>('Sensitivity &amp; Scenarios'!$C$6*(1+$E567)^5*$G567+'Sensitivity &amp; Scenarios'!$C$11*'Sensitivity &amp; Scenarios'!$C$6*((1+$E567)^5-(1+$E567)^4))*(1+$D567)/($C567-$D567)/(1+$C567)^('Sensitivity &amp; Scenarios'!$C$18+4)</f>
        <v>67536.017206720018</v>
      </c>
      <c r="J567" s="209">
        <f>($H567+$I567-'Sensitivity &amp; Scenarios'!$C$15+'Sensitivity &amp; Scenarios'!$C$16)/'Sensitivity &amp; Scenarios'!$C$17</f>
        <v>2199.6351400546628</v>
      </c>
    </row>
    <row r="568" spans="2:10" x14ac:dyDescent="0.3">
      <c r="B568" s="127">
        <v>538</v>
      </c>
      <c r="C568" s="206">
        <f>$D$7+-0.364377*$E$7</f>
        <v>0.13390848943997799</v>
      </c>
      <c r="D568" s="206">
        <f>MIN($D$8+0.127362*$E$8,'Debt &amp; Cost of Capital'!$C$38)</f>
        <v>5.5764172000000001E-2</v>
      </c>
      <c r="E568" s="207">
        <f>$D$9+-0.063509*$E$9</f>
        <v>0.16531582770254635</v>
      </c>
      <c r="F568" s="207">
        <f>$D$10+0.731492*$E$10</f>
        <v>0.15377790399999991</v>
      </c>
      <c r="G568" s="208">
        <f>$F568*(1-'Sensitivity &amp; Scenarios'!$C$12)+'Sensitivity &amp; Scenarios'!$C$9*'Sensitivity &amp; Scenarios'!$C$12-'Sensitivity &amp; Scenarios'!$C$10</f>
        <v>8.4267423651664633E-2</v>
      </c>
      <c r="H568" s="209">
        <f>('Sensitivity &amp; Scenarios'!$C$6*(1+$E568)^1*$G568+'Sensitivity &amp; Scenarios'!$C$11*'Sensitivity &amp; Scenarios'!$C$6*((1+$E568)^1-(1+$E568)^0))*'Sensitivity &amp; Scenarios'!$C$18/(1+$C568)^'Sensitivity &amp; Scenarios'!$C$18+('Sensitivity &amp; Scenarios'!$C$6*(1+$E568)^2*$G568+'Sensitivity &amp; Scenarios'!$C$11*'Sensitivity &amp; Scenarios'!$C$6*((1+$E568)^2-(1+$E568)^1))/(1+$C568)^('Sensitivity &amp; Scenarios'!$C$18+1)+('Sensitivity &amp; Scenarios'!$C$6*(1+$E568)^3*$G568+'Sensitivity &amp; Scenarios'!$C$11*'Sensitivity &amp; Scenarios'!$C$6*((1+$E568)^3-(1+$E568)^2))/(1+$C568)^('Sensitivity &amp; Scenarios'!$C$18+2)+('Sensitivity &amp; Scenarios'!$C$6*(1+$E568)^4*$G568+'Sensitivity &amp; Scenarios'!$C$11*'Sensitivity &amp; Scenarios'!$C$6*((1+$E568)^4-(1+$E568)^3))/(1+$C568)^('Sensitivity &amp; Scenarios'!$C$18+3)+('Sensitivity &amp; Scenarios'!$C$6*(1+$E568)^5*$G568+'Sensitivity &amp; Scenarios'!$C$11*'Sensitivity &amp; Scenarios'!$C$6*((1+$E568)^5-(1+$E568)^4))/(1+$C568)^('Sensitivity &amp; Scenarios'!$C$18+4)</f>
        <v>24985.626433483034</v>
      </c>
      <c r="I568" s="209">
        <f>('Sensitivity &amp; Scenarios'!$C$6*(1+$E568)^5*$G568+'Sensitivity &amp; Scenarios'!$C$11*'Sensitivity &amp; Scenarios'!$C$6*((1+$E568)^5-(1+$E568)^4))*(1+$D568)/($C568-$D568)/(1+$C568)^('Sensitivity &amp; Scenarios'!$C$18+4)</f>
        <v>76571.245644400668</v>
      </c>
      <c r="J568" s="209">
        <f>($H568+$I568-'Sensitivity &amp; Scenarios'!$C$15+'Sensitivity &amp; Scenarios'!$C$16)/'Sensitivity &amp; Scenarios'!$C$17</f>
        <v>2424.2090487514502</v>
      </c>
    </row>
    <row r="569" spans="2:10" x14ac:dyDescent="0.3">
      <c r="B569" s="127">
        <v>539</v>
      </c>
      <c r="C569" s="206">
        <f>$D$7+-0.846744*$E$7</f>
        <v>0.12908481943997799</v>
      </c>
      <c r="D569" s="206">
        <f>MIN($D$8+-1.075572*$E$8,'Debt &amp; Cost of Capital'!$C$38)</f>
        <v>4.8546567999999998E-2</v>
      </c>
      <c r="E569" s="207">
        <f>$D$9+0.224297*$E$9</f>
        <v>0.17395000770254634</v>
      </c>
      <c r="F569" s="207">
        <f>$D$10+0.600959*$E$10</f>
        <v>0.15221150799999991</v>
      </c>
      <c r="G569" s="208">
        <f>$F569*(1-'Sensitivity &amp; Scenarios'!$C$12)+'Sensitivity &amp; Scenarios'!$C$9*'Sensitivity &amp; Scenarios'!$C$12-'Sensitivity &amp; Scenarios'!$C$10</f>
        <v>8.3095289524864641E-2</v>
      </c>
      <c r="H569" s="209">
        <f>('Sensitivity &amp; Scenarios'!$C$6*(1+$E569)^1*$G569+'Sensitivity &amp; Scenarios'!$C$11*'Sensitivity &amp; Scenarios'!$C$6*((1+$E569)^1-(1+$E569)^0))*'Sensitivity &amp; Scenarios'!$C$18/(1+$C569)^'Sensitivity &amp; Scenarios'!$C$18+('Sensitivity &amp; Scenarios'!$C$6*(1+$E569)^2*$G569+'Sensitivity &amp; Scenarios'!$C$11*'Sensitivity &amp; Scenarios'!$C$6*((1+$E569)^2-(1+$E569)^1))/(1+$C569)^('Sensitivity &amp; Scenarios'!$C$18+1)+('Sensitivity &amp; Scenarios'!$C$6*(1+$E569)^3*$G569+'Sensitivity &amp; Scenarios'!$C$11*'Sensitivity &amp; Scenarios'!$C$6*((1+$E569)^3-(1+$E569)^2))/(1+$C569)^('Sensitivity &amp; Scenarios'!$C$18+2)+('Sensitivity &amp; Scenarios'!$C$6*(1+$E569)^4*$G569+'Sensitivity &amp; Scenarios'!$C$11*'Sensitivity &amp; Scenarios'!$C$6*((1+$E569)^4-(1+$E569)^3))/(1+$C569)^('Sensitivity &amp; Scenarios'!$C$18+3)+('Sensitivity &amp; Scenarios'!$C$6*(1+$E569)^5*$G569+'Sensitivity &amp; Scenarios'!$C$11*'Sensitivity &amp; Scenarios'!$C$6*((1+$E569)^5-(1+$E569)^4))/(1+$C569)^('Sensitivity &amp; Scenarios'!$C$18+4)</f>
        <v>25775.37017643232</v>
      </c>
      <c r="I569" s="209">
        <f>('Sensitivity &amp; Scenarios'!$C$6*(1+$E569)^5*$G569+'Sensitivity &amp; Scenarios'!$C$11*'Sensitivity &amp; Scenarios'!$C$6*((1+$E569)^5-(1+$E569)^4))*(1+$D569)/($C569-$D569)/(1+$C569)^('Sensitivity &amp; Scenarios'!$C$18+4)</f>
        <v>77715.199327046343</v>
      </c>
      <c r="J569" s="209">
        <f>($H569+$I569-'Sensitivity &amp; Scenarios'!$C$15+'Sensitivity &amp; Scenarios'!$C$16)/'Sensitivity &amp; Scenarios'!$C$17</f>
        <v>2464.9110133515123</v>
      </c>
    </row>
    <row r="570" spans="2:10" x14ac:dyDescent="0.3">
      <c r="B570" s="127">
        <v>540</v>
      </c>
      <c r="C570" s="206">
        <f>$D$7+0.332532*$E$7</f>
        <v>0.14087757943997797</v>
      </c>
      <c r="D570" s="206">
        <f>MIN($D$8+-0.809454*$E$8,'Debt &amp; Cost of Capital'!$C$38)</f>
        <v>5.0143276000000001E-2</v>
      </c>
      <c r="E570" s="207">
        <f>$D$9+0.677485*$E$9</f>
        <v>0.18754564770254634</v>
      </c>
      <c r="F570" s="207">
        <f>$D$10+-0.743861*$E$10</f>
        <v>0.1360736679999999</v>
      </c>
      <c r="G570" s="208">
        <f>$F570*(1-'Sensitivity &amp; Scenarios'!$C$12)+'Sensitivity &amp; Scenarios'!$C$9*'Sensitivity &amp; Scenarios'!$C$12-'Sensitivity &amp; Scenarios'!$C$10</f>
        <v>7.1019343852864625E-2</v>
      </c>
      <c r="H570" s="209">
        <f>('Sensitivity &amp; Scenarios'!$C$6*(1+$E570)^1*$G570+'Sensitivity &amp; Scenarios'!$C$11*'Sensitivity &amp; Scenarios'!$C$6*((1+$E570)^1-(1+$E570)^0))*'Sensitivity &amp; Scenarios'!$C$18/(1+$C570)^'Sensitivity &amp; Scenarios'!$C$18+('Sensitivity &amp; Scenarios'!$C$6*(1+$E570)^2*$G570+'Sensitivity &amp; Scenarios'!$C$11*'Sensitivity &amp; Scenarios'!$C$6*((1+$E570)^2-(1+$E570)^1))/(1+$C570)^('Sensitivity &amp; Scenarios'!$C$18+1)+('Sensitivity &amp; Scenarios'!$C$6*(1+$E570)^3*$G570+'Sensitivity &amp; Scenarios'!$C$11*'Sensitivity &amp; Scenarios'!$C$6*((1+$E570)^3-(1+$E570)^2))/(1+$C570)^('Sensitivity &amp; Scenarios'!$C$18+2)+('Sensitivity &amp; Scenarios'!$C$6*(1+$E570)^4*$G570+'Sensitivity &amp; Scenarios'!$C$11*'Sensitivity &amp; Scenarios'!$C$6*((1+$E570)^4-(1+$E570)^3))/(1+$C570)^('Sensitivity &amp; Scenarios'!$C$18+3)+('Sensitivity &amp; Scenarios'!$C$6*(1+$E570)^5*$G570+'Sensitivity &amp; Scenarios'!$C$11*'Sensitivity &amp; Scenarios'!$C$6*((1+$E570)^5-(1+$E570)^4))/(1+$C570)^('Sensitivity &amp; Scenarios'!$C$18+4)</f>
        <v>23093.284311685511</v>
      </c>
      <c r="I570" s="209">
        <f>('Sensitivity &amp; Scenarios'!$C$6*(1+$E570)^5*$G570+'Sensitivity &amp; Scenarios'!$C$11*'Sensitivity &amp; Scenarios'!$C$6*((1+$E570)^5-(1+$E570)^4))*(1+$D570)/($C570-$D570)/(1+$C570)^('Sensitivity &amp; Scenarios'!$C$18+4)</f>
        <v>62021.521555081512</v>
      </c>
      <c r="J570" s="209">
        <f>($H570+$I570-'Sensitivity &amp; Scenarios'!$C$15+'Sensitivity &amp; Scenarios'!$C$16)/'Sensitivity &amp; Scenarios'!$C$17</f>
        <v>2078.1236746806658</v>
      </c>
    </row>
    <row r="571" spans="2:10" x14ac:dyDescent="0.3">
      <c r="B571" s="127">
        <v>541</v>
      </c>
      <c r="C571" s="206">
        <f>$D$7+-0.521539*$E$7</f>
        <v>0.13233686943997799</v>
      </c>
      <c r="D571" s="206">
        <f>MIN($D$8+-0.943954*$E$8,'Debt &amp; Cost of Capital'!$C$38)</f>
        <v>4.9336275999999998E-2</v>
      </c>
      <c r="E571" s="207">
        <f>$D$9+1.301158*$E$9</f>
        <v>0.20625583770254635</v>
      </c>
      <c r="F571" s="207">
        <f>$D$10+0.633422*$E$10</f>
        <v>0.1526010639999999</v>
      </c>
      <c r="G571" s="208">
        <f>$F571*(1-'Sensitivity &amp; Scenarios'!$C$12)+'Sensitivity &amp; Scenarios'!$C$9*'Sensitivity &amp; Scenarios'!$C$12-'Sensitivity &amp; Scenarios'!$C$10</f>
        <v>8.3386794279664625E-2</v>
      </c>
      <c r="H571" s="209">
        <f>('Sensitivity &amp; Scenarios'!$C$6*(1+$E571)^1*$G571+'Sensitivity &amp; Scenarios'!$C$11*'Sensitivity &amp; Scenarios'!$C$6*((1+$E571)^1-(1+$E571)^0))*'Sensitivity &amp; Scenarios'!$C$18/(1+$C571)^'Sensitivity &amp; Scenarios'!$C$18+('Sensitivity &amp; Scenarios'!$C$6*(1+$E571)^2*$G571+'Sensitivity &amp; Scenarios'!$C$11*'Sensitivity &amp; Scenarios'!$C$6*((1+$E571)^2-(1+$E571)^1))/(1+$C571)^('Sensitivity &amp; Scenarios'!$C$18+1)+('Sensitivity &amp; Scenarios'!$C$6*(1+$E571)^3*$G571+'Sensitivity &amp; Scenarios'!$C$11*'Sensitivity &amp; Scenarios'!$C$6*((1+$E571)^3-(1+$E571)^2))/(1+$C571)^('Sensitivity &amp; Scenarios'!$C$18+2)+('Sensitivity &amp; Scenarios'!$C$6*(1+$E571)^4*$G571+'Sensitivity &amp; Scenarios'!$C$11*'Sensitivity &amp; Scenarios'!$C$6*((1+$E571)^4-(1+$E571)^3))/(1+$C571)^('Sensitivity &amp; Scenarios'!$C$18+3)+('Sensitivity &amp; Scenarios'!$C$6*(1+$E571)^5*$G571+'Sensitivity &amp; Scenarios'!$C$11*'Sensitivity &amp; Scenarios'!$C$6*((1+$E571)^5-(1+$E571)^4))/(1+$C571)^('Sensitivity &amp; Scenarios'!$C$18+4)</f>
        <v>28707.793209951051</v>
      </c>
      <c r="I571" s="209">
        <f>('Sensitivity &amp; Scenarios'!$C$6*(1+$E571)^5*$G571+'Sensitivity &amp; Scenarios'!$C$11*'Sensitivity &amp; Scenarios'!$C$6*((1+$E571)^5-(1+$E571)^4))*(1+$D571)/($C571-$D571)/(1+$C571)^('Sensitivity &amp; Scenarios'!$C$18+4)</f>
        <v>87697.172288841743</v>
      </c>
      <c r="J571" s="209">
        <f>($H571+$I571-'Sensitivity &amp; Scenarios'!$C$15+'Sensitivity &amp; Scenarios'!$C$16)/'Sensitivity &amp; Scenarios'!$C$17</f>
        <v>2736.743246086025</v>
      </c>
    </row>
    <row r="572" spans="2:10" x14ac:dyDescent="0.3">
      <c r="B572" s="127">
        <v>542</v>
      </c>
      <c r="C572" s="206">
        <f>$D$7+0.604993*$E$7</f>
        <v>0.14360218943997799</v>
      </c>
      <c r="D572" s="206">
        <f>MIN($D$8+1.247211*$E$8,'Debt &amp; Cost of Capital'!$C$38)</f>
        <v>6.2483266000000003E-2</v>
      </c>
      <c r="E572" s="207">
        <f>$D$9+2.812649*$E$9</f>
        <v>0.25160056770254635</v>
      </c>
      <c r="F572" s="207">
        <f>$D$10+-1.709226*$E$10</f>
        <v>0.12448928799999991</v>
      </c>
      <c r="G572" s="208">
        <f>$F572*(1-'Sensitivity &amp; Scenarios'!$C$12)+'Sensitivity &amp; Scenarios'!$C$9*'Sensitivity &amp; Scenarios'!$C$12-'Sensitivity &amp; Scenarios'!$C$10</f>
        <v>6.2350752298864637E-2</v>
      </c>
      <c r="H572" s="209">
        <f>('Sensitivity &amp; Scenarios'!$C$6*(1+$E572)^1*$G572+'Sensitivity &amp; Scenarios'!$C$11*'Sensitivity &amp; Scenarios'!$C$6*((1+$E572)^1-(1+$E572)^0))*'Sensitivity &amp; Scenarios'!$C$18/(1+$C572)^'Sensitivity &amp; Scenarios'!$C$18+('Sensitivity &amp; Scenarios'!$C$6*(1+$E572)^2*$G572+'Sensitivity &amp; Scenarios'!$C$11*'Sensitivity &amp; Scenarios'!$C$6*((1+$E572)^2-(1+$E572)^1))/(1+$C572)^('Sensitivity &amp; Scenarios'!$C$18+1)+('Sensitivity &amp; Scenarios'!$C$6*(1+$E572)^3*$G572+'Sensitivity &amp; Scenarios'!$C$11*'Sensitivity &amp; Scenarios'!$C$6*((1+$E572)^3-(1+$E572)^2))/(1+$C572)^('Sensitivity &amp; Scenarios'!$C$18+2)+('Sensitivity &amp; Scenarios'!$C$6*(1+$E572)^4*$G572+'Sensitivity &amp; Scenarios'!$C$11*'Sensitivity &amp; Scenarios'!$C$6*((1+$E572)^4-(1+$E572)^3))/(1+$C572)^('Sensitivity &amp; Scenarios'!$C$18+3)+('Sensitivity &amp; Scenarios'!$C$6*(1+$E572)^5*$G572+'Sensitivity &amp; Scenarios'!$C$11*'Sensitivity &amp; Scenarios'!$C$6*((1+$E572)^5-(1+$E572)^4))/(1+$C572)^('Sensitivity &amp; Scenarios'!$C$18+4)</f>
        <v>26030.154380260839</v>
      </c>
      <c r="I572" s="209">
        <f>('Sensitivity &amp; Scenarios'!$C$6*(1+$E572)^5*$G572+'Sensitivity &amp; Scenarios'!$C$11*'Sensitivity &amp; Scenarios'!$C$6*((1+$E572)^5-(1+$E572)^4))*(1+$D572)/($C572-$D572)/(1+$C572)^('Sensitivity &amp; Scenarios'!$C$18+4)</f>
        <v>86258.415323951282</v>
      </c>
      <c r="J572" s="209">
        <f>($H572+$I572-'Sensitivity &amp; Scenarios'!$C$15+'Sensitivity &amp; Scenarios'!$C$16)/'Sensitivity &amp; Scenarios'!$C$17</f>
        <v>2650.0981517226624</v>
      </c>
    </row>
    <row r="573" spans="2:10" x14ac:dyDescent="0.3">
      <c r="B573" s="127">
        <v>543</v>
      </c>
      <c r="C573" s="206">
        <f>$D$7+-0.738377*$E$7</f>
        <v>0.13016848943997797</v>
      </c>
      <c r="D573" s="206">
        <f>MIN($D$8+-0.616175*$E$8,'Debt &amp; Cost of Capital'!$C$38)</f>
        <v>5.130295E-2</v>
      </c>
      <c r="E573" s="207">
        <f>$D$9+-0.85082*$E$9</f>
        <v>0.14169649770254633</v>
      </c>
      <c r="F573" s="207">
        <f>$D$10+-1.077583*$E$10</f>
        <v>0.13206900399999991</v>
      </c>
      <c r="G573" s="208">
        <f>$F573*(1-'Sensitivity &amp; Scenarios'!$C$12)+'Sensitivity &amp; Scenarios'!$C$9*'Sensitivity &amp; Scenarios'!$C$12-'Sensitivity &amp; Scenarios'!$C$10</f>
        <v>6.8022653781664638E-2</v>
      </c>
      <c r="H573" s="209">
        <f>('Sensitivity &amp; Scenarios'!$C$6*(1+$E573)^1*$G573+'Sensitivity &amp; Scenarios'!$C$11*'Sensitivity &amp; Scenarios'!$C$6*((1+$E573)^1-(1+$E573)^0))*'Sensitivity &amp; Scenarios'!$C$18/(1+$C573)^'Sensitivity &amp; Scenarios'!$C$18+('Sensitivity &amp; Scenarios'!$C$6*(1+$E573)^2*$G573+'Sensitivity &amp; Scenarios'!$C$11*'Sensitivity &amp; Scenarios'!$C$6*((1+$E573)^2-(1+$E573)^1))/(1+$C573)^('Sensitivity &amp; Scenarios'!$C$18+1)+('Sensitivity &amp; Scenarios'!$C$6*(1+$E573)^3*$G573+'Sensitivity &amp; Scenarios'!$C$11*'Sensitivity &amp; Scenarios'!$C$6*((1+$E573)^3-(1+$E573)^2))/(1+$C573)^('Sensitivity &amp; Scenarios'!$C$18+2)+('Sensitivity &amp; Scenarios'!$C$6*(1+$E573)^4*$G573+'Sensitivity &amp; Scenarios'!$C$11*'Sensitivity &amp; Scenarios'!$C$6*((1+$E573)^4-(1+$E573)^3))/(1+$C573)^('Sensitivity &amp; Scenarios'!$C$18+3)+('Sensitivity &amp; Scenarios'!$C$6*(1+$E573)^5*$G573+'Sensitivity &amp; Scenarios'!$C$11*'Sensitivity &amp; Scenarios'!$C$6*((1+$E573)^5-(1+$E573)^4))/(1+$C573)^('Sensitivity &amp; Scenarios'!$C$18+4)</f>
        <v>19319.510322687307</v>
      </c>
      <c r="I573" s="209">
        <f>('Sensitivity &amp; Scenarios'!$C$6*(1+$E573)^5*$G573+'Sensitivity &amp; Scenarios'!$C$11*'Sensitivity &amp; Scenarios'!$C$6*((1+$E573)^5-(1+$E573)^4))*(1+$D573)/($C573-$D573)/(1+$C573)^('Sensitivity &amp; Scenarios'!$C$18+4)</f>
        <v>56631.986596778144</v>
      </c>
      <c r="J573" s="209">
        <f>($H573+$I573-'Sensitivity &amp; Scenarios'!$C$15+'Sensitivity &amp; Scenarios'!$C$16)/'Sensitivity &amp; Scenarios'!$C$17</f>
        <v>1885.2472342118349</v>
      </c>
    </row>
    <row r="574" spans="2:10" x14ac:dyDescent="0.3">
      <c r="B574" s="127">
        <v>544</v>
      </c>
      <c r="C574" s="206">
        <f>$D$7+-0.299653*$E$7</f>
        <v>0.13455572943997798</v>
      </c>
      <c r="D574" s="206">
        <f>MIN($D$8+-1.216604*$E$8,'Debt &amp; Cost of Capital'!$C$38)</f>
        <v>4.7700376000000003E-2</v>
      </c>
      <c r="E574" s="207">
        <f>$D$9+0.335042*$E$9</f>
        <v>0.17727235770254635</v>
      </c>
      <c r="F574" s="207">
        <f>$D$10+0.051698*$E$10</f>
        <v>0.14562037599999991</v>
      </c>
      <c r="G574" s="208">
        <f>$F574*(1-'Sensitivity &amp; Scenarios'!$C$12)+'Sensitivity &amp; Scenarios'!$C$9*'Sensitivity &amp; Scenarios'!$C$12-'Sensitivity &amp; Scenarios'!$C$10</f>
        <v>7.8163145449264643E-2</v>
      </c>
      <c r="H574" s="209">
        <f>('Sensitivity &amp; Scenarios'!$C$6*(1+$E574)^1*$G574+'Sensitivity &amp; Scenarios'!$C$11*'Sensitivity &amp; Scenarios'!$C$6*((1+$E574)^1-(1+$E574)^0))*'Sensitivity &amp; Scenarios'!$C$18/(1+$C574)^'Sensitivity &amp; Scenarios'!$C$18+('Sensitivity &amp; Scenarios'!$C$6*(1+$E574)^2*$G574+'Sensitivity &amp; Scenarios'!$C$11*'Sensitivity &amp; Scenarios'!$C$6*((1+$E574)^2-(1+$E574)^1))/(1+$C574)^('Sensitivity &amp; Scenarios'!$C$18+1)+('Sensitivity &amp; Scenarios'!$C$6*(1+$E574)^3*$G574+'Sensitivity &amp; Scenarios'!$C$11*'Sensitivity &amp; Scenarios'!$C$6*((1+$E574)^3-(1+$E574)^2))/(1+$C574)^('Sensitivity &amp; Scenarios'!$C$18+2)+('Sensitivity &amp; Scenarios'!$C$6*(1+$E574)^4*$G574+'Sensitivity &amp; Scenarios'!$C$11*'Sensitivity &amp; Scenarios'!$C$6*((1+$E574)^4-(1+$E574)^3))/(1+$C574)^('Sensitivity &amp; Scenarios'!$C$18+3)+('Sensitivity &amp; Scenarios'!$C$6*(1+$E574)^5*$G574+'Sensitivity &amp; Scenarios'!$C$11*'Sensitivity &amp; Scenarios'!$C$6*((1+$E574)^5-(1+$E574)^4))/(1+$C574)^('Sensitivity &amp; Scenarios'!$C$18+4)</f>
        <v>24449.622755447777</v>
      </c>
      <c r="I574" s="209">
        <f>('Sensitivity &amp; Scenarios'!$C$6*(1+$E574)^5*$G574+'Sensitivity &amp; Scenarios'!$C$11*'Sensitivity &amp; Scenarios'!$C$6*((1+$E574)^5-(1+$E574)^4))*(1+$D574)/($C574-$D574)/(1+$C574)^('Sensitivity &amp; Scenarios'!$C$18+4)</f>
        <v>68058.518149272961</v>
      </c>
      <c r="J574" s="209">
        <f>($H574+$I574-'Sensitivity &amp; Scenarios'!$C$15+'Sensitivity &amp; Scenarios'!$C$16)/'Sensitivity &amp; Scenarios'!$C$17</f>
        <v>2233.7443302227816</v>
      </c>
    </row>
    <row r="575" spans="2:10" x14ac:dyDescent="0.3">
      <c r="B575" s="127">
        <v>545</v>
      </c>
      <c r="C575" s="206">
        <f>$D$7+0.481029*$E$7</f>
        <v>0.14236254943997798</v>
      </c>
      <c r="D575" s="206">
        <f>MIN($D$8+0.507728*$E$8,'Debt &amp; Cost of Capital'!$C$38)</f>
        <v>5.8046368000000001E-2</v>
      </c>
      <c r="E575" s="207">
        <f>$D$9+0.603007*$E$9</f>
        <v>0.18531130770254634</v>
      </c>
      <c r="F575" s="207">
        <f>$D$10+-0.373409*$E$10</f>
        <v>0.1405190919999999</v>
      </c>
      <c r="G575" s="208">
        <f>$F575*(1-'Sensitivity &amp; Scenarios'!$C$12)+'Sensitivity &amp; Scenarios'!$C$9*'Sensitivity &amp; Scenarios'!$C$12-'Sensitivity &amp; Scenarios'!$C$10</f>
        <v>7.4345854632064626E-2</v>
      </c>
      <c r="H575" s="209">
        <f>('Sensitivity &amp; Scenarios'!$C$6*(1+$E575)^1*$G575+'Sensitivity &amp; Scenarios'!$C$11*'Sensitivity &amp; Scenarios'!$C$6*((1+$E575)^1-(1+$E575)^0))*'Sensitivity &amp; Scenarios'!$C$18/(1+$C575)^'Sensitivity &amp; Scenarios'!$C$18+('Sensitivity &amp; Scenarios'!$C$6*(1+$E575)^2*$G575+'Sensitivity &amp; Scenarios'!$C$11*'Sensitivity &amp; Scenarios'!$C$6*((1+$E575)^2-(1+$E575)^1))/(1+$C575)^('Sensitivity &amp; Scenarios'!$C$18+1)+('Sensitivity &amp; Scenarios'!$C$6*(1+$E575)^3*$G575+'Sensitivity &amp; Scenarios'!$C$11*'Sensitivity &amp; Scenarios'!$C$6*((1+$E575)^3-(1+$E575)^2))/(1+$C575)^('Sensitivity &amp; Scenarios'!$C$18+2)+('Sensitivity &amp; Scenarios'!$C$6*(1+$E575)^4*$G575+'Sensitivity &amp; Scenarios'!$C$11*'Sensitivity &amp; Scenarios'!$C$6*((1+$E575)^4-(1+$E575)^3))/(1+$C575)^('Sensitivity &amp; Scenarios'!$C$18+3)+('Sensitivity &amp; Scenarios'!$C$6*(1+$E575)^5*$G575+'Sensitivity &amp; Scenarios'!$C$11*'Sensitivity &amp; Scenarios'!$C$6*((1+$E575)^5-(1+$E575)^4))/(1+$C575)^('Sensitivity &amp; Scenarios'!$C$18+4)</f>
        <v>23683.491696625799</v>
      </c>
      <c r="I575" s="209">
        <f>('Sensitivity &amp; Scenarios'!$C$6*(1+$E575)^5*$G575+'Sensitivity &amp; Scenarios'!$C$11*'Sensitivity &amp; Scenarios'!$C$6*((1+$E575)^5-(1+$E575)^4))*(1+$D575)/($C575-$D575)/(1+$C575)^('Sensitivity &amp; Scenarios'!$C$18+4)</f>
        <v>68575.524507538372</v>
      </c>
      <c r="J575" s="209">
        <f>($H575+$I575-'Sensitivity &amp; Scenarios'!$C$15+'Sensitivity &amp; Scenarios'!$C$16)/'Sensitivity &amp; Scenarios'!$C$17</f>
        <v>2228.5005601226408</v>
      </c>
    </row>
    <row r="576" spans="2:10" x14ac:dyDescent="0.3">
      <c r="B576" s="127">
        <v>546</v>
      </c>
      <c r="C576" s="206">
        <f>$D$7+2.121143*$E$7</f>
        <v>0.15876368943997798</v>
      </c>
      <c r="D576" s="206">
        <f>MIN($D$8+0.234431*$E$8,'Debt &amp; Cost of Capital'!$C$38)</f>
        <v>5.6406586000000002E-2</v>
      </c>
      <c r="E576" s="207">
        <f>$D$9+-1.862485*$E$9</f>
        <v>0.11134654770254634</v>
      </c>
      <c r="F576" s="207">
        <f>$D$10+-1.002376*$E$10</f>
        <v>0.13297148799999992</v>
      </c>
      <c r="G576" s="208">
        <f>$F576*(1-'Sensitivity &amp; Scenarios'!$C$12)+'Sensitivity &amp; Scenarios'!$C$9*'Sensitivity &amp; Scenarios'!$C$12-'Sensitivity &amp; Scenarios'!$C$10</f>
        <v>6.869798255886464E-2</v>
      </c>
      <c r="H576" s="209">
        <f>('Sensitivity &amp; Scenarios'!$C$6*(1+$E576)^1*$G576+'Sensitivity &amp; Scenarios'!$C$11*'Sensitivity &amp; Scenarios'!$C$6*((1+$E576)^1-(1+$E576)^0))*'Sensitivity &amp; Scenarios'!$C$18/(1+$C576)^'Sensitivity &amp; Scenarios'!$C$18+('Sensitivity &amp; Scenarios'!$C$6*(1+$E576)^2*$G576+'Sensitivity &amp; Scenarios'!$C$11*'Sensitivity &amp; Scenarios'!$C$6*((1+$E576)^2-(1+$E576)^1))/(1+$C576)^('Sensitivity &amp; Scenarios'!$C$18+1)+('Sensitivity &amp; Scenarios'!$C$6*(1+$E576)^3*$G576+'Sensitivity &amp; Scenarios'!$C$11*'Sensitivity &amp; Scenarios'!$C$6*((1+$E576)^3-(1+$E576)^2))/(1+$C576)^('Sensitivity &amp; Scenarios'!$C$18+2)+('Sensitivity &amp; Scenarios'!$C$6*(1+$E576)^4*$G576+'Sensitivity &amp; Scenarios'!$C$11*'Sensitivity &amp; Scenarios'!$C$6*((1+$E576)^4-(1+$E576)^3))/(1+$C576)^('Sensitivity &amp; Scenarios'!$C$18+3)+('Sensitivity &amp; Scenarios'!$C$6*(1+$E576)^5*$G576+'Sensitivity &amp; Scenarios'!$C$11*'Sensitivity &amp; Scenarios'!$C$6*((1+$E576)^5-(1+$E576)^4))/(1+$C576)^('Sensitivity &amp; Scenarios'!$C$18+4)</f>
        <v>16175.942683871512</v>
      </c>
      <c r="I576" s="209">
        <f>('Sensitivity &amp; Scenarios'!$C$6*(1+$E576)^5*$G576+'Sensitivity &amp; Scenarios'!$C$11*'Sensitivity &amp; Scenarios'!$C$6*((1+$E576)^5-(1+$E576)^4))*(1+$D576)/($C576-$D576)/(1+$C576)^('Sensitivity &amp; Scenarios'!$C$18+4)</f>
        <v>33314.051989674757</v>
      </c>
      <c r="J576" s="209">
        <f>($H576+$I576-'Sensitivity &amp; Scenarios'!$C$15+'Sensitivity &amp; Scenarios'!$C$16)/'Sensitivity &amp; Scenarios'!$C$17</f>
        <v>1328.2649920978813</v>
      </c>
    </row>
    <row r="577" spans="2:10" x14ac:dyDescent="0.3">
      <c r="B577" s="127">
        <v>547</v>
      </c>
      <c r="C577" s="206">
        <f>$D$7+-1.740503*$E$7</f>
        <v>0.12014722943997798</v>
      </c>
      <c r="D577" s="206">
        <f>MIN($D$8+0.017335*$E$8,'Debt &amp; Cost of Capital'!$C$38)</f>
        <v>5.5104010000000002E-2</v>
      </c>
      <c r="E577" s="207">
        <f>$D$9+-0.121805*$E$9</f>
        <v>0.16356694770254634</v>
      </c>
      <c r="F577" s="207">
        <f>$D$10+-0.468426*$E$10</f>
        <v>0.1393788879999999</v>
      </c>
      <c r="G577" s="208">
        <f>$F577*(1-'Sensitivity &amp; Scenarios'!$C$12)+'Sensitivity &amp; Scenarios'!$C$9*'Sensitivity &amp; Scenarios'!$C$12-'Sensitivity &amp; Scenarios'!$C$10</f>
        <v>7.3492639978864627E-2</v>
      </c>
      <c r="H577" s="209">
        <f>('Sensitivity &amp; Scenarios'!$C$6*(1+$E577)^1*$G577+'Sensitivity &amp; Scenarios'!$C$11*'Sensitivity &amp; Scenarios'!$C$6*((1+$E577)^1-(1+$E577)^0))*'Sensitivity &amp; Scenarios'!$C$18/(1+$C577)^'Sensitivity &amp; Scenarios'!$C$18+('Sensitivity &amp; Scenarios'!$C$6*(1+$E577)^2*$G577+'Sensitivity &amp; Scenarios'!$C$11*'Sensitivity &amp; Scenarios'!$C$6*((1+$E577)^2-(1+$E577)^1))/(1+$C577)^('Sensitivity &amp; Scenarios'!$C$18+1)+('Sensitivity &amp; Scenarios'!$C$6*(1+$E577)^3*$G577+'Sensitivity &amp; Scenarios'!$C$11*'Sensitivity &amp; Scenarios'!$C$6*((1+$E577)^3-(1+$E577)^2))/(1+$C577)^('Sensitivity &amp; Scenarios'!$C$18+2)+('Sensitivity &amp; Scenarios'!$C$6*(1+$E577)^4*$G577+'Sensitivity &amp; Scenarios'!$C$11*'Sensitivity &amp; Scenarios'!$C$6*((1+$E577)^4-(1+$E577)^3))/(1+$C577)^('Sensitivity &amp; Scenarios'!$C$18+3)+('Sensitivity &amp; Scenarios'!$C$6*(1+$E577)^5*$G577+'Sensitivity &amp; Scenarios'!$C$11*'Sensitivity &amp; Scenarios'!$C$6*((1+$E577)^5-(1+$E577)^4))/(1+$C577)^('Sensitivity &amp; Scenarios'!$C$18+4)</f>
        <v>22931.69661916441</v>
      </c>
      <c r="I577" s="209">
        <f>('Sensitivity &amp; Scenarios'!$C$6*(1+$E577)^5*$G577+'Sensitivity &amp; Scenarios'!$C$11*'Sensitivity &amp; Scenarios'!$C$6*((1+$E577)^5-(1+$E577)^4))*(1+$D577)/($C577-$D577)/(1+$C577)^('Sensitivity &amp; Scenarios'!$C$18+4)</f>
        <v>86005.108896922393</v>
      </c>
      <c r="J577" s="209">
        <f>($H577+$I577-'Sensitivity &amp; Scenarios'!$C$15+'Sensitivity &amp; Scenarios'!$C$16)/'Sensitivity &amp; Scenarios'!$C$17</f>
        <v>2579.54761701796</v>
      </c>
    </row>
    <row r="578" spans="2:10" x14ac:dyDescent="0.3">
      <c r="B578" s="127">
        <v>548</v>
      </c>
      <c r="C578" s="206">
        <f>$D$7+2.010926*$E$7</f>
        <v>0.15766151943997797</v>
      </c>
      <c r="D578" s="206">
        <f>MIN($D$8+0.548983*$E$8,'Debt &amp; Cost of Capital'!$C$38)</f>
        <v>5.8293897999999997E-2</v>
      </c>
      <c r="E578" s="207">
        <f>$D$9+0.726098*$E$9</f>
        <v>0.18900403770254634</v>
      </c>
      <c r="F578" s="207">
        <f>$D$10+-0.931073*$E$10</f>
        <v>0.13382712399999991</v>
      </c>
      <c r="G578" s="208">
        <f>$F578*(1-'Sensitivity &amp; Scenarios'!$C$12)+'Sensitivity &amp; Scenarios'!$C$9*'Sensitivity &amp; Scenarios'!$C$12-'Sensitivity &amp; Scenarios'!$C$10</f>
        <v>6.9338254977664632E-2</v>
      </c>
      <c r="H578" s="209">
        <f>('Sensitivity &amp; Scenarios'!$C$6*(1+$E578)^1*$G578+'Sensitivity &amp; Scenarios'!$C$11*'Sensitivity &amp; Scenarios'!$C$6*((1+$E578)^1-(1+$E578)^0))*'Sensitivity &amp; Scenarios'!$C$18/(1+$C578)^'Sensitivity &amp; Scenarios'!$C$18+('Sensitivity &amp; Scenarios'!$C$6*(1+$E578)^2*$G578+'Sensitivity &amp; Scenarios'!$C$11*'Sensitivity &amp; Scenarios'!$C$6*((1+$E578)^2-(1+$E578)^1))/(1+$C578)^('Sensitivity &amp; Scenarios'!$C$18+1)+('Sensitivity &amp; Scenarios'!$C$6*(1+$E578)^3*$G578+'Sensitivity &amp; Scenarios'!$C$11*'Sensitivity &amp; Scenarios'!$C$6*((1+$E578)^3-(1+$E578)^2))/(1+$C578)^('Sensitivity &amp; Scenarios'!$C$18+2)+('Sensitivity &amp; Scenarios'!$C$6*(1+$E578)^4*$G578+'Sensitivity &amp; Scenarios'!$C$11*'Sensitivity &amp; Scenarios'!$C$6*((1+$E578)^4-(1+$E578)^3))/(1+$C578)^('Sensitivity &amp; Scenarios'!$C$18+3)+('Sensitivity &amp; Scenarios'!$C$6*(1+$E578)^5*$G578+'Sensitivity &amp; Scenarios'!$C$11*'Sensitivity &amp; Scenarios'!$C$6*((1+$E578)^5-(1+$E578)^4))/(1+$C578)^('Sensitivity &amp; Scenarios'!$C$18+4)</f>
        <v>21844.529800689419</v>
      </c>
      <c r="I578" s="209">
        <f>('Sensitivity &amp; Scenarios'!$C$6*(1+$E578)^5*$G578+'Sensitivity &amp; Scenarios'!$C$11*'Sensitivity &amp; Scenarios'!$C$6*((1+$E578)^5-(1+$E578)^4))*(1+$D578)/($C578-$D578)/(1+$C578)^('Sensitivity &amp; Scenarios'!$C$18+4)</f>
        <v>52715.33714825358</v>
      </c>
      <c r="J578" s="209">
        <f>($H578+$I578-'Sensitivity &amp; Scenarios'!$C$15+'Sensitivity &amp; Scenarios'!$C$16)/'Sensitivity &amp; Scenarios'!$C$17</f>
        <v>1855.9551262290347</v>
      </c>
    </row>
    <row r="579" spans="2:10" x14ac:dyDescent="0.3">
      <c r="B579" s="127">
        <v>549</v>
      </c>
      <c r="C579" s="206">
        <f>$D$7+-0.999145*$E$7</f>
        <v>0.127560809439978</v>
      </c>
      <c r="D579" s="206">
        <f>MIN($D$8+0.036805*$E$8,'Debt &amp; Cost of Capital'!$C$38)</f>
        <v>5.5220829999999999E-2</v>
      </c>
      <c r="E579" s="207">
        <f>$D$9+0.173007*$E$9</f>
        <v>0.17241130770254634</v>
      </c>
      <c r="F579" s="207">
        <f>$D$10+-1.856312*$E$10</f>
        <v>0.12272425599999991</v>
      </c>
      <c r="G579" s="208">
        <f>$F579*(1-'Sensitivity &amp; Scenarios'!$C$12)+'Sensitivity &amp; Scenarios'!$C$9*'Sensitivity &amp; Scenarios'!$C$12-'Sensitivity &amp; Scenarios'!$C$10</f>
        <v>6.1029978853264638E-2</v>
      </c>
      <c r="H579" s="209">
        <f>('Sensitivity &amp; Scenarios'!$C$6*(1+$E579)^1*$G579+'Sensitivity &amp; Scenarios'!$C$11*'Sensitivity &amp; Scenarios'!$C$6*((1+$E579)^1-(1+$E579)^0))*'Sensitivity &amp; Scenarios'!$C$18/(1+$C579)^'Sensitivity &amp; Scenarios'!$C$18+('Sensitivity &amp; Scenarios'!$C$6*(1+$E579)^2*$G579+'Sensitivity &amp; Scenarios'!$C$11*'Sensitivity &amp; Scenarios'!$C$6*((1+$E579)^2-(1+$E579)^1))/(1+$C579)^('Sensitivity &amp; Scenarios'!$C$18+1)+('Sensitivity &amp; Scenarios'!$C$6*(1+$E579)^3*$G579+'Sensitivity &amp; Scenarios'!$C$11*'Sensitivity &amp; Scenarios'!$C$6*((1+$E579)^3-(1+$E579)^2))/(1+$C579)^('Sensitivity &amp; Scenarios'!$C$18+2)+('Sensitivity &amp; Scenarios'!$C$6*(1+$E579)^4*$G579+'Sensitivity &amp; Scenarios'!$C$11*'Sensitivity &amp; Scenarios'!$C$6*((1+$E579)^4-(1+$E579)^3))/(1+$C579)^('Sensitivity &amp; Scenarios'!$C$18+3)+('Sensitivity &amp; Scenarios'!$C$6*(1+$E579)^5*$G579+'Sensitivity &amp; Scenarios'!$C$11*'Sensitivity &amp; Scenarios'!$C$6*((1+$E579)^5-(1+$E579)^4))/(1+$C579)^('Sensitivity &amp; Scenarios'!$C$18+4)</f>
        <v>20014.022050836866</v>
      </c>
      <c r="I579" s="209">
        <f>('Sensitivity &amp; Scenarios'!$C$6*(1+$E579)^5*$G579+'Sensitivity &amp; Scenarios'!$C$11*'Sensitivity &amp; Scenarios'!$C$6*((1+$E579)^5-(1+$E579)^4))*(1+$D579)/($C579-$D579)/(1+$C579)^('Sensitivity &amp; Scenarios'!$C$18+4)</f>
        <v>67615.297891285649</v>
      </c>
      <c r="J579" s="209">
        <f>($H579+$I579-'Sensitivity &amp; Scenarios'!$C$15+'Sensitivity &amp; Scenarios'!$C$16)/'Sensitivity &amp; Scenarios'!$C$17</f>
        <v>2131.0511190299217</v>
      </c>
    </row>
    <row r="580" spans="2:10" x14ac:dyDescent="0.3">
      <c r="B580" s="127">
        <v>550</v>
      </c>
      <c r="C580" s="206">
        <f>$D$7+-0.180307*$E$7</f>
        <v>0.13574918943997799</v>
      </c>
      <c r="D580" s="206">
        <f>MIN($D$8+0.014072*$E$8,'Debt &amp; Cost of Capital'!$C$38)</f>
        <v>5.5084432000000003E-2</v>
      </c>
      <c r="E580" s="207">
        <f>$D$9+-0.215149*$E$9</f>
        <v>0.16076662770254635</v>
      </c>
      <c r="F580" s="207">
        <f>$D$10+-0.81339*$E$10</f>
        <v>0.13523931999999991</v>
      </c>
      <c r="G580" s="208">
        <f>$F580*(1-'Sensitivity &amp; Scenarios'!$C$12)+'Sensitivity &amp; Scenarios'!$C$9*'Sensitivity &amp; Scenarios'!$C$12-'Sensitivity &amp; Scenarios'!$C$10</f>
        <v>7.0395001244464642E-2</v>
      </c>
      <c r="H580" s="209">
        <f>('Sensitivity &amp; Scenarios'!$C$6*(1+$E580)^1*$G580+'Sensitivity &amp; Scenarios'!$C$11*'Sensitivity &amp; Scenarios'!$C$6*((1+$E580)^1-(1+$E580)^0))*'Sensitivity &amp; Scenarios'!$C$18/(1+$C580)^'Sensitivity &amp; Scenarios'!$C$18+('Sensitivity &amp; Scenarios'!$C$6*(1+$E580)^2*$G580+'Sensitivity &amp; Scenarios'!$C$11*'Sensitivity &amp; Scenarios'!$C$6*((1+$E580)^2-(1+$E580)^1))/(1+$C580)^('Sensitivity &amp; Scenarios'!$C$18+1)+('Sensitivity &amp; Scenarios'!$C$6*(1+$E580)^3*$G580+'Sensitivity &amp; Scenarios'!$C$11*'Sensitivity &amp; Scenarios'!$C$6*((1+$E580)^3-(1+$E580)^2))/(1+$C580)^('Sensitivity &amp; Scenarios'!$C$18+2)+('Sensitivity &amp; Scenarios'!$C$6*(1+$E580)^4*$G580+'Sensitivity &amp; Scenarios'!$C$11*'Sensitivity &amp; Scenarios'!$C$6*((1+$E580)^4-(1+$E580)^3))/(1+$C580)^('Sensitivity &amp; Scenarios'!$C$18+3)+('Sensitivity &amp; Scenarios'!$C$6*(1+$E580)^5*$G580+'Sensitivity &amp; Scenarios'!$C$11*'Sensitivity &amp; Scenarios'!$C$6*((1+$E580)^5-(1+$E580)^4))/(1+$C580)^('Sensitivity &amp; Scenarios'!$C$18+4)</f>
        <v>21058.728180072791</v>
      </c>
      <c r="I580" s="209">
        <f>('Sensitivity &amp; Scenarios'!$C$6*(1+$E580)^5*$G580+'Sensitivity &amp; Scenarios'!$C$11*'Sensitivity &amp; Scenarios'!$C$6*((1+$E580)^5-(1+$E580)^4))*(1+$D580)/($C580-$D580)/(1+$C580)^('Sensitivity &amp; Scenarios'!$C$18+4)</f>
        <v>61861.865312017711</v>
      </c>
      <c r="J580" s="209">
        <f>($H580+$I580-'Sensitivity &amp; Scenarios'!$C$15+'Sensitivity &amp; Scenarios'!$C$16)/'Sensitivity &amp; Scenarios'!$C$17</f>
        <v>2031.9381891869245</v>
      </c>
    </row>
    <row r="581" spans="2:10" x14ac:dyDescent="0.3">
      <c r="B581" s="127">
        <v>551</v>
      </c>
      <c r="C581" s="206">
        <f>$D$7+-0.539535*$E$7</f>
        <v>0.13215690943997799</v>
      </c>
      <c r="D581" s="206">
        <f>MIN($D$8+-0.176859*$E$8,'Debt &amp; Cost of Capital'!$C$38)</f>
        <v>5.3938845999999999E-2</v>
      </c>
      <c r="E581" s="207">
        <f>$D$9+0.0908*$E$9</f>
        <v>0.16994509770254634</v>
      </c>
      <c r="F581" s="207">
        <f>$D$10+0.604792*$E$10</f>
        <v>0.1522575039999999</v>
      </c>
      <c r="G581" s="208">
        <f>$F581*(1-'Sensitivity &amp; Scenarios'!$C$12)+'Sensitivity &amp; Scenarios'!$C$9*'Sensitivity &amp; Scenarios'!$C$12-'Sensitivity &amp; Scenarios'!$C$10</f>
        <v>8.3129708331664637E-2</v>
      </c>
      <c r="H581" s="209">
        <f>('Sensitivity &amp; Scenarios'!$C$6*(1+$E581)^1*$G581+'Sensitivity &amp; Scenarios'!$C$11*'Sensitivity &amp; Scenarios'!$C$6*((1+$E581)^1-(1+$E581)^0))*'Sensitivity &amp; Scenarios'!$C$18/(1+$C581)^'Sensitivity &amp; Scenarios'!$C$18+('Sensitivity &amp; Scenarios'!$C$6*(1+$E581)^2*$G581+'Sensitivity &amp; Scenarios'!$C$11*'Sensitivity &amp; Scenarios'!$C$6*((1+$E581)^2-(1+$E581)^1))/(1+$C581)^('Sensitivity &amp; Scenarios'!$C$18+1)+('Sensitivity &amp; Scenarios'!$C$6*(1+$E581)^3*$G581+'Sensitivity &amp; Scenarios'!$C$11*'Sensitivity &amp; Scenarios'!$C$6*((1+$E581)^3-(1+$E581)^2))/(1+$C581)^('Sensitivity &amp; Scenarios'!$C$18+2)+('Sensitivity &amp; Scenarios'!$C$6*(1+$E581)^4*$G581+'Sensitivity &amp; Scenarios'!$C$11*'Sensitivity &amp; Scenarios'!$C$6*((1+$E581)^4-(1+$E581)^3))/(1+$C581)^('Sensitivity &amp; Scenarios'!$C$18+3)+('Sensitivity &amp; Scenarios'!$C$6*(1+$E581)^5*$G581+'Sensitivity &amp; Scenarios'!$C$11*'Sensitivity &amp; Scenarios'!$C$6*((1+$E581)^5-(1+$E581)^4))/(1+$C581)^('Sensitivity &amp; Scenarios'!$C$18+4)</f>
        <v>25223.028193427741</v>
      </c>
      <c r="I581" s="209">
        <f>('Sensitivity &amp; Scenarios'!$C$6*(1+$E581)^5*$G581+'Sensitivity &amp; Scenarios'!$C$11*'Sensitivity &amp; Scenarios'!$C$6*((1+$E581)^5-(1+$E581)^4))*(1+$D581)/($C581-$D581)/(1+$C581)^('Sensitivity &amp; Scenarios'!$C$18+4)</f>
        <v>77855.309063800843</v>
      </c>
      <c r="J581" s="209">
        <f>($H581+$I581-'Sensitivity &amp; Scenarios'!$C$15+'Sensitivity &amp; Scenarios'!$C$16)/'Sensitivity &amp; Scenarios'!$C$17</f>
        <v>2456.2340290044335</v>
      </c>
    </row>
    <row r="582" spans="2:10" x14ac:dyDescent="0.3">
      <c r="B582" s="127">
        <v>552</v>
      </c>
      <c r="C582" s="206">
        <f>$D$7+1.080856*$E$7</f>
        <v>0.14836081943997798</v>
      </c>
      <c r="D582" s="206">
        <f>MIN($D$8+-0.294348*$E$8,'Debt &amp; Cost of Capital'!$C$38)</f>
        <v>5.3233912000000001E-2</v>
      </c>
      <c r="E582" s="207">
        <f>$D$9+-0.456156*$E$9</f>
        <v>0.15353641770254634</v>
      </c>
      <c r="F582" s="207">
        <f>$D$10+0.437656*$E$10</f>
        <v>0.1502518719999999</v>
      </c>
      <c r="G582" s="208">
        <f>$F582*(1-'Sensitivity &amp; Scenarios'!$C$12)+'Sensitivity &amp; Scenarios'!$C$9*'Sensitivity &amp; Scenarios'!$C$12-'Sensitivity &amp; Scenarios'!$C$10</f>
        <v>8.1628893906064634E-2</v>
      </c>
      <c r="H582" s="209">
        <f>('Sensitivity &amp; Scenarios'!$C$6*(1+$E582)^1*$G582+'Sensitivity &amp; Scenarios'!$C$11*'Sensitivity &amp; Scenarios'!$C$6*((1+$E582)^1-(1+$E582)^0))*'Sensitivity &amp; Scenarios'!$C$18/(1+$C582)^'Sensitivity &amp; Scenarios'!$C$18+('Sensitivity &amp; Scenarios'!$C$6*(1+$E582)^2*$G582+'Sensitivity &amp; Scenarios'!$C$11*'Sensitivity &amp; Scenarios'!$C$6*((1+$E582)^2-(1+$E582)^1))/(1+$C582)^('Sensitivity &amp; Scenarios'!$C$18+1)+('Sensitivity &amp; Scenarios'!$C$6*(1+$E582)^3*$G582+'Sensitivity &amp; Scenarios'!$C$11*'Sensitivity &amp; Scenarios'!$C$6*((1+$E582)^3-(1+$E582)^2))/(1+$C582)^('Sensitivity &amp; Scenarios'!$C$18+2)+('Sensitivity &amp; Scenarios'!$C$6*(1+$E582)^4*$G582+'Sensitivity &amp; Scenarios'!$C$11*'Sensitivity &amp; Scenarios'!$C$6*((1+$E582)^4-(1+$E582)^3))/(1+$C582)^('Sensitivity &amp; Scenarios'!$C$18+3)+('Sensitivity &amp; Scenarios'!$C$6*(1+$E582)^5*$G582+'Sensitivity &amp; Scenarios'!$C$11*'Sensitivity &amp; Scenarios'!$C$6*((1+$E582)^5-(1+$E582)^4))/(1+$C582)^('Sensitivity &amp; Scenarios'!$C$18+4)</f>
        <v>22498.814499373351</v>
      </c>
      <c r="I582" s="209">
        <f>('Sensitivity &amp; Scenarios'!$C$6*(1+$E582)^5*$G582+'Sensitivity &amp; Scenarios'!$C$11*'Sensitivity &amp; Scenarios'!$C$6*((1+$E582)^5-(1+$E582)^4))*(1+$D582)/($C582-$D582)/(1+$C582)^('Sensitivity &amp; Scenarios'!$C$18+4)</f>
        <v>54214.910606802565</v>
      </c>
      <c r="J582" s="209">
        <f>($H582+$I582-'Sensitivity &amp; Scenarios'!$C$15+'Sensitivity &amp; Scenarios'!$C$16)/'Sensitivity &amp; Scenarios'!$C$17</f>
        <v>1901.2912048258581</v>
      </c>
    </row>
    <row r="583" spans="2:10" x14ac:dyDescent="0.3">
      <c r="B583" s="127">
        <v>553</v>
      </c>
      <c r="C583" s="206">
        <f>$D$7+0.610845*$E$7</f>
        <v>0.14366070943997797</v>
      </c>
      <c r="D583" s="206">
        <f>MIN($D$8+-0.4342*$E$8,'Debt &amp; Cost of Capital'!$C$38)</f>
        <v>5.2394799999999998E-2</v>
      </c>
      <c r="E583" s="207">
        <f>$D$9+0.790393*$E$9</f>
        <v>0.19093288770254635</v>
      </c>
      <c r="F583" s="207">
        <f>$D$10+0.979585*$E$10</f>
        <v>0.15675501999999991</v>
      </c>
      <c r="G583" s="208">
        <f>$F583*(1-'Sensitivity &amp; Scenarios'!$C$12)+'Sensitivity &amp; Scenarios'!$C$9*'Sensitivity &amp; Scenarios'!$C$12-'Sensitivity &amp; Scenarios'!$C$10</f>
        <v>8.6495199554464636E-2</v>
      </c>
      <c r="H583" s="209">
        <f>('Sensitivity &amp; Scenarios'!$C$6*(1+$E583)^1*$G583+'Sensitivity &amp; Scenarios'!$C$11*'Sensitivity &amp; Scenarios'!$C$6*((1+$E583)^1-(1+$E583)^0))*'Sensitivity &amp; Scenarios'!$C$18/(1+$C583)^'Sensitivity &amp; Scenarios'!$C$18+('Sensitivity &amp; Scenarios'!$C$6*(1+$E583)^2*$G583+'Sensitivity &amp; Scenarios'!$C$11*'Sensitivity &amp; Scenarios'!$C$6*((1+$E583)^2-(1+$E583)^1))/(1+$C583)^('Sensitivity &amp; Scenarios'!$C$18+1)+('Sensitivity &amp; Scenarios'!$C$6*(1+$E583)^3*$G583+'Sensitivity &amp; Scenarios'!$C$11*'Sensitivity &amp; Scenarios'!$C$6*((1+$E583)^3-(1+$E583)^2))/(1+$C583)^('Sensitivity &amp; Scenarios'!$C$18+2)+('Sensitivity &amp; Scenarios'!$C$6*(1+$E583)^4*$G583+'Sensitivity &amp; Scenarios'!$C$11*'Sensitivity &amp; Scenarios'!$C$6*((1+$E583)^4-(1+$E583)^3))/(1+$C583)^('Sensitivity &amp; Scenarios'!$C$18+3)+('Sensitivity &amp; Scenarios'!$C$6*(1+$E583)^5*$G583+'Sensitivity &amp; Scenarios'!$C$11*'Sensitivity &amp; Scenarios'!$C$6*((1+$E583)^5-(1+$E583)^4))/(1+$C583)^('Sensitivity &amp; Scenarios'!$C$18+4)</f>
        <v>27265.965867232477</v>
      </c>
      <c r="I583" s="209">
        <f>('Sensitivity &amp; Scenarios'!$C$6*(1+$E583)^5*$G583+'Sensitivity &amp; Scenarios'!$C$11*'Sensitivity &amp; Scenarios'!$C$6*((1+$E583)^5-(1+$E583)^4))*(1+$D583)/($C583-$D583)/(1+$C583)^('Sensitivity &amp; Scenarios'!$C$18+4)</f>
        <v>73010.767747548263</v>
      </c>
      <c r="J583" s="209">
        <f>($H583+$I583-'Sensitivity &amp; Scenarios'!$C$15+'Sensitivity &amp; Scenarios'!$C$16)/'Sensitivity &amp; Scenarios'!$C$17</f>
        <v>2397.2637005709498</v>
      </c>
    </row>
    <row r="584" spans="2:10" x14ac:dyDescent="0.3">
      <c r="B584" s="127">
        <v>554</v>
      </c>
      <c r="C584" s="206">
        <f>$D$7+1.291686*$E$7</f>
        <v>0.15046911943997798</v>
      </c>
      <c r="D584" s="206">
        <f>MIN($D$8+1.778321*$E$8,'Debt &amp; Cost of Capital'!$C$38)</f>
        <v>6.5669926000000003E-2</v>
      </c>
      <c r="E584" s="207">
        <f>$D$9+-0.866416*$E$9</f>
        <v>0.14122861770254636</v>
      </c>
      <c r="F584" s="207">
        <f>$D$10+0.013898*$E$10</f>
        <v>0.14516677599999991</v>
      </c>
      <c r="G584" s="208">
        <f>$F584*(1-'Sensitivity &amp; Scenarios'!$C$12)+'Sensitivity &amp; Scenarios'!$C$9*'Sensitivity &amp; Scenarios'!$C$12-'Sensitivity &amp; Scenarios'!$C$10</f>
        <v>7.7823716569264637E-2</v>
      </c>
      <c r="H584" s="209">
        <f>('Sensitivity &amp; Scenarios'!$C$6*(1+$E584)^1*$G584+'Sensitivity &amp; Scenarios'!$C$11*'Sensitivity &amp; Scenarios'!$C$6*((1+$E584)^1-(1+$E584)^0))*'Sensitivity &amp; Scenarios'!$C$18/(1+$C584)^'Sensitivity &amp; Scenarios'!$C$18+('Sensitivity &amp; Scenarios'!$C$6*(1+$E584)^2*$G584+'Sensitivity &amp; Scenarios'!$C$11*'Sensitivity &amp; Scenarios'!$C$6*((1+$E584)^2-(1+$E584)^1))/(1+$C584)^('Sensitivity &amp; Scenarios'!$C$18+1)+('Sensitivity &amp; Scenarios'!$C$6*(1+$E584)^3*$G584+'Sensitivity &amp; Scenarios'!$C$11*'Sensitivity &amp; Scenarios'!$C$6*((1+$E584)^3-(1+$E584)^2))/(1+$C584)^('Sensitivity &amp; Scenarios'!$C$18+2)+('Sensitivity &amp; Scenarios'!$C$6*(1+$E584)^4*$G584+'Sensitivity &amp; Scenarios'!$C$11*'Sensitivity &amp; Scenarios'!$C$6*((1+$E584)^4-(1+$E584)^3))/(1+$C584)^('Sensitivity &amp; Scenarios'!$C$18+3)+('Sensitivity &amp; Scenarios'!$C$6*(1+$E584)^5*$G584+'Sensitivity &amp; Scenarios'!$C$11*'Sensitivity &amp; Scenarios'!$C$6*((1+$E584)^5-(1+$E584)^4))/(1+$C584)^('Sensitivity &amp; Scenarios'!$C$18+4)</f>
        <v>20552.638667192492</v>
      </c>
      <c r="I584" s="209">
        <f>('Sensitivity &amp; Scenarios'!$C$6*(1+$E584)^5*$G584+'Sensitivity &amp; Scenarios'!$C$11*'Sensitivity &amp; Scenarios'!$C$6*((1+$E584)^5-(1+$E584)^4))*(1+$D584)/($C584-$D584)/(1+$C584)^('Sensitivity &amp; Scenarios'!$C$18+4)</f>
        <v>54925.322505312484</v>
      </c>
      <c r="J584" s="209">
        <f>($H584+$I584-'Sensitivity &amp; Scenarios'!$C$15+'Sensitivity &amp; Scenarios'!$C$16)/'Sensitivity &amp; Scenarios'!$C$17</f>
        <v>1875.2798861900937</v>
      </c>
    </row>
    <row r="585" spans="2:10" x14ac:dyDescent="0.3">
      <c r="B585" s="127">
        <v>555</v>
      </c>
      <c r="C585" s="206">
        <f>$D$7+0.011278*$E$7</f>
        <v>0.13766503943997799</v>
      </c>
      <c r="D585" s="206">
        <f>MIN($D$8+-0.098074*$E$8,'Debt &amp; Cost of Capital'!$C$38)</f>
        <v>5.4411556E-2</v>
      </c>
      <c r="E585" s="207">
        <f>$D$9+-0.649263*$E$9</f>
        <v>0.14774320770254634</v>
      </c>
      <c r="F585" s="207">
        <f>$D$10+-1.485562*$E$10</f>
        <v>0.1271732559999999</v>
      </c>
      <c r="G585" s="208">
        <f>$F585*(1-'Sensitivity &amp; Scenarios'!$C$12)+'Sensitivity &amp; Scenarios'!$C$9*'Sensitivity &amp; Scenarios'!$C$12-'Sensitivity &amp; Scenarios'!$C$10</f>
        <v>6.4359165553264638E-2</v>
      </c>
      <c r="H585" s="209">
        <f>('Sensitivity &amp; Scenarios'!$C$6*(1+$E585)^1*$G585+'Sensitivity &amp; Scenarios'!$C$11*'Sensitivity &amp; Scenarios'!$C$6*((1+$E585)^1-(1+$E585)^0))*'Sensitivity &amp; Scenarios'!$C$18/(1+$C585)^'Sensitivity &amp; Scenarios'!$C$18+('Sensitivity &amp; Scenarios'!$C$6*(1+$E585)^2*$G585+'Sensitivity &amp; Scenarios'!$C$11*'Sensitivity &amp; Scenarios'!$C$6*((1+$E585)^2-(1+$E585)^1))/(1+$C585)^('Sensitivity &amp; Scenarios'!$C$18+1)+('Sensitivity &amp; Scenarios'!$C$6*(1+$E585)^3*$G585+'Sensitivity &amp; Scenarios'!$C$11*'Sensitivity &amp; Scenarios'!$C$6*((1+$E585)^3-(1+$E585)^2))/(1+$C585)^('Sensitivity &amp; Scenarios'!$C$18+2)+('Sensitivity &amp; Scenarios'!$C$6*(1+$E585)^4*$G585+'Sensitivity &amp; Scenarios'!$C$11*'Sensitivity &amp; Scenarios'!$C$6*((1+$E585)^4-(1+$E585)^3))/(1+$C585)^('Sensitivity &amp; Scenarios'!$C$18+3)+('Sensitivity &amp; Scenarios'!$C$6*(1+$E585)^5*$G585+'Sensitivity &amp; Scenarios'!$C$11*'Sensitivity &amp; Scenarios'!$C$6*((1+$E585)^5-(1+$E585)^4))/(1+$C585)^('Sensitivity &amp; Scenarios'!$C$18+4)</f>
        <v>18539.733704157406</v>
      </c>
      <c r="I585" s="209">
        <f>('Sensitivity &amp; Scenarios'!$C$6*(1+$E585)^5*$G585+'Sensitivity &amp; Scenarios'!$C$11*'Sensitivity &amp; Scenarios'!$C$6*((1+$E585)^5-(1+$E585)^4))*(1+$D585)/($C585-$D585)/(1+$C585)^('Sensitivity &amp; Scenarios'!$C$18+4)</f>
        <v>51509.034390326298</v>
      </c>
      <c r="J585" s="209">
        <f>($H585+$I585-'Sensitivity &amp; Scenarios'!$C$15+'Sensitivity &amp; Scenarios'!$C$16)/'Sensitivity &amp; Scenarios'!$C$17</f>
        <v>1761.0020154417621</v>
      </c>
    </row>
    <row r="586" spans="2:10" x14ac:dyDescent="0.3">
      <c r="B586" s="127">
        <v>556</v>
      </c>
      <c r="C586" s="206">
        <f>$D$7+0.092679*$E$7</f>
        <v>0.13847904943997799</v>
      </c>
      <c r="D586" s="206">
        <f>MIN($D$8+-0.768356*$E$8,'Debt &amp; Cost of Capital'!$C$38)</f>
        <v>5.0389863999999999E-2</v>
      </c>
      <c r="E586" s="207">
        <f>$D$9+0.085993*$E$9</f>
        <v>0.16980088770254634</v>
      </c>
      <c r="F586" s="207">
        <f>$D$10+-0.794044*$E$10</f>
        <v>0.1354714719999999</v>
      </c>
      <c r="G586" s="208">
        <f>$F586*(1-'Sensitivity &amp; Scenarios'!$C$12)+'Sensitivity &amp; Scenarios'!$C$9*'Sensitivity &amp; Scenarios'!$C$12-'Sensitivity &amp; Scenarios'!$C$10</f>
        <v>7.0568720586064629E-2</v>
      </c>
      <c r="H586" s="209">
        <f>('Sensitivity &amp; Scenarios'!$C$6*(1+$E586)^1*$G586+'Sensitivity &amp; Scenarios'!$C$11*'Sensitivity &amp; Scenarios'!$C$6*((1+$E586)^1-(1+$E586)^0))*'Sensitivity &amp; Scenarios'!$C$18/(1+$C586)^'Sensitivity &amp; Scenarios'!$C$18+('Sensitivity &amp; Scenarios'!$C$6*(1+$E586)^2*$G586+'Sensitivity &amp; Scenarios'!$C$11*'Sensitivity &amp; Scenarios'!$C$6*((1+$E586)^2-(1+$E586)^1))/(1+$C586)^('Sensitivity &amp; Scenarios'!$C$18+1)+('Sensitivity &amp; Scenarios'!$C$6*(1+$E586)^3*$G586+'Sensitivity &amp; Scenarios'!$C$11*'Sensitivity &amp; Scenarios'!$C$6*((1+$E586)^3-(1+$E586)^2))/(1+$C586)^('Sensitivity &amp; Scenarios'!$C$18+2)+('Sensitivity &amp; Scenarios'!$C$6*(1+$E586)^4*$G586+'Sensitivity &amp; Scenarios'!$C$11*'Sensitivity &amp; Scenarios'!$C$6*((1+$E586)^4-(1+$E586)^3))/(1+$C586)^('Sensitivity &amp; Scenarios'!$C$18+3)+('Sensitivity &amp; Scenarios'!$C$6*(1+$E586)^5*$G586+'Sensitivity &amp; Scenarios'!$C$11*'Sensitivity &amp; Scenarios'!$C$6*((1+$E586)^5-(1+$E586)^4))/(1+$C586)^('Sensitivity &amp; Scenarios'!$C$18+4)</f>
        <v>21668.479472216499</v>
      </c>
      <c r="I586" s="209">
        <f>('Sensitivity &amp; Scenarios'!$C$6*(1+$E586)^5*$G586+'Sensitivity &amp; Scenarios'!$C$11*'Sensitivity &amp; Scenarios'!$C$6*((1+$E586)^5-(1+$E586)^4))*(1+$D586)/($C586-$D586)/(1+$C586)^('Sensitivity &amp; Scenarios'!$C$18+4)</f>
        <v>58589.69164248852</v>
      </c>
      <c r="J586" s="209">
        <f>($H586+$I586-'Sensitivity &amp; Scenarios'!$C$15+'Sensitivity &amp; Scenarios'!$C$16)/'Sensitivity &amp; Scenarios'!$C$17</f>
        <v>1975.8974560709796</v>
      </c>
    </row>
    <row r="587" spans="2:10" x14ac:dyDescent="0.3">
      <c r="B587" s="127">
        <v>557</v>
      </c>
      <c r="C587" s="206">
        <f>$D$7+-1.099658*$E$7</f>
        <v>0.12655567943997797</v>
      </c>
      <c r="D587" s="206">
        <f>MIN($D$8+0.234298*$E$8,'Debt &amp; Cost of Capital'!$C$38)</f>
        <v>5.6405787999999998E-2</v>
      </c>
      <c r="E587" s="207">
        <f>$D$9+0.150922*$E$9</f>
        <v>0.17174875770254633</v>
      </c>
      <c r="F587" s="207">
        <f>$D$10+0.579282*$E$10</f>
        <v>0.15195138399999991</v>
      </c>
      <c r="G587" s="208">
        <f>$F587*(1-'Sensitivity &amp; Scenarios'!$C$12)+'Sensitivity &amp; Scenarios'!$C$9*'Sensitivity &amp; Scenarios'!$C$12-'Sensitivity &amp; Scenarios'!$C$10</f>
        <v>8.2900638735664639E-2</v>
      </c>
      <c r="H587" s="209">
        <f>('Sensitivity &amp; Scenarios'!$C$6*(1+$E587)^1*$G587+'Sensitivity &amp; Scenarios'!$C$11*'Sensitivity &amp; Scenarios'!$C$6*((1+$E587)^1-(1+$E587)^0))*'Sensitivity &amp; Scenarios'!$C$18/(1+$C587)^'Sensitivity &amp; Scenarios'!$C$18+('Sensitivity &amp; Scenarios'!$C$6*(1+$E587)^2*$G587+'Sensitivity &amp; Scenarios'!$C$11*'Sensitivity &amp; Scenarios'!$C$6*((1+$E587)^2-(1+$E587)^1))/(1+$C587)^('Sensitivity &amp; Scenarios'!$C$18+1)+('Sensitivity &amp; Scenarios'!$C$6*(1+$E587)^3*$G587+'Sensitivity &amp; Scenarios'!$C$11*'Sensitivity &amp; Scenarios'!$C$6*((1+$E587)^3-(1+$E587)^2))/(1+$C587)^('Sensitivity &amp; Scenarios'!$C$18+2)+('Sensitivity &amp; Scenarios'!$C$6*(1+$E587)^4*$G587+'Sensitivity &amp; Scenarios'!$C$11*'Sensitivity &amp; Scenarios'!$C$6*((1+$E587)^4-(1+$E587)^3))/(1+$C587)^('Sensitivity &amp; Scenarios'!$C$18+3)+('Sensitivity &amp; Scenarios'!$C$6*(1+$E587)^5*$G587+'Sensitivity &amp; Scenarios'!$C$11*'Sensitivity &amp; Scenarios'!$C$6*((1+$E587)^5-(1+$E587)^4))/(1+$C587)^('Sensitivity &amp; Scenarios'!$C$18+4)</f>
        <v>25688.429053155574</v>
      </c>
      <c r="I587" s="209">
        <f>('Sensitivity &amp; Scenarios'!$C$6*(1+$E587)^5*$G587+'Sensitivity &amp; Scenarios'!$C$11*'Sensitivity &amp; Scenarios'!$C$6*((1+$E587)^5-(1+$E587)^4))*(1+$D587)/($C587-$D587)/(1+$C587)^('Sensitivity &amp; Scenarios'!$C$18+4)</f>
        <v>89647.467860868972</v>
      </c>
      <c r="J587" s="209">
        <f>($H587+$I587-'Sensitivity &amp; Scenarios'!$C$15+'Sensitivity &amp; Scenarios'!$C$16)/'Sensitivity &amp; Scenarios'!$C$17</f>
        <v>2714.2406605644628</v>
      </c>
    </row>
    <row r="588" spans="2:10" x14ac:dyDescent="0.3">
      <c r="B588" s="127">
        <v>558</v>
      </c>
      <c r="C588" s="206">
        <f>$D$7+2.185864*$E$7</f>
        <v>0.15941089943997799</v>
      </c>
      <c r="D588" s="206">
        <f>MIN($D$8+0.27729*$E$8,'Debt &amp; Cost of Capital'!$C$38)</f>
        <v>5.6663739999999997E-2</v>
      </c>
      <c r="E588" s="207">
        <f>$D$9+0.485082*$E$9</f>
        <v>0.18177355770254633</v>
      </c>
      <c r="F588" s="207">
        <f>$D$10+-1.077561*$E$10</f>
        <v>0.13206926799999991</v>
      </c>
      <c r="G588" s="208">
        <f>$F588*(1-'Sensitivity &amp; Scenarios'!$C$12)+'Sensitivity &amp; Scenarios'!$C$9*'Sensitivity &amp; Scenarios'!$C$12-'Sensitivity &amp; Scenarios'!$C$10</f>
        <v>6.8022851332864634E-2</v>
      </c>
      <c r="H588" s="209">
        <f>('Sensitivity &amp; Scenarios'!$C$6*(1+$E588)^1*$G588+'Sensitivity &amp; Scenarios'!$C$11*'Sensitivity &amp; Scenarios'!$C$6*((1+$E588)^1-(1+$E588)^0))*'Sensitivity &amp; Scenarios'!$C$18/(1+$C588)^'Sensitivity &amp; Scenarios'!$C$18+('Sensitivity &amp; Scenarios'!$C$6*(1+$E588)^2*$G588+'Sensitivity &amp; Scenarios'!$C$11*'Sensitivity &amp; Scenarios'!$C$6*((1+$E588)^2-(1+$E588)^1))/(1+$C588)^('Sensitivity &amp; Scenarios'!$C$18+1)+('Sensitivity &amp; Scenarios'!$C$6*(1+$E588)^3*$G588+'Sensitivity &amp; Scenarios'!$C$11*'Sensitivity &amp; Scenarios'!$C$6*((1+$E588)^3-(1+$E588)^2))/(1+$C588)^('Sensitivity &amp; Scenarios'!$C$18+2)+('Sensitivity &amp; Scenarios'!$C$6*(1+$E588)^4*$G588+'Sensitivity &amp; Scenarios'!$C$11*'Sensitivity &amp; Scenarios'!$C$6*((1+$E588)^4-(1+$E588)^3))/(1+$C588)^('Sensitivity &amp; Scenarios'!$C$18+3)+('Sensitivity &amp; Scenarios'!$C$6*(1+$E588)^5*$G588+'Sensitivity &amp; Scenarios'!$C$11*'Sensitivity &amp; Scenarios'!$C$6*((1+$E588)^5-(1+$E588)^4))/(1+$C588)^('Sensitivity &amp; Scenarios'!$C$18+4)</f>
        <v>20868.604985187449</v>
      </c>
      <c r="I588" s="209">
        <f>('Sensitivity &amp; Scenarios'!$C$6*(1+$E588)^5*$G588+'Sensitivity &amp; Scenarios'!$C$11*'Sensitivity &amp; Scenarios'!$C$6*((1+$E588)^5-(1+$E588)^4))*(1+$D588)/($C588-$D588)/(1+$C588)^('Sensitivity &amp; Scenarios'!$C$18+4)</f>
        <v>47967.232877728333</v>
      </c>
      <c r="J588" s="209">
        <f>($H588+$I588-'Sensitivity &amp; Scenarios'!$C$15+'Sensitivity &amp; Scenarios'!$C$16)/'Sensitivity &amp; Scenarios'!$C$17</f>
        <v>1735.4713182943358</v>
      </c>
    </row>
    <row r="589" spans="2:10" x14ac:dyDescent="0.3">
      <c r="B589" s="127">
        <v>559</v>
      </c>
      <c r="C589" s="206">
        <f>$D$7+-1.286907*$E$7</f>
        <v>0.12468318943997798</v>
      </c>
      <c r="D589" s="206">
        <f>MIN($D$8+1.582829*$E$8,'Debt &amp; Cost of Capital'!$C$38)</f>
        <v>6.4496973999999999E-2</v>
      </c>
      <c r="E589" s="207">
        <f>$D$9+-0.92348*$E$9</f>
        <v>0.13951669770254635</v>
      </c>
      <c r="F589" s="207">
        <f>$D$10+-1.043944*$E$10</f>
        <v>0.1324726719999999</v>
      </c>
      <c r="G589" s="208">
        <f>$F589*(1-'Sensitivity &amp; Scenarios'!$C$12)+'Sensitivity &amp; Scenarios'!$C$9*'Sensitivity &amp; Scenarios'!$C$12-'Sensitivity &amp; Scenarios'!$C$10</f>
        <v>6.8324718546064631E-2</v>
      </c>
      <c r="H589" s="209">
        <f>('Sensitivity &amp; Scenarios'!$C$6*(1+$E589)^1*$G589+'Sensitivity &amp; Scenarios'!$C$11*'Sensitivity &amp; Scenarios'!$C$6*((1+$E589)^1-(1+$E589)^0))*'Sensitivity &amp; Scenarios'!$C$18/(1+$C589)^'Sensitivity &amp; Scenarios'!$C$18+('Sensitivity &amp; Scenarios'!$C$6*(1+$E589)^2*$G589+'Sensitivity &amp; Scenarios'!$C$11*'Sensitivity &amp; Scenarios'!$C$6*((1+$E589)^2-(1+$E589)^1))/(1+$C589)^('Sensitivity &amp; Scenarios'!$C$18+1)+('Sensitivity &amp; Scenarios'!$C$6*(1+$E589)^3*$G589+'Sensitivity &amp; Scenarios'!$C$11*'Sensitivity &amp; Scenarios'!$C$6*((1+$E589)^3-(1+$E589)^2))/(1+$C589)^('Sensitivity &amp; Scenarios'!$C$18+2)+('Sensitivity &amp; Scenarios'!$C$6*(1+$E589)^4*$G589+'Sensitivity &amp; Scenarios'!$C$11*'Sensitivity &amp; Scenarios'!$C$6*((1+$E589)^4-(1+$E589)^3))/(1+$C589)^('Sensitivity &amp; Scenarios'!$C$18+3)+('Sensitivity &amp; Scenarios'!$C$6*(1+$E589)^5*$G589+'Sensitivity &amp; Scenarios'!$C$11*'Sensitivity &amp; Scenarios'!$C$6*((1+$E589)^5-(1+$E589)^4))/(1+$C589)^('Sensitivity &amp; Scenarios'!$C$18+4)</f>
        <v>19495.104259661333</v>
      </c>
      <c r="I589" s="209">
        <f>('Sensitivity &amp; Scenarios'!$C$6*(1+$E589)^5*$G589+'Sensitivity &amp; Scenarios'!$C$11*'Sensitivity &amp; Scenarios'!$C$6*((1+$E589)^5-(1+$E589)^4))*(1+$D589)/($C589-$D589)/(1+$C589)^('Sensitivity &amp; Scenarios'!$C$18+4)</f>
        <v>76231.357572582085</v>
      </c>
      <c r="J589" s="209">
        <f>($H589+$I589-'Sensitivity &amp; Scenarios'!$C$15+'Sensitivity &amp; Scenarios'!$C$16)/'Sensitivity &amp; Scenarios'!$C$17</f>
        <v>2301.4860475823957</v>
      </c>
    </row>
    <row r="590" spans="2:10" x14ac:dyDescent="0.3">
      <c r="B590" s="127">
        <v>560</v>
      </c>
      <c r="C590" s="206">
        <f>$D$7+-0.039099*$E$7</f>
        <v>0.13716126943997797</v>
      </c>
      <c r="D590" s="206">
        <f>MIN($D$8+-0.090192*$E$8,'Debt &amp; Cost of Capital'!$C$38)</f>
        <v>5.4458847999999997E-2</v>
      </c>
      <c r="E590" s="207">
        <f>$D$9+-0.902507*$E$9</f>
        <v>0.14014588770254635</v>
      </c>
      <c r="F590" s="207">
        <f>$D$10+-0.304973*$E$10</f>
        <v>0.14134032399999991</v>
      </c>
      <c r="G590" s="208">
        <f>$F590*(1-'Sensitivity &amp; Scenarios'!$C$12)+'Sensitivity &amp; Scenarios'!$C$9*'Sensitivity &amp; Scenarios'!$C$12-'Sensitivity &amp; Scenarios'!$C$10</f>
        <v>7.4960382537664641E-2</v>
      </c>
      <c r="H590" s="209">
        <f>('Sensitivity &amp; Scenarios'!$C$6*(1+$E590)^1*$G590+'Sensitivity &amp; Scenarios'!$C$11*'Sensitivity &amp; Scenarios'!$C$6*((1+$E590)^1-(1+$E590)^0))*'Sensitivity &amp; Scenarios'!$C$18/(1+$C590)^'Sensitivity &amp; Scenarios'!$C$18+('Sensitivity &amp; Scenarios'!$C$6*(1+$E590)^2*$G590+'Sensitivity &amp; Scenarios'!$C$11*'Sensitivity &amp; Scenarios'!$C$6*((1+$E590)^2-(1+$E590)^1))/(1+$C590)^('Sensitivity &amp; Scenarios'!$C$18+1)+('Sensitivity &amp; Scenarios'!$C$6*(1+$E590)^3*$G590+'Sensitivity &amp; Scenarios'!$C$11*'Sensitivity &amp; Scenarios'!$C$6*((1+$E590)^3-(1+$E590)^2))/(1+$C590)^('Sensitivity &amp; Scenarios'!$C$18+2)+('Sensitivity &amp; Scenarios'!$C$6*(1+$E590)^4*$G590+'Sensitivity &amp; Scenarios'!$C$11*'Sensitivity &amp; Scenarios'!$C$6*((1+$E590)^4-(1+$E590)^3))/(1+$C590)^('Sensitivity &amp; Scenarios'!$C$18+3)+('Sensitivity &amp; Scenarios'!$C$6*(1+$E590)^5*$G590+'Sensitivity &amp; Scenarios'!$C$11*'Sensitivity &amp; Scenarios'!$C$6*((1+$E590)^5-(1+$E590)^4))/(1+$C590)^('Sensitivity &amp; Scenarios'!$C$18+4)</f>
        <v>20482.389774294432</v>
      </c>
      <c r="I590" s="209">
        <f>('Sensitivity &amp; Scenarios'!$C$6*(1+$E590)^5*$G590+'Sensitivity &amp; Scenarios'!$C$11*'Sensitivity &amp; Scenarios'!$C$6*((1+$E590)^5-(1+$E590)^4))*(1+$D590)/($C590-$D590)/(1+$C590)^('Sensitivity &amp; Scenarios'!$C$18+4)</f>
        <v>56641.520020582626</v>
      </c>
      <c r="J590" s="209">
        <f>($H590+$I590-'Sensitivity &amp; Scenarios'!$C$15+'Sensitivity &amp; Scenarios'!$C$16)/'Sensitivity &amp; Scenarios'!$C$17</f>
        <v>1909.9250905920683</v>
      </c>
    </row>
    <row r="591" spans="2:10" x14ac:dyDescent="0.3">
      <c r="B591" s="127">
        <v>561</v>
      </c>
      <c r="C591" s="206">
        <f>$D$7+1.229376*$E$7</f>
        <v>0.149846019439978</v>
      </c>
      <c r="D591" s="206">
        <f>MIN($D$8+-0.805994*$E$8,'Debt &amp; Cost of Capital'!$C$38)</f>
        <v>5.0164036000000002E-2</v>
      </c>
      <c r="E591" s="207">
        <f>$D$9+-1.393672*$E$9</f>
        <v>0.12541093770254635</v>
      </c>
      <c r="F591" s="207">
        <f>$D$10+0.942594*$E$10</f>
        <v>0.15631112799999991</v>
      </c>
      <c r="G591" s="208">
        <f>$F591*(1-'Sensitivity &amp; Scenarios'!$C$12)+'Sensitivity &amp; Scenarios'!$C$9*'Sensitivity &amp; Scenarios'!$C$12-'Sensitivity &amp; Scenarios'!$C$10</f>
        <v>8.6163035170864641E-2</v>
      </c>
      <c r="H591" s="209">
        <f>('Sensitivity &amp; Scenarios'!$C$6*(1+$E591)^1*$G591+'Sensitivity &amp; Scenarios'!$C$11*'Sensitivity &amp; Scenarios'!$C$6*((1+$E591)^1-(1+$E591)^0))*'Sensitivity &amp; Scenarios'!$C$18/(1+$C591)^'Sensitivity &amp; Scenarios'!$C$18+('Sensitivity &amp; Scenarios'!$C$6*(1+$E591)^2*$G591+'Sensitivity &amp; Scenarios'!$C$11*'Sensitivity &amp; Scenarios'!$C$6*((1+$E591)^2-(1+$E591)^1))/(1+$C591)^('Sensitivity &amp; Scenarios'!$C$18+1)+('Sensitivity &amp; Scenarios'!$C$6*(1+$E591)^3*$G591+'Sensitivity &amp; Scenarios'!$C$11*'Sensitivity &amp; Scenarios'!$C$6*((1+$E591)^3-(1+$E591)^2))/(1+$C591)^('Sensitivity &amp; Scenarios'!$C$18+2)+('Sensitivity &amp; Scenarios'!$C$6*(1+$E591)^4*$G591+'Sensitivity &amp; Scenarios'!$C$11*'Sensitivity &amp; Scenarios'!$C$6*((1+$E591)^4-(1+$E591)^3))/(1+$C591)^('Sensitivity &amp; Scenarios'!$C$18+3)+('Sensitivity &amp; Scenarios'!$C$6*(1+$E591)^5*$G591+'Sensitivity &amp; Scenarios'!$C$11*'Sensitivity &amp; Scenarios'!$C$6*((1+$E591)^5-(1+$E591)^4))/(1+$C591)^('Sensitivity &amp; Scenarios'!$C$18+4)</f>
        <v>21208.219443467977</v>
      </c>
      <c r="I591" s="209">
        <f>('Sensitivity &amp; Scenarios'!$C$6*(1+$E591)^5*$G591+'Sensitivity &amp; Scenarios'!$C$11*'Sensitivity &amp; Scenarios'!$C$6*((1+$E591)^5-(1+$E591)^4))*(1+$D591)/($C591-$D591)/(1+$C591)^('Sensitivity &amp; Scenarios'!$C$18+4)</f>
        <v>46337.557746829691</v>
      </c>
      <c r="J591" s="209">
        <f>($H591+$I591-'Sensitivity &amp; Scenarios'!$C$15+'Sensitivity &amp; Scenarios'!$C$16)/'Sensitivity &amp; Scenarios'!$C$17</f>
        <v>1708.3171197450574</v>
      </c>
    </row>
    <row r="592" spans="2:10" x14ac:dyDescent="0.3">
      <c r="B592" s="127">
        <v>562</v>
      </c>
      <c r="C592" s="206">
        <f>$D$7+0.492297*$E$7</f>
        <v>0.14247522943997798</v>
      </c>
      <c r="D592" s="206">
        <f>MIN($D$8+-0.620519*$E$8,'Debt &amp; Cost of Capital'!$C$38)</f>
        <v>5.1276886000000001E-2</v>
      </c>
      <c r="E592" s="207">
        <f>$D$9+-1.582167*$E$9</f>
        <v>0.11975608770254634</v>
      </c>
      <c r="F592" s="207">
        <f>$D$10+-0.744623*$E$10</f>
        <v>0.13606452399999991</v>
      </c>
      <c r="G592" s="208">
        <f>$F592*(1-'Sensitivity &amp; Scenarios'!$C$12)+'Sensitivity &amp; Scenarios'!$C$9*'Sensitivity &amp; Scenarios'!$C$12-'Sensitivity &amp; Scenarios'!$C$10</f>
        <v>7.1012501397664643E-2</v>
      </c>
      <c r="H592" s="209">
        <f>('Sensitivity &amp; Scenarios'!$C$6*(1+$E592)^1*$G592+'Sensitivity &amp; Scenarios'!$C$11*'Sensitivity &amp; Scenarios'!$C$6*((1+$E592)^1-(1+$E592)^0))*'Sensitivity &amp; Scenarios'!$C$18/(1+$C592)^'Sensitivity &amp; Scenarios'!$C$18+('Sensitivity &amp; Scenarios'!$C$6*(1+$E592)^2*$G592+'Sensitivity &amp; Scenarios'!$C$11*'Sensitivity &amp; Scenarios'!$C$6*((1+$E592)^2-(1+$E592)^1))/(1+$C592)^('Sensitivity &amp; Scenarios'!$C$18+1)+('Sensitivity &amp; Scenarios'!$C$6*(1+$E592)^3*$G592+'Sensitivity &amp; Scenarios'!$C$11*'Sensitivity &amp; Scenarios'!$C$6*((1+$E592)^3-(1+$E592)^2))/(1+$C592)^('Sensitivity &amp; Scenarios'!$C$18+2)+('Sensitivity &amp; Scenarios'!$C$6*(1+$E592)^4*$G592+'Sensitivity &amp; Scenarios'!$C$11*'Sensitivity &amp; Scenarios'!$C$6*((1+$E592)^4-(1+$E592)^3))/(1+$C592)^('Sensitivity &amp; Scenarios'!$C$18+3)+('Sensitivity &amp; Scenarios'!$C$6*(1+$E592)^5*$G592+'Sensitivity &amp; Scenarios'!$C$11*'Sensitivity &amp; Scenarios'!$C$6*((1+$E592)^5-(1+$E592)^4))/(1+$C592)^('Sensitivity &amp; Scenarios'!$C$18+4)</f>
        <v>17872.637462500315</v>
      </c>
      <c r="I592" s="209">
        <f>('Sensitivity &amp; Scenarios'!$C$6*(1+$E592)^5*$G592+'Sensitivity &amp; Scenarios'!$C$11*'Sensitivity &amp; Scenarios'!$C$6*((1+$E592)^5-(1+$E592)^4))*(1+$D592)/($C592-$D592)/(1+$C592)^('Sensitivity &amp; Scenarios'!$C$18+4)</f>
        <v>42839.522334142734</v>
      </c>
      <c r="J592" s="209">
        <f>($H592+$I592-'Sensitivity &amp; Scenarios'!$C$15+'Sensitivity &amp; Scenarios'!$C$16)/'Sensitivity &amp; Scenarios'!$C$17</f>
        <v>1564.4778357054051</v>
      </c>
    </row>
    <row r="593" spans="2:10" x14ac:dyDescent="0.3">
      <c r="B593" s="127">
        <v>563</v>
      </c>
      <c r="C593" s="206">
        <f>$D$7+-0.054704*$E$7</f>
        <v>0.13700521943997798</v>
      </c>
      <c r="D593" s="206">
        <f>MIN($D$8+1.165672*$E$8,'Debt &amp; Cost of Capital'!$C$38)</f>
        <v>6.1994032000000004E-2</v>
      </c>
      <c r="E593" s="207">
        <f>$D$9+-1.036582*$E$9</f>
        <v>0.13612363770254635</v>
      </c>
      <c r="F593" s="207">
        <f>$D$10+-0.08452*$E$10</f>
        <v>0.14398575999999991</v>
      </c>
      <c r="G593" s="208">
        <f>$F593*(1-'Sensitivity &amp; Scenarios'!$C$12)+'Sensitivity &amp; Scenarios'!$C$9*'Sensitivity &amp; Scenarios'!$C$12-'Sensitivity &amp; Scenarios'!$C$10</f>
        <v>7.6939962296464631E-2</v>
      </c>
      <c r="H593" s="209">
        <f>('Sensitivity &amp; Scenarios'!$C$6*(1+$E593)^1*$G593+'Sensitivity &amp; Scenarios'!$C$11*'Sensitivity &amp; Scenarios'!$C$6*((1+$E593)^1-(1+$E593)^0))*'Sensitivity &amp; Scenarios'!$C$18/(1+$C593)^'Sensitivity &amp; Scenarios'!$C$18+('Sensitivity &amp; Scenarios'!$C$6*(1+$E593)^2*$G593+'Sensitivity &amp; Scenarios'!$C$11*'Sensitivity &amp; Scenarios'!$C$6*((1+$E593)^2-(1+$E593)^1))/(1+$C593)^('Sensitivity &amp; Scenarios'!$C$18+1)+('Sensitivity &amp; Scenarios'!$C$6*(1+$E593)^3*$G593+'Sensitivity &amp; Scenarios'!$C$11*'Sensitivity &amp; Scenarios'!$C$6*((1+$E593)^3-(1+$E593)^2))/(1+$C593)^('Sensitivity &amp; Scenarios'!$C$18+2)+('Sensitivity &amp; Scenarios'!$C$6*(1+$E593)^4*$G593+'Sensitivity &amp; Scenarios'!$C$11*'Sensitivity &amp; Scenarios'!$C$6*((1+$E593)^4-(1+$E593)^3))/(1+$C593)^('Sensitivity &amp; Scenarios'!$C$18+3)+('Sensitivity &amp; Scenarios'!$C$6*(1+$E593)^5*$G593+'Sensitivity &amp; Scenarios'!$C$11*'Sensitivity &amp; Scenarios'!$C$6*((1+$E593)^5-(1+$E593)^4))/(1+$C593)^('Sensitivity &amp; Scenarios'!$C$18+4)</f>
        <v>20637.787883847577</v>
      </c>
      <c r="I593" s="209">
        <f>('Sensitivity &amp; Scenarios'!$C$6*(1+$E593)^5*$G593+'Sensitivity &amp; Scenarios'!$C$11*'Sensitivity &amp; Scenarios'!$C$6*((1+$E593)^5-(1+$E593)^4))*(1+$D593)/($C593-$D593)/(1+$C593)^('Sensitivity &amp; Scenarios'!$C$18+4)</f>
        <v>62977.854679895056</v>
      </c>
      <c r="J593" s="209">
        <f>($H593+$I593-'Sensitivity &amp; Scenarios'!$C$15+'Sensitivity &amp; Scenarios'!$C$16)/'Sensitivity &amp; Scenarios'!$C$17</f>
        <v>2046.5681216340788</v>
      </c>
    </row>
    <row r="594" spans="2:10" x14ac:dyDescent="0.3">
      <c r="B594" s="127">
        <v>564</v>
      </c>
      <c r="C594" s="206">
        <f>$D$7+0.675145*$E$7</f>
        <v>0.14430370943997797</v>
      </c>
      <c r="D594" s="206">
        <f>MIN($D$8+-2.381267*$E$8,'Debt &amp; Cost of Capital'!$C$38)</f>
        <v>4.0712397999999997E-2</v>
      </c>
      <c r="E594" s="207">
        <f>$D$9+1.033786*$E$9</f>
        <v>0.19823467770254635</v>
      </c>
      <c r="F594" s="207">
        <f>$D$10+-1.182451*$E$10</f>
        <v>0.13081058799999989</v>
      </c>
      <c r="G594" s="208">
        <f>$F594*(1-'Sensitivity &amp; Scenarios'!$C$12)+'Sensitivity &amp; Scenarios'!$C$9*'Sensitivity &amp; Scenarios'!$C$12-'Sensitivity &amp; Scenarios'!$C$10</f>
        <v>6.7080981088864622E-2</v>
      </c>
      <c r="H594" s="209">
        <f>('Sensitivity &amp; Scenarios'!$C$6*(1+$E594)^1*$G594+'Sensitivity &amp; Scenarios'!$C$11*'Sensitivity &amp; Scenarios'!$C$6*((1+$E594)^1-(1+$E594)^0))*'Sensitivity &amp; Scenarios'!$C$18/(1+$C594)^'Sensitivity &amp; Scenarios'!$C$18+('Sensitivity &amp; Scenarios'!$C$6*(1+$E594)^2*$G594+'Sensitivity &amp; Scenarios'!$C$11*'Sensitivity &amp; Scenarios'!$C$6*((1+$E594)^2-(1+$E594)^1))/(1+$C594)^('Sensitivity &amp; Scenarios'!$C$18+1)+('Sensitivity &amp; Scenarios'!$C$6*(1+$E594)^3*$G594+'Sensitivity &amp; Scenarios'!$C$11*'Sensitivity &amp; Scenarios'!$C$6*((1+$E594)^3-(1+$E594)^2))/(1+$C594)^('Sensitivity &amp; Scenarios'!$C$18+2)+('Sensitivity &amp; Scenarios'!$C$6*(1+$E594)^4*$G594+'Sensitivity &amp; Scenarios'!$C$11*'Sensitivity &amp; Scenarios'!$C$6*((1+$E594)^4-(1+$E594)^3))/(1+$C594)^('Sensitivity &amp; Scenarios'!$C$18+3)+('Sensitivity &amp; Scenarios'!$C$6*(1+$E594)^5*$G594+'Sensitivity &amp; Scenarios'!$C$11*'Sensitivity &amp; Scenarios'!$C$6*((1+$E594)^5-(1+$E594)^4))/(1+$C594)^('Sensitivity &amp; Scenarios'!$C$18+4)</f>
        <v>22739.335856462007</v>
      </c>
      <c r="I594" s="209">
        <f>('Sensitivity &amp; Scenarios'!$C$6*(1+$E594)^5*$G594+'Sensitivity &amp; Scenarios'!$C$11*'Sensitivity &amp; Scenarios'!$C$6*((1+$E594)^5-(1+$E594)^4))*(1+$D594)/($C594-$D594)/(1+$C594)^('Sensitivity &amp; Scenarios'!$C$18+4)</f>
        <v>53571.180369541478</v>
      </c>
      <c r="J594" s="209">
        <f>($H594+$I594-'Sensitivity &amp; Scenarios'!$C$15+'Sensitivity &amp; Scenarios'!$C$16)/'Sensitivity &amp; Scenarios'!$C$17</f>
        <v>1892.8041512930856</v>
      </c>
    </row>
    <row r="595" spans="2:10" x14ac:dyDescent="0.3">
      <c r="B595" s="127">
        <v>565</v>
      </c>
      <c r="C595" s="206">
        <f>$D$7+0.331995*$E$7</f>
        <v>0.14087220943997797</v>
      </c>
      <c r="D595" s="206">
        <f>MIN($D$8+0.246683*$E$8,'Debt &amp; Cost of Capital'!$C$38)</f>
        <v>5.6480097999999999E-2</v>
      </c>
      <c r="E595" s="207">
        <f>$D$9+1.084586*$E$9</f>
        <v>0.19975867770254635</v>
      </c>
      <c r="F595" s="207">
        <f>$D$10+0.550924*$E$10</f>
        <v>0.15161108799999989</v>
      </c>
      <c r="G595" s="208">
        <f>$F595*(1-'Sensitivity &amp; Scenarios'!$C$12)+'Sensitivity &amp; Scenarios'!$C$9*'Sensitivity &amp; Scenarios'!$C$12-'Sensitivity &amp; Scenarios'!$C$10</f>
        <v>8.2645995238864622E-2</v>
      </c>
      <c r="H595" s="209">
        <f>('Sensitivity &amp; Scenarios'!$C$6*(1+$E595)^1*$G595+'Sensitivity &amp; Scenarios'!$C$11*'Sensitivity &amp; Scenarios'!$C$6*((1+$E595)^1-(1+$E595)^0))*'Sensitivity &amp; Scenarios'!$C$18/(1+$C595)^'Sensitivity &amp; Scenarios'!$C$18+('Sensitivity &amp; Scenarios'!$C$6*(1+$E595)^2*$G595+'Sensitivity &amp; Scenarios'!$C$11*'Sensitivity &amp; Scenarios'!$C$6*((1+$E595)^2-(1+$E595)^1))/(1+$C595)^('Sensitivity &amp; Scenarios'!$C$18+1)+('Sensitivity &amp; Scenarios'!$C$6*(1+$E595)^3*$G595+'Sensitivity &amp; Scenarios'!$C$11*'Sensitivity &amp; Scenarios'!$C$6*((1+$E595)^3-(1+$E595)^2))/(1+$C595)^('Sensitivity &amp; Scenarios'!$C$18+2)+('Sensitivity &amp; Scenarios'!$C$6*(1+$E595)^4*$G595+'Sensitivity &amp; Scenarios'!$C$11*'Sensitivity &amp; Scenarios'!$C$6*((1+$E595)^4-(1+$E595)^3))/(1+$C595)^('Sensitivity &amp; Scenarios'!$C$18+3)+('Sensitivity &amp; Scenarios'!$C$6*(1+$E595)^5*$G595+'Sensitivity &amp; Scenarios'!$C$11*'Sensitivity &amp; Scenarios'!$C$6*((1+$E595)^5-(1+$E595)^4))/(1+$C595)^('Sensitivity &amp; Scenarios'!$C$18+4)</f>
        <v>27266.768470623181</v>
      </c>
      <c r="I595" s="209">
        <f>('Sensitivity &amp; Scenarios'!$C$6*(1+$E595)^5*$G595+'Sensitivity &amp; Scenarios'!$C$11*'Sensitivity &amp; Scenarios'!$C$6*((1+$E595)^5-(1+$E595)^4))*(1+$D595)/($C595-$D595)/(1+$C595)^('Sensitivity &amp; Scenarios'!$C$18+4)</f>
        <v>80648.40285859663</v>
      </c>
      <c r="J595" s="209">
        <f>($H595+$I595-'Sensitivity &amp; Scenarios'!$C$15+'Sensitivity &amp; Scenarios'!$C$16)/'Sensitivity &amp; Scenarios'!$C$17</f>
        <v>2558.0434675281399</v>
      </c>
    </row>
    <row r="596" spans="2:10" x14ac:dyDescent="0.3">
      <c r="B596" s="127">
        <v>566</v>
      </c>
      <c r="C596" s="206">
        <f>$D$7+-2.37729*$E$7</f>
        <v>0.11377935943997798</v>
      </c>
      <c r="D596" s="206">
        <f>MIN($D$8+-0.784779*$E$8,'Debt &amp; Cost of Capital'!$C$38)</f>
        <v>5.0291325999999997E-2</v>
      </c>
      <c r="E596" s="207">
        <f>$D$9+0.138205*$E$9</f>
        <v>0.17136724770254633</v>
      </c>
      <c r="F596" s="207">
        <f>$D$10+-0.19498*$E$10</f>
        <v>0.14266023999999991</v>
      </c>
      <c r="G596" s="208">
        <f>$F596*(1-'Sensitivity &amp; Scenarios'!$C$12)+'Sensitivity &amp; Scenarios'!$C$9*'Sensitivity &amp; Scenarios'!$C$12-'Sensitivity &amp; Scenarios'!$C$10</f>
        <v>7.5948075680464633E-2</v>
      </c>
      <c r="H596" s="209">
        <f>('Sensitivity &amp; Scenarios'!$C$6*(1+$E596)^1*$G596+'Sensitivity &amp; Scenarios'!$C$11*'Sensitivity &amp; Scenarios'!$C$6*((1+$E596)^1-(1+$E596)^0))*'Sensitivity &amp; Scenarios'!$C$18/(1+$C596)^'Sensitivity &amp; Scenarios'!$C$18+('Sensitivity &amp; Scenarios'!$C$6*(1+$E596)^2*$G596+'Sensitivity &amp; Scenarios'!$C$11*'Sensitivity &amp; Scenarios'!$C$6*((1+$E596)^2-(1+$E596)^1))/(1+$C596)^('Sensitivity &amp; Scenarios'!$C$18+1)+('Sensitivity &amp; Scenarios'!$C$6*(1+$E596)^3*$G596+'Sensitivity &amp; Scenarios'!$C$11*'Sensitivity &amp; Scenarios'!$C$6*((1+$E596)^3-(1+$E596)^2))/(1+$C596)^('Sensitivity &amp; Scenarios'!$C$18+2)+('Sensitivity &amp; Scenarios'!$C$6*(1+$E596)^4*$G596+'Sensitivity &amp; Scenarios'!$C$11*'Sensitivity &amp; Scenarios'!$C$6*((1+$E596)^4-(1+$E596)^3))/(1+$C596)^('Sensitivity &amp; Scenarios'!$C$18+3)+('Sensitivity &amp; Scenarios'!$C$6*(1+$E596)^5*$G596+'Sensitivity &amp; Scenarios'!$C$11*'Sensitivity &amp; Scenarios'!$C$6*((1+$E596)^5-(1+$E596)^4))/(1+$C596)^('Sensitivity &amp; Scenarios'!$C$18+4)</f>
        <v>24646.134398545732</v>
      </c>
      <c r="I596" s="209">
        <f>('Sensitivity &amp; Scenarios'!$C$6*(1+$E596)^5*$G596+'Sensitivity &amp; Scenarios'!$C$11*'Sensitivity &amp; Scenarios'!$C$6*((1+$E596)^5-(1+$E596)^4))*(1+$D596)/($C596-$D596)/(1+$C596)^('Sensitivity &amp; Scenarios'!$C$18+4)</f>
        <v>96346.099434333591</v>
      </c>
      <c r="J596" s="209">
        <f>($H596+$I596-'Sensitivity &amp; Scenarios'!$C$15+'Sensitivity &amp; Scenarios'!$C$16)/'Sensitivity &amp; Scenarios'!$C$17</f>
        <v>2833.2996312130967</v>
      </c>
    </row>
    <row r="597" spans="2:10" x14ac:dyDescent="0.3">
      <c r="B597" s="127">
        <v>567</v>
      </c>
      <c r="C597" s="206">
        <f>$D$7+0.477611*$E$7</f>
        <v>0.14232836943997798</v>
      </c>
      <c r="D597" s="206">
        <f>MIN($D$8+0.789367*$E$8,'Debt &amp; Cost of Capital'!$C$38)</f>
        <v>5.9736202000000002E-2</v>
      </c>
      <c r="E597" s="207">
        <f>$D$9+0.608452*$E$9</f>
        <v>0.18547465770254634</v>
      </c>
      <c r="F597" s="207">
        <f>$D$10+-0.214275*$E$10</f>
        <v>0.14242869999999991</v>
      </c>
      <c r="G597" s="208">
        <f>$F597*(1-'Sensitivity &amp; Scenarios'!$C$12)+'Sensitivity &amp; Scenarios'!$C$9*'Sensitivity &amp; Scenarios'!$C$12-'Sensitivity &amp; Scenarios'!$C$10</f>
        <v>7.5774814298464638E-2</v>
      </c>
      <c r="H597" s="209">
        <f>('Sensitivity &amp; Scenarios'!$C$6*(1+$E597)^1*$G597+'Sensitivity &amp; Scenarios'!$C$11*'Sensitivity &amp; Scenarios'!$C$6*((1+$E597)^1-(1+$E597)^0))*'Sensitivity &amp; Scenarios'!$C$18/(1+$C597)^'Sensitivity &amp; Scenarios'!$C$18+('Sensitivity &amp; Scenarios'!$C$6*(1+$E597)^2*$G597+'Sensitivity &amp; Scenarios'!$C$11*'Sensitivity &amp; Scenarios'!$C$6*((1+$E597)^2-(1+$E597)^1))/(1+$C597)^('Sensitivity &amp; Scenarios'!$C$18+1)+('Sensitivity &amp; Scenarios'!$C$6*(1+$E597)^3*$G597+'Sensitivity &amp; Scenarios'!$C$11*'Sensitivity &amp; Scenarios'!$C$6*((1+$E597)^3-(1+$E597)^2))/(1+$C597)^('Sensitivity &amp; Scenarios'!$C$18+2)+('Sensitivity &amp; Scenarios'!$C$6*(1+$E597)^4*$G597+'Sensitivity &amp; Scenarios'!$C$11*'Sensitivity &amp; Scenarios'!$C$6*((1+$E597)^4-(1+$E597)^3))/(1+$C597)^('Sensitivity &amp; Scenarios'!$C$18+3)+('Sensitivity &amp; Scenarios'!$C$6*(1+$E597)^5*$G597+'Sensitivity &amp; Scenarios'!$C$11*'Sensitivity &amp; Scenarios'!$C$6*((1+$E597)^5-(1+$E597)^4))/(1+$C597)^('Sensitivity &amp; Scenarios'!$C$18+4)</f>
        <v>24069.244928557568</v>
      </c>
      <c r="I597" s="209">
        <f>('Sensitivity &amp; Scenarios'!$C$6*(1+$E597)^5*$G597+'Sensitivity &amp; Scenarios'!$C$11*'Sensitivity &amp; Scenarios'!$C$6*((1+$E597)^5-(1+$E597)^4))*(1+$D597)/($C597-$D597)/(1+$C597)^('Sensitivity &amp; Scenarios'!$C$18+4)</f>
        <v>71282.064158145964</v>
      </c>
      <c r="J597" s="209">
        <f>($H597+$I597-'Sensitivity &amp; Scenarios'!$C$15+'Sensitivity &amp; Scenarios'!$C$16)/'Sensitivity &amp; Scenarios'!$C$17</f>
        <v>2293.5895413521707</v>
      </c>
    </row>
    <row r="598" spans="2:10" x14ac:dyDescent="0.3">
      <c r="B598" s="127">
        <v>568</v>
      </c>
      <c r="C598" s="206">
        <f>$D$7+-1.846337*$E$7</f>
        <v>0.11908888943997797</v>
      </c>
      <c r="D598" s="206">
        <f>MIN($D$8+-0.455481*$E$8,'Debt &amp; Cost of Capital'!$C$38)</f>
        <v>5.2267114000000003E-2</v>
      </c>
      <c r="E598" s="207">
        <f>$D$9+0.416368*$E$9</f>
        <v>0.17971213770254635</v>
      </c>
      <c r="F598" s="207">
        <f>$D$10+-1.090447*$E$10</f>
        <v>0.13191463599999992</v>
      </c>
      <c r="G598" s="208">
        <f>$F598*(1-'Sensitivity &amp; Scenarios'!$C$12)+'Sensitivity &amp; Scenarios'!$C$9*'Sensitivity &amp; Scenarios'!$C$12-'Sensitivity &amp; Scenarios'!$C$10</f>
        <v>6.7907140207264641E-2</v>
      </c>
      <c r="H598" s="209">
        <f>('Sensitivity &amp; Scenarios'!$C$6*(1+$E598)^1*$G598+'Sensitivity &amp; Scenarios'!$C$11*'Sensitivity &amp; Scenarios'!$C$6*((1+$E598)^1-(1+$E598)^0))*'Sensitivity &amp; Scenarios'!$C$18/(1+$C598)^'Sensitivity &amp; Scenarios'!$C$18+('Sensitivity &amp; Scenarios'!$C$6*(1+$E598)^2*$G598+'Sensitivity &amp; Scenarios'!$C$11*'Sensitivity &amp; Scenarios'!$C$6*((1+$E598)^2-(1+$E598)^1))/(1+$C598)^('Sensitivity &amp; Scenarios'!$C$18+1)+('Sensitivity &amp; Scenarios'!$C$6*(1+$E598)^3*$G598+'Sensitivity &amp; Scenarios'!$C$11*'Sensitivity &amp; Scenarios'!$C$6*((1+$E598)^3-(1+$E598)^2))/(1+$C598)^('Sensitivity &amp; Scenarios'!$C$18+2)+('Sensitivity &amp; Scenarios'!$C$6*(1+$E598)^4*$G598+'Sensitivity &amp; Scenarios'!$C$11*'Sensitivity &amp; Scenarios'!$C$6*((1+$E598)^4-(1+$E598)^3))/(1+$C598)^('Sensitivity &amp; Scenarios'!$C$18+3)+('Sensitivity &amp; Scenarios'!$C$6*(1+$E598)^5*$G598+'Sensitivity &amp; Scenarios'!$C$11*'Sensitivity &amp; Scenarios'!$C$6*((1+$E598)^5-(1+$E598)^4))/(1+$C598)^('Sensitivity &amp; Scenarios'!$C$18+4)</f>
        <v>22884.160600903131</v>
      </c>
      <c r="I598" s="209">
        <f>('Sensitivity &amp; Scenarios'!$C$6*(1+$E598)^5*$G598+'Sensitivity &amp; Scenarios'!$C$11*'Sensitivity &amp; Scenarios'!$C$6*((1+$E598)^5-(1+$E598)^4))*(1+$D598)/($C598-$D598)/(1+$C598)^('Sensitivity &amp; Scenarios'!$C$18+4)</f>
        <v>85504.564173641425</v>
      </c>
      <c r="J598" s="209">
        <f>($H598+$I598-'Sensitivity &amp; Scenarios'!$C$15+'Sensitivity &amp; Scenarios'!$C$16)/'Sensitivity &amp; Scenarios'!$C$17</f>
        <v>2568.0111880787922</v>
      </c>
    </row>
    <row r="599" spans="2:10" x14ac:dyDescent="0.3">
      <c r="B599" s="127">
        <v>569</v>
      </c>
      <c r="C599" s="206">
        <f>$D$7+0.631275*$E$7</f>
        <v>0.14386500943997799</v>
      </c>
      <c r="D599" s="206">
        <f>MIN($D$8+0.908393*$E$8,'Debt &amp; Cost of Capital'!$C$38)</f>
        <v>6.0450358000000003E-2</v>
      </c>
      <c r="E599" s="207">
        <f>$D$9+0.126867*$E$9</f>
        <v>0.17102710770254634</v>
      </c>
      <c r="F599" s="207">
        <f>$D$10+-3.06378*$E$10</f>
        <v>0.10823463999999991</v>
      </c>
      <c r="G599" s="208">
        <f>$F599*(1-'Sensitivity &amp; Scenarios'!$C$12)+'Sensitivity &amp; Scenarios'!$C$9*'Sensitivity &amp; Scenarios'!$C$12-'Sensitivity &amp; Scenarios'!$C$10</f>
        <v>5.0187399200464639E-2</v>
      </c>
      <c r="H599" s="209">
        <f>('Sensitivity &amp; Scenarios'!$C$6*(1+$E599)^1*$G599+'Sensitivity &amp; Scenarios'!$C$11*'Sensitivity &amp; Scenarios'!$C$6*((1+$E599)^1-(1+$E599)^0))*'Sensitivity &amp; Scenarios'!$C$18/(1+$C599)^'Sensitivity &amp; Scenarios'!$C$18+('Sensitivity &amp; Scenarios'!$C$6*(1+$E599)^2*$G599+'Sensitivity &amp; Scenarios'!$C$11*'Sensitivity &amp; Scenarios'!$C$6*((1+$E599)^2-(1+$E599)^1))/(1+$C599)^('Sensitivity &amp; Scenarios'!$C$18+1)+('Sensitivity &amp; Scenarios'!$C$6*(1+$E599)^3*$G599+'Sensitivity &amp; Scenarios'!$C$11*'Sensitivity &amp; Scenarios'!$C$6*((1+$E599)^3-(1+$E599)^2))/(1+$C599)^('Sensitivity &amp; Scenarios'!$C$18+2)+('Sensitivity &amp; Scenarios'!$C$6*(1+$E599)^4*$G599+'Sensitivity &amp; Scenarios'!$C$11*'Sensitivity &amp; Scenarios'!$C$6*((1+$E599)^4-(1+$E599)^3))/(1+$C599)^('Sensitivity &amp; Scenarios'!$C$18+3)+('Sensitivity &amp; Scenarios'!$C$6*(1+$E599)^5*$G599+'Sensitivity &amp; Scenarios'!$C$11*'Sensitivity &amp; Scenarios'!$C$6*((1+$E599)^5-(1+$E599)^4))/(1+$C599)^('Sensitivity &amp; Scenarios'!$C$18+4)</f>
        <v>16424.038030636992</v>
      </c>
      <c r="I599" s="209">
        <f>('Sensitivity &amp; Scenarios'!$C$6*(1+$E599)^5*$G599+'Sensitivity &amp; Scenarios'!$C$11*'Sensitivity &amp; Scenarios'!$C$6*((1+$E599)^5-(1+$E599)^4))*(1+$D599)/($C599-$D599)/(1+$C599)^('Sensitivity &amp; Scenarios'!$C$18+4)</f>
        <v>47035.875971998634</v>
      </c>
      <c r="J599" s="209">
        <f>($H599+$I599-'Sensitivity &amp; Scenarios'!$C$15+'Sensitivity &amp; Scenarios'!$C$16)/'Sensitivity &amp; Scenarios'!$C$17</f>
        <v>1622.3146993954786</v>
      </c>
    </row>
    <row r="600" spans="2:10" x14ac:dyDescent="0.3">
      <c r="B600" s="127">
        <v>570</v>
      </c>
      <c r="C600" s="206">
        <f>$D$7+-1.278088*$E$7</f>
        <v>0.12477137943997799</v>
      </c>
      <c r="D600" s="206">
        <f>MIN($D$8+1.886189*$E$8,'Debt &amp; Cost of Capital'!$C$38)</f>
        <v>6.6317134E-2</v>
      </c>
      <c r="E600" s="207">
        <f>$D$9+-0.546538*$E$9</f>
        <v>0.15082495770254634</v>
      </c>
      <c r="F600" s="207">
        <f>$D$10+-1.984143*$E$10</f>
        <v>0.1211902839999999</v>
      </c>
      <c r="G600" s="208">
        <f>$F600*(1-'Sensitivity &amp; Scenarios'!$C$12)+'Sensitivity &amp; Scenarios'!$C$9*'Sensitivity &amp; Scenarios'!$C$12-'Sensitivity &amp; Scenarios'!$C$10</f>
        <v>5.9882107605664633E-2</v>
      </c>
      <c r="H600" s="209">
        <f>('Sensitivity &amp; Scenarios'!$C$6*(1+$E600)^1*$G600+'Sensitivity &amp; Scenarios'!$C$11*'Sensitivity &amp; Scenarios'!$C$6*((1+$E600)^1-(1+$E600)^0))*'Sensitivity &amp; Scenarios'!$C$18/(1+$C600)^'Sensitivity &amp; Scenarios'!$C$18+('Sensitivity &amp; Scenarios'!$C$6*(1+$E600)^2*$G600+'Sensitivity &amp; Scenarios'!$C$11*'Sensitivity &amp; Scenarios'!$C$6*((1+$E600)^2-(1+$E600)^1))/(1+$C600)^('Sensitivity &amp; Scenarios'!$C$18+1)+('Sensitivity &amp; Scenarios'!$C$6*(1+$E600)^3*$G600+'Sensitivity &amp; Scenarios'!$C$11*'Sensitivity &amp; Scenarios'!$C$6*((1+$E600)^3-(1+$E600)^2))/(1+$C600)^('Sensitivity &amp; Scenarios'!$C$18+2)+('Sensitivity &amp; Scenarios'!$C$6*(1+$E600)^4*$G600+'Sensitivity &amp; Scenarios'!$C$11*'Sensitivity &amp; Scenarios'!$C$6*((1+$E600)^4-(1+$E600)^3))/(1+$C600)^('Sensitivity &amp; Scenarios'!$C$18+3)+('Sensitivity &amp; Scenarios'!$C$6*(1+$E600)^5*$G600+'Sensitivity &amp; Scenarios'!$C$11*'Sensitivity &amp; Scenarios'!$C$6*((1+$E600)^5-(1+$E600)^4))/(1+$C600)^('Sensitivity &amp; Scenarios'!$C$18+4)</f>
        <v>18271.788972545284</v>
      </c>
      <c r="I600" s="209">
        <f>('Sensitivity &amp; Scenarios'!$C$6*(1+$E600)^5*$G600+'Sensitivity &amp; Scenarios'!$C$11*'Sensitivity &amp; Scenarios'!$C$6*((1+$E600)^5-(1+$E600)^4))*(1+$D600)/($C600-$D600)/(1+$C600)^('Sensitivity &amp; Scenarios'!$C$18+4)</f>
        <v>75008.060401800307</v>
      </c>
      <c r="J600" s="209">
        <f>($H600+$I600-'Sensitivity &amp; Scenarios'!$C$15+'Sensitivity &amp; Scenarios'!$C$16)/'Sensitivity &amp; Scenarios'!$C$17</f>
        <v>2249.9878491914101</v>
      </c>
    </row>
    <row r="601" spans="2:10" x14ac:dyDescent="0.3">
      <c r="B601" s="127">
        <v>571</v>
      </c>
      <c r="C601" s="206">
        <f>$D$7+1.235247*$E$7</f>
        <v>0.14990472943997799</v>
      </c>
      <c r="D601" s="206">
        <f>MIN($D$8+0.013356*$E$8,'Debt &amp; Cost of Capital'!$C$38)</f>
        <v>5.5080136000000002E-2</v>
      </c>
      <c r="E601" s="207">
        <f>$D$9+1.10494*$E$9</f>
        <v>0.20036929770254636</v>
      </c>
      <c r="F601" s="207">
        <f>$D$10+0.276959*$E$10</f>
        <v>0.14832350799999991</v>
      </c>
      <c r="G601" s="208">
        <f>$F601*(1-'Sensitivity &amp; Scenarios'!$C$12)+'Sensitivity &amp; Scenarios'!$C$9*'Sensitivity &amp; Scenarios'!$C$12-'Sensitivity &amp; Scenarios'!$C$10</f>
        <v>8.0185899124864637E-2</v>
      </c>
      <c r="H601" s="209">
        <f>('Sensitivity &amp; Scenarios'!$C$6*(1+$E601)^1*$G601+'Sensitivity &amp; Scenarios'!$C$11*'Sensitivity &amp; Scenarios'!$C$6*((1+$E601)^1-(1+$E601)^0))*'Sensitivity &amp; Scenarios'!$C$18/(1+$C601)^'Sensitivity &amp; Scenarios'!$C$18+('Sensitivity &amp; Scenarios'!$C$6*(1+$E601)^2*$G601+'Sensitivity &amp; Scenarios'!$C$11*'Sensitivity &amp; Scenarios'!$C$6*((1+$E601)^2-(1+$E601)^1))/(1+$C601)^('Sensitivity &amp; Scenarios'!$C$18+1)+('Sensitivity &amp; Scenarios'!$C$6*(1+$E601)^3*$G601+'Sensitivity &amp; Scenarios'!$C$11*'Sensitivity &amp; Scenarios'!$C$6*((1+$E601)^3-(1+$E601)^2))/(1+$C601)^('Sensitivity &amp; Scenarios'!$C$18+2)+('Sensitivity &amp; Scenarios'!$C$6*(1+$E601)^4*$G601+'Sensitivity &amp; Scenarios'!$C$11*'Sensitivity &amp; Scenarios'!$C$6*((1+$E601)^4-(1+$E601)^3))/(1+$C601)^('Sensitivity &amp; Scenarios'!$C$18+3)+('Sensitivity &amp; Scenarios'!$C$6*(1+$E601)^5*$G601+'Sensitivity &amp; Scenarios'!$C$11*'Sensitivity &amp; Scenarios'!$C$6*((1+$E601)^5-(1+$E601)^4))/(1+$C601)^('Sensitivity &amp; Scenarios'!$C$18+4)</f>
        <v>26061.137548718085</v>
      </c>
      <c r="I601" s="209">
        <f>('Sensitivity &amp; Scenarios'!$C$6*(1+$E601)^5*$G601+'Sensitivity &amp; Scenarios'!$C$11*'Sensitivity &amp; Scenarios'!$C$6*((1+$E601)^5-(1+$E601)^4))*(1+$D601)/($C601-$D601)/(1+$C601)^('Sensitivity &amp; Scenarios'!$C$18+4)</f>
        <v>67628.671268790727</v>
      </c>
      <c r="J601" s="209">
        <f>($H601+$I601-'Sensitivity &amp; Scenarios'!$C$15+'Sensitivity &amp; Scenarios'!$C$16)/'Sensitivity &amp; Scenarios'!$C$17</f>
        <v>2258.6169938146727</v>
      </c>
    </row>
    <row r="602" spans="2:10" x14ac:dyDescent="0.3">
      <c r="B602" s="127">
        <v>572</v>
      </c>
      <c r="C602" s="206">
        <f>$D$7+0.458559*$E$7</f>
        <v>0.14213784943997798</v>
      </c>
      <c r="D602" s="206">
        <f>MIN($D$8+0.363009*$E$8,'Debt &amp; Cost of Capital'!$C$38)</f>
        <v>5.7178053999999999E-2</v>
      </c>
      <c r="E602" s="207">
        <f>$D$9+0.697488*$E$9</f>
        <v>0.18814573770254633</v>
      </c>
      <c r="F602" s="207">
        <f>$D$10+2.27743*$E$10</f>
        <v>0.1723291599999999</v>
      </c>
      <c r="G602" s="208">
        <f>$F602*(1-'Sensitivity &amp; Scenarios'!$C$12)+'Sensitivity &amp; Scenarios'!$C$9*'Sensitivity &amp; Scenarios'!$C$12-'Sensitivity &amp; Scenarios'!$C$10</f>
        <v>9.8149328516464629E-2</v>
      </c>
      <c r="H602" s="209">
        <f>('Sensitivity &amp; Scenarios'!$C$6*(1+$E602)^1*$G602+'Sensitivity &amp; Scenarios'!$C$11*'Sensitivity &amp; Scenarios'!$C$6*((1+$E602)^1-(1+$E602)^0))*'Sensitivity &amp; Scenarios'!$C$18/(1+$C602)^'Sensitivity &amp; Scenarios'!$C$18+('Sensitivity &amp; Scenarios'!$C$6*(1+$E602)^2*$G602+'Sensitivity &amp; Scenarios'!$C$11*'Sensitivity &amp; Scenarios'!$C$6*((1+$E602)^2-(1+$E602)^1))/(1+$C602)^('Sensitivity &amp; Scenarios'!$C$18+1)+('Sensitivity &amp; Scenarios'!$C$6*(1+$E602)^3*$G602+'Sensitivity &amp; Scenarios'!$C$11*'Sensitivity &amp; Scenarios'!$C$6*((1+$E602)^3-(1+$E602)^2))/(1+$C602)^('Sensitivity &amp; Scenarios'!$C$18+2)+('Sensitivity &amp; Scenarios'!$C$6*(1+$E602)^4*$G602+'Sensitivity &amp; Scenarios'!$C$11*'Sensitivity &amp; Scenarios'!$C$6*((1+$E602)^4-(1+$E602)^3))/(1+$C602)^('Sensitivity &amp; Scenarios'!$C$18+3)+('Sensitivity &amp; Scenarios'!$C$6*(1+$E602)^5*$G602+'Sensitivity &amp; Scenarios'!$C$11*'Sensitivity &amp; Scenarios'!$C$6*((1+$E602)^5-(1+$E602)^4))/(1+$C602)^('Sensitivity &amp; Scenarios'!$C$18+4)</f>
        <v>30147.398735735729</v>
      </c>
      <c r="I602" s="209">
        <f>('Sensitivity &amp; Scenarios'!$C$6*(1+$E602)^5*$G602+'Sensitivity &amp; Scenarios'!$C$11*'Sensitivity &amp; Scenarios'!$C$6*((1+$E602)^5-(1+$E602)^4))*(1+$D602)/($C602-$D602)/(1+$C602)^('Sensitivity &amp; Scenarios'!$C$18+4)</f>
        <v>86956.889831351698</v>
      </c>
      <c r="J602" s="209">
        <f>($H602+$I602-'Sensitivity &amp; Scenarios'!$C$15+'Sensitivity &amp; Scenarios'!$C$16)/'Sensitivity &amp; Scenarios'!$C$17</f>
        <v>2751.4631409325398</v>
      </c>
    </row>
    <row r="603" spans="2:10" x14ac:dyDescent="0.3">
      <c r="B603" s="127">
        <v>573</v>
      </c>
      <c r="C603" s="206">
        <f>$D$7+0.971006*$E$7</f>
        <v>0.14726231943997797</v>
      </c>
      <c r="D603" s="206">
        <f>MIN($D$8+-1.580339*$E$8,'Debt &amp; Cost of Capital'!$C$38)</f>
        <v>4.5517966E-2</v>
      </c>
      <c r="E603" s="207">
        <f>$D$9+0.446662*$E$9</f>
        <v>0.18062095770254633</v>
      </c>
      <c r="F603" s="207">
        <f>$D$10+1.141481*$E$10</f>
        <v>0.1586977719999999</v>
      </c>
      <c r="G603" s="208">
        <f>$F603*(1-'Sensitivity &amp; Scenarios'!$C$12)+'Sensitivity &amp; Scenarios'!$C$9*'Sensitivity &amp; Scenarios'!$C$12-'Sensitivity &amp; Scenarios'!$C$10</f>
        <v>8.794896087606463E-2</v>
      </c>
      <c r="H603" s="209">
        <f>('Sensitivity &amp; Scenarios'!$C$6*(1+$E603)^1*$G603+'Sensitivity &amp; Scenarios'!$C$11*'Sensitivity &amp; Scenarios'!$C$6*((1+$E603)^1-(1+$E603)^0))*'Sensitivity &amp; Scenarios'!$C$18/(1+$C603)^'Sensitivity &amp; Scenarios'!$C$18+('Sensitivity &amp; Scenarios'!$C$6*(1+$E603)^2*$G603+'Sensitivity &amp; Scenarios'!$C$11*'Sensitivity &amp; Scenarios'!$C$6*((1+$E603)^2-(1+$E603)^1))/(1+$C603)^('Sensitivity &amp; Scenarios'!$C$18+1)+('Sensitivity &amp; Scenarios'!$C$6*(1+$E603)^3*$G603+'Sensitivity &amp; Scenarios'!$C$11*'Sensitivity &amp; Scenarios'!$C$6*((1+$E603)^3-(1+$E603)^2))/(1+$C603)^('Sensitivity &amp; Scenarios'!$C$18+2)+('Sensitivity &amp; Scenarios'!$C$6*(1+$E603)^4*$G603+'Sensitivity &amp; Scenarios'!$C$11*'Sensitivity &amp; Scenarios'!$C$6*((1+$E603)^4-(1+$E603)^3))/(1+$C603)^('Sensitivity &amp; Scenarios'!$C$18+3)+('Sensitivity &amp; Scenarios'!$C$6*(1+$E603)^5*$G603+'Sensitivity &amp; Scenarios'!$C$11*'Sensitivity &amp; Scenarios'!$C$6*((1+$E603)^5-(1+$E603)^4))/(1+$C603)^('Sensitivity &amp; Scenarios'!$C$18+4)</f>
        <v>26439.195444143392</v>
      </c>
      <c r="I603" s="209">
        <f>('Sensitivity &amp; Scenarios'!$C$6*(1+$E603)^5*$G603+'Sensitivity &amp; Scenarios'!$C$11*'Sensitivity &amp; Scenarios'!$C$6*((1+$E603)^5-(1+$E603)^4))*(1+$D603)/($C603-$D603)/(1+$C603)^('Sensitivity &amp; Scenarios'!$C$18+4)</f>
        <v>61775.72020663647</v>
      </c>
      <c r="J603" s="209">
        <f>($H603+$I603-'Sensitivity &amp; Scenarios'!$C$15+'Sensitivity &amp; Scenarios'!$C$16)/'Sensitivity &amp; Scenarios'!$C$17</f>
        <v>2143.3771921209</v>
      </c>
    </row>
    <row r="604" spans="2:10" x14ac:dyDescent="0.3">
      <c r="B604" s="127">
        <v>574</v>
      </c>
      <c r="C604" s="206">
        <f>$D$7+1.202701*$E$7</f>
        <v>0.14957926943997799</v>
      </c>
      <c r="D604" s="206">
        <f>MIN($D$8+-0.426605*$E$8,'Debt &amp; Cost of Capital'!$C$38)</f>
        <v>5.244037E-2</v>
      </c>
      <c r="E604" s="207">
        <f>$D$9+1.164944*$E$9</f>
        <v>0.20216941770254634</v>
      </c>
      <c r="F604" s="207">
        <f>$D$10+0.927742*$E$10</f>
        <v>0.15613290399999991</v>
      </c>
      <c r="G604" s="208">
        <f>$F604*(1-'Sensitivity &amp; Scenarios'!$C$12)+'Sensitivity &amp; Scenarios'!$C$9*'Sensitivity &amp; Scenarios'!$C$12-'Sensitivity &amp; Scenarios'!$C$10</f>
        <v>8.6029670151664642E-2</v>
      </c>
      <c r="H604" s="209">
        <f>('Sensitivity &amp; Scenarios'!$C$6*(1+$E604)^1*$G604+'Sensitivity &amp; Scenarios'!$C$11*'Sensitivity &amp; Scenarios'!$C$6*((1+$E604)^1-(1+$E604)^0))*'Sensitivity &amp; Scenarios'!$C$18/(1+$C604)^'Sensitivity &amp; Scenarios'!$C$18+('Sensitivity &amp; Scenarios'!$C$6*(1+$E604)^2*$G604+'Sensitivity &amp; Scenarios'!$C$11*'Sensitivity &amp; Scenarios'!$C$6*((1+$E604)^2-(1+$E604)^1))/(1+$C604)^('Sensitivity &amp; Scenarios'!$C$18+1)+('Sensitivity &amp; Scenarios'!$C$6*(1+$E604)^3*$G604+'Sensitivity &amp; Scenarios'!$C$11*'Sensitivity &amp; Scenarios'!$C$6*((1+$E604)^3-(1+$E604)^2))/(1+$C604)^('Sensitivity &amp; Scenarios'!$C$18+2)+('Sensitivity &amp; Scenarios'!$C$6*(1+$E604)^4*$G604+'Sensitivity &amp; Scenarios'!$C$11*'Sensitivity &amp; Scenarios'!$C$6*((1+$E604)^4-(1+$E604)^3))/(1+$C604)^('Sensitivity &amp; Scenarios'!$C$18+3)+('Sensitivity &amp; Scenarios'!$C$6*(1+$E604)^5*$G604+'Sensitivity &amp; Scenarios'!$C$11*'Sensitivity &amp; Scenarios'!$C$6*((1+$E604)^5-(1+$E604)^4))/(1+$C604)^('Sensitivity &amp; Scenarios'!$C$18+4)</f>
        <v>27799.855678847765</v>
      </c>
      <c r="I604" s="209">
        <f>('Sensitivity &amp; Scenarios'!$C$6*(1+$E604)^5*$G604+'Sensitivity &amp; Scenarios'!$C$11*'Sensitivity &amp; Scenarios'!$C$6*((1+$E604)^5-(1+$E604)^4))*(1+$D604)/($C604-$D604)/(1+$C604)^('Sensitivity &amp; Scenarios'!$C$18+4)</f>
        <v>70466.602599285819</v>
      </c>
      <c r="J604" s="209">
        <f>($H604+$I604-'Sensitivity &amp; Scenarios'!$C$15+'Sensitivity &amp; Scenarios'!$C$16)/'Sensitivity &amp; Scenarios'!$C$17</f>
        <v>2354.9498646493785</v>
      </c>
    </row>
    <row r="605" spans="2:10" x14ac:dyDescent="0.3">
      <c r="B605" s="127">
        <v>575</v>
      </c>
      <c r="C605" s="206">
        <f>$D$7+2.572517*$E$7</f>
        <v>0.16327742943997797</v>
      </c>
      <c r="D605" s="206">
        <f>MIN($D$8+-0.750002*$E$8,'Debt &amp; Cost of Capital'!$C$38)</f>
        <v>5.0499988000000003E-2</v>
      </c>
      <c r="E605" s="207">
        <f>$D$9+-0.507401*$E$9</f>
        <v>0.15199906770254634</v>
      </c>
      <c r="F605" s="207">
        <f>$D$10+-0.306119*$E$10</f>
        <v>0.1413265719999999</v>
      </c>
      <c r="G605" s="208">
        <f>$F605*(1-'Sensitivity &amp; Scenarios'!$C$12)+'Sensitivity &amp; Scenarios'!$C$9*'Sensitivity &amp; Scenarios'!$C$12-'Sensitivity &amp; Scenarios'!$C$10</f>
        <v>7.4950091916064637E-2</v>
      </c>
      <c r="H605" s="209">
        <f>('Sensitivity &amp; Scenarios'!$C$6*(1+$E605)^1*$G605+'Sensitivity &amp; Scenarios'!$C$11*'Sensitivity &amp; Scenarios'!$C$6*((1+$E605)^1-(1+$E605)^0))*'Sensitivity &amp; Scenarios'!$C$18/(1+$C605)^'Sensitivity &amp; Scenarios'!$C$18+('Sensitivity &amp; Scenarios'!$C$6*(1+$E605)^2*$G605+'Sensitivity &amp; Scenarios'!$C$11*'Sensitivity &amp; Scenarios'!$C$6*((1+$E605)^2-(1+$E605)^1))/(1+$C605)^('Sensitivity &amp; Scenarios'!$C$18+1)+('Sensitivity &amp; Scenarios'!$C$6*(1+$E605)^3*$G605+'Sensitivity &amp; Scenarios'!$C$11*'Sensitivity &amp; Scenarios'!$C$6*((1+$E605)^3-(1+$E605)^2))/(1+$C605)^('Sensitivity &amp; Scenarios'!$C$18+2)+('Sensitivity &amp; Scenarios'!$C$6*(1+$E605)^4*$G605+'Sensitivity &amp; Scenarios'!$C$11*'Sensitivity &amp; Scenarios'!$C$6*((1+$E605)^4-(1+$E605)^3))/(1+$C605)^('Sensitivity &amp; Scenarios'!$C$18+3)+('Sensitivity &amp; Scenarios'!$C$6*(1+$E605)^5*$G605+'Sensitivity &amp; Scenarios'!$C$11*'Sensitivity &amp; Scenarios'!$C$6*((1+$E605)^5-(1+$E605)^4))/(1+$C605)^('Sensitivity &amp; Scenarios'!$C$18+4)</f>
        <v>20084.980178792477</v>
      </c>
      <c r="I605" s="209">
        <f>('Sensitivity &amp; Scenarios'!$C$6*(1+$E605)^5*$G605+'Sensitivity &amp; Scenarios'!$C$11*'Sensitivity &amp; Scenarios'!$C$6*((1+$E605)^5-(1+$E605)^4))*(1+$D605)/($C605-$D605)/(1+$C605)^('Sensitivity &amp; Scenarios'!$C$18+4)</f>
        <v>39661.146017284285</v>
      </c>
      <c r="J605" s="209">
        <f>($H605+$I605-'Sensitivity &amp; Scenarios'!$C$15+'Sensitivity &amp; Scenarios'!$C$16)/'Sensitivity &amp; Scenarios'!$C$17</f>
        <v>1544.1440105204119</v>
      </c>
    </row>
    <row r="606" spans="2:10" x14ac:dyDescent="0.3">
      <c r="B606" s="127">
        <v>576</v>
      </c>
      <c r="C606" s="206">
        <f>$D$7+-0.490222*$E$7</f>
        <v>0.13265003943997797</v>
      </c>
      <c r="D606" s="206">
        <f>MIN($D$8+-0.890021*$E$8,'Debt &amp; Cost of Capital'!$C$38)</f>
        <v>4.9659874E-2</v>
      </c>
      <c r="E606" s="207">
        <f>$D$9+-2.762676*$E$9</f>
        <v>8.4340817702546339E-2</v>
      </c>
      <c r="F606" s="207">
        <f>$D$10+-0.434699*$E$10</f>
        <v>0.13978361199999992</v>
      </c>
      <c r="G606" s="208">
        <f>$F606*(1-'Sensitivity &amp; Scenarios'!$C$12)+'Sensitivity &amp; Scenarios'!$C$9*'Sensitivity &amp; Scenarios'!$C$12-'Sensitivity &amp; Scenarios'!$C$10</f>
        <v>7.3795494948064644E-2</v>
      </c>
      <c r="H606" s="209">
        <f>('Sensitivity &amp; Scenarios'!$C$6*(1+$E606)^1*$G606+'Sensitivity &amp; Scenarios'!$C$11*'Sensitivity &amp; Scenarios'!$C$6*((1+$E606)^1-(1+$E606)^0))*'Sensitivity &amp; Scenarios'!$C$18/(1+$C606)^'Sensitivity &amp; Scenarios'!$C$18+('Sensitivity &amp; Scenarios'!$C$6*(1+$E606)^2*$G606+'Sensitivity &amp; Scenarios'!$C$11*'Sensitivity &amp; Scenarios'!$C$6*((1+$E606)^2-(1+$E606)^1))/(1+$C606)^('Sensitivity &amp; Scenarios'!$C$18+1)+('Sensitivity &amp; Scenarios'!$C$6*(1+$E606)^3*$G606+'Sensitivity &amp; Scenarios'!$C$11*'Sensitivity &amp; Scenarios'!$C$6*((1+$E606)^3-(1+$E606)^2))/(1+$C606)^('Sensitivity &amp; Scenarios'!$C$18+2)+('Sensitivity &amp; Scenarios'!$C$6*(1+$E606)^4*$G606+'Sensitivity &amp; Scenarios'!$C$11*'Sensitivity &amp; Scenarios'!$C$6*((1+$E606)^4-(1+$E606)^3))/(1+$C606)^('Sensitivity &amp; Scenarios'!$C$18+3)+('Sensitivity &amp; Scenarios'!$C$6*(1+$E606)^5*$G606+'Sensitivity &amp; Scenarios'!$C$11*'Sensitivity &amp; Scenarios'!$C$6*((1+$E606)^5-(1+$E606)^4))/(1+$C606)^('Sensitivity &amp; Scenarios'!$C$18+4)</f>
        <v>16478.875373432355</v>
      </c>
      <c r="I606" s="209">
        <f>('Sensitivity &amp; Scenarios'!$C$6*(1+$E606)^5*$G606+'Sensitivity &amp; Scenarios'!$C$11*'Sensitivity &amp; Scenarios'!$C$6*((1+$E606)^5-(1+$E606)^4))*(1+$D606)/($C606-$D606)/(1+$C606)^('Sensitivity &amp; Scenarios'!$C$18+4)</f>
        <v>41446.564556746438</v>
      </c>
      <c r="J606" s="209">
        <f>($H606+$I606-'Sensitivity &amp; Scenarios'!$C$15+'Sensitivity &amp; Scenarios'!$C$16)/'Sensitivity &amp; Scenarios'!$C$17</f>
        <v>1505.820792543537</v>
      </c>
    </row>
    <row r="607" spans="2:10" x14ac:dyDescent="0.3">
      <c r="B607" s="127">
        <v>577</v>
      </c>
      <c r="C607" s="206">
        <f>$D$7+0.369358*$E$7</f>
        <v>0.14124583943997798</v>
      </c>
      <c r="D607" s="206">
        <f>MIN($D$8+-0.493222*$E$8,'Debt &amp; Cost of Capital'!$C$38)</f>
        <v>5.2040667999999998E-2</v>
      </c>
      <c r="E607" s="207">
        <f>$D$9+1.935381*$E$9</f>
        <v>0.22528252770254634</v>
      </c>
      <c r="F607" s="207">
        <f>$D$10+0.013376*$E$10</f>
        <v>0.14516051199999991</v>
      </c>
      <c r="G607" s="208">
        <f>$F607*(1-'Sensitivity &amp; Scenarios'!$C$12)+'Sensitivity &amp; Scenarios'!$C$9*'Sensitivity &amp; Scenarios'!$C$12-'Sensitivity &amp; Scenarios'!$C$10</f>
        <v>7.7819029218064634E-2</v>
      </c>
      <c r="H607" s="209">
        <f>('Sensitivity &amp; Scenarios'!$C$6*(1+$E607)^1*$G607+'Sensitivity &amp; Scenarios'!$C$11*'Sensitivity &amp; Scenarios'!$C$6*((1+$E607)^1-(1+$E607)^0))*'Sensitivity &amp; Scenarios'!$C$18/(1+$C607)^'Sensitivity &amp; Scenarios'!$C$18+('Sensitivity &amp; Scenarios'!$C$6*(1+$E607)^2*$G607+'Sensitivity &amp; Scenarios'!$C$11*'Sensitivity &amp; Scenarios'!$C$6*((1+$E607)^2-(1+$E607)^1))/(1+$C607)^('Sensitivity &amp; Scenarios'!$C$18+1)+('Sensitivity &amp; Scenarios'!$C$6*(1+$E607)^3*$G607+'Sensitivity &amp; Scenarios'!$C$11*'Sensitivity &amp; Scenarios'!$C$6*((1+$E607)^3-(1+$E607)^2))/(1+$C607)^('Sensitivity &amp; Scenarios'!$C$18+2)+('Sensitivity &amp; Scenarios'!$C$6*(1+$E607)^4*$G607+'Sensitivity &amp; Scenarios'!$C$11*'Sensitivity &amp; Scenarios'!$C$6*((1+$E607)^4-(1+$E607)^3))/(1+$C607)^('Sensitivity &amp; Scenarios'!$C$18+3)+('Sensitivity &amp; Scenarios'!$C$6*(1+$E607)^5*$G607+'Sensitivity &amp; Scenarios'!$C$11*'Sensitivity &amp; Scenarios'!$C$6*((1+$E607)^5-(1+$E607)^4))/(1+$C607)^('Sensitivity &amp; Scenarios'!$C$18+4)</f>
        <v>28337.829730891754</v>
      </c>
      <c r="I607" s="209">
        <f>('Sensitivity &amp; Scenarios'!$C$6*(1+$E607)^5*$G607+'Sensitivity &amp; Scenarios'!$C$11*'Sensitivity &amp; Scenarios'!$C$6*((1+$E607)^5-(1+$E607)^4))*(1+$D607)/($C607-$D607)/(1+$C607)^('Sensitivity &amp; Scenarios'!$C$18+4)</f>
        <v>81846.236683659896</v>
      </c>
      <c r="J607" s="209">
        <f>($H607+$I607-'Sensitivity &amp; Scenarios'!$C$15+'Sensitivity &amp; Scenarios'!$C$16)/'Sensitivity &amp; Scenarios'!$C$17</f>
        <v>2605.8009326941378</v>
      </c>
    </row>
    <row r="608" spans="2:10" x14ac:dyDescent="0.3">
      <c r="B608" s="127">
        <v>578</v>
      </c>
      <c r="C608" s="206">
        <f>$D$7+1.291029*$E$7</f>
        <v>0.15046254943997797</v>
      </c>
      <c r="D608" s="206">
        <f>MIN($D$8+0.26142*$E$8,'Debt &amp; Cost of Capital'!$C$38)</f>
        <v>5.6568519999999997E-2</v>
      </c>
      <c r="E608" s="207">
        <f>$D$9+0.826407*$E$9</f>
        <v>0.19201330770254635</v>
      </c>
      <c r="F608" s="207">
        <f>$D$10+0.279242*$E$10</f>
        <v>0.14835090399999989</v>
      </c>
      <c r="G608" s="208">
        <f>$F608*(1-'Sensitivity &amp; Scenarios'!$C$12)+'Sensitivity &amp; Scenarios'!$C$9*'Sensitivity &amp; Scenarios'!$C$12-'Sensitivity &amp; Scenarios'!$C$10</f>
        <v>8.0206399551664628E-2</v>
      </c>
      <c r="H608" s="209">
        <f>('Sensitivity &amp; Scenarios'!$C$6*(1+$E608)^1*$G608+'Sensitivity &amp; Scenarios'!$C$11*'Sensitivity &amp; Scenarios'!$C$6*((1+$E608)^1-(1+$E608)^0))*'Sensitivity &amp; Scenarios'!$C$18/(1+$C608)^'Sensitivity &amp; Scenarios'!$C$18+('Sensitivity &amp; Scenarios'!$C$6*(1+$E608)^2*$G608+'Sensitivity &amp; Scenarios'!$C$11*'Sensitivity &amp; Scenarios'!$C$6*((1+$E608)^2-(1+$E608)^1))/(1+$C608)^('Sensitivity &amp; Scenarios'!$C$18+1)+('Sensitivity &amp; Scenarios'!$C$6*(1+$E608)^3*$G608+'Sensitivity &amp; Scenarios'!$C$11*'Sensitivity &amp; Scenarios'!$C$6*((1+$E608)^3-(1+$E608)^2))/(1+$C608)^('Sensitivity &amp; Scenarios'!$C$18+2)+('Sensitivity &amp; Scenarios'!$C$6*(1+$E608)^4*$G608+'Sensitivity &amp; Scenarios'!$C$11*'Sensitivity &amp; Scenarios'!$C$6*((1+$E608)^4-(1+$E608)^3))/(1+$C608)^('Sensitivity &amp; Scenarios'!$C$18+3)+('Sensitivity &amp; Scenarios'!$C$6*(1+$E608)^5*$G608+'Sensitivity &amp; Scenarios'!$C$11*'Sensitivity &amp; Scenarios'!$C$6*((1+$E608)^5-(1+$E608)^4))/(1+$C608)^('Sensitivity &amp; Scenarios'!$C$18+4)</f>
        <v>25283.874009956053</v>
      </c>
      <c r="I608" s="209">
        <f>('Sensitivity &amp; Scenarios'!$C$6*(1+$E608)^5*$G608+'Sensitivity &amp; Scenarios'!$C$11*'Sensitivity &amp; Scenarios'!$C$6*((1+$E608)^5-(1+$E608)^4))*(1+$D608)/($C608-$D608)/(1+$C608)^('Sensitivity &amp; Scenarios'!$C$18+4)</f>
        <v>65483.534389869739</v>
      </c>
      <c r="J608" s="209">
        <f>($H608+$I608-'Sensitivity &amp; Scenarios'!$C$15+'Sensitivity &amp; Scenarios'!$C$16)/'Sensitivity &amp; Scenarios'!$C$17</f>
        <v>2197.1040410779528</v>
      </c>
    </row>
    <row r="609" spans="2:10" x14ac:dyDescent="0.3">
      <c r="B609" s="127">
        <v>579</v>
      </c>
      <c r="C609" s="206">
        <f>$D$7+1.368785*$E$7</f>
        <v>0.15124010943997798</v>
      </c>
      <c r="D609" s="206">
        <f>MIN($D$8+0.055939*$E$8,'Debt &amp; Cost of Capital'!$C$38)</f>
        <v>5.5335634000000002E-2</v>
      </c>
      <c r="E609" s="207">
        <f>$D$9+0.496121*$E$9</f>
        <v>0.18210472770254635</v>
      </c>
      <c r="F609" s="207">
        <f>$D$10+0.366333*$E$10</f>
        <v>0.14939599599999992</v>
      </c>
      <c r="G609" s="208">
        <f>$F609*(1-'Sensitivity &amp; Scenarios'!$C$12)+'Sensitivity &amp; Scenarios'!$C$9*'Sensitivity &amp; Scenarios'!$C$12-'Sensitivity &amp; Scenarios'!$C$10</f>
        <v>8.0988441895264648E-2</v>
      </c>
      <c r="H609" s="209">
        <f>('Sensitivity &amp; Scenarios'!$C$6*(1+$E609)^1*$G609+'Sensitivity &amp; Scenarios'!$C$11*'Sensitivity &amp; Scenarios'!$C$6*((1+$E609)^1-(1+$E609)^0))*'Sensitivity &amp; Scenarios'!$C$18/(1+$C609)^'Sensitivity &amp; Scenarios'!$C$18+('Sensitivity &amp; Scenarios'!$C$6*(1+$E609)^2*$G609+'Sensitivity &amp; Scenarios'!$C$11*'Sensitivity &amp; Scenarios'!$C$6*((1+$E609)^2-(1+$E609)^1))/(1+$C609)^('Sensitivity &amp; Scenarios'!$C$18+1)+('Sensitivity &amp; Scenarios'!$C$6*(1+$E609)^3*$G609+'Sensitivity &amp; Scenarios'!$C$11*'Sensitivity &amp; Scenarios'!$C$6*((1+$E609)^3-(1+$E609)^2))/(1+$C609)^('Sensitivity &amp; Scenarios'!$C$18+2)+('Sensitivity &amp; Scenarios'!$C$6*(1+$E609)^4*$G609+'Sensitivity &amp; Scenarios'!$C$11*'Sensitivity &amp; Scenarios'!$C$6*((1+$E609)^4-(1+$E609)^3))/(1+$C609)^('Sensitivity &amp; Scenarios'!$C$18+3)+('Sensitivity &amp; Scenarios'!$C$6*(1+$E609)^5*$G609+'Sensitivity &amp; Scenarios'!$C$11*'Sensitivity &amp; Scenarios'!$C$6*((1+$E609)^5-(1+$E609)^4))/(1+$C609)^('Sensitivity &amp; Scenarios'!$C$18+4)</f>
        <v>24569.28406144906</v>
      </c>
      <c r="I609" s="209">
        <f>('Sensitivity &amp; Scenarios'!$C$6*(1+$E609)^5*$G609+'Sensitivity &amp; Scenarios'!$C$11*'Sensitivity &amp; Scenarios'!$C$6*((1+$E609)^5-(1+$E609)^4))*(1+$D609)/($C609-$D609)/(1+$C609)^('Sensitivity &amp; Scenarios'!$C$18+4)</f>
        <v>61231.771504879034</v>
      </c>
      <c r="J609" s="209">
        <f>($H609+$I609-'Sensitivity &amp; Scenarios'!$C$15+'Sensitivity &amp; Scenarios'!$C$16)/'Sensitivity &amp; Scenarios'!$C$17</f>
        <v>2092.5683911128367</v>
      </c>
    </row>
    <row r="610" spans="2:10" x14ac:dyDescent="0.3">
      <c r="B610" s="127">
        <v>580</v>
      </c>
      <c r="C610" s="206">
        <f>$D$7+-0.288285*$E$7</f>
        <v>0.13466940943997799</v>
      </c>
      <c r="D610" s="206">
        <f>MIN($D$8+0.404982*$E$8,'Debt &amp; Cost of Capital'!$C$38)</f>
        <v>5.7429892000000003E-2</v>
      </c>
      <c r="E610" s="207">
        <f>$D$9+2.234386*$E$9</f>
        <v>0.23425267770254635</v>
      </c>
      <c r="F610" s="207">
        <f>$D$10+-0.270397*$E$10</f>
        <v>0.1417552359999999</v>
      </c>
      <c r="G610" s="208">
        <f>$F610*(1-'Sensitivity &amp; Scenarios'!$C$12)+'Sensitivity &amp; Scenarios'!$C$9*'Sensitivity &amp; Scenarios'!$C$12-'Sensitivity &amp; Scenarios'!$C$10</f>
        <v>7.5270861187264629E-2</v>
      </c>
      <c r="H610" s="209">
        <f>('Sensitivity &amp; Scenarios'!$C$6*(1+$E610)^1*$G610+'Sensitivity &amp; Scenarios'!$C$11*'Sensitivity &amp; Scenarios'!$C$6*((1+$E610)^1-(1+$E610)^0))*'Sensitivity &amp; Scenarios'!$C$18/(1+$C610)^'Sensitivity &amp; Scenarios'!$C$18+('Sensitivity &amp; Scenarios'!$C$6*(1+$E610)^2*$G610+'Sensitivity &amp; Scenarios'!$C$11*'Sensitivity &amp; Scenarios'!$C$6*((1+$E610)^2-(1+$E610)^1))/(1+$C610)^('Sensitivity &amp; Scenarios'!$C$18+1)+('Sensitivity &amp; Scenarios'!$C$6*(1+$E610)^3*$G610+'Sensitivity &amp; Scenarios'!$C$11*'Sensitivity &amp; Scenarios'!$C$6*((1+$E610)^3-(1+$E610)^2))/(1+$C610)^('Sensitivity &amp; Scenarios'!$C$18+2)+('Sensitivity &amp; Scenarios'!$C$6*(1+$E610)^4*$G610+'Sensitivity &amp; Scenarios'!$C$11*'Sensitivity &amp; Scenarios'!$C$6*((1+$E610)^4-(1+$E610)^3))/(1+$C610)^('Sensitivity &amp; Scenarios'!$C$18+3)+('Sensitivity &amp; Scenarios'!$C$6*(1+$E610)^5*$G610+'Sensitivity &amp; Scenarios'!$C$11*'Sensitivity &amp; Scenarios'!$C$6*((1+$E610)^5-(1+$E610)^4))/(1+$C610)^('Sensitivity &amp; Scenarios'!$C$18+4)</f>
        <v>28952.964082049552</v>
      </c>
      <c r="I610" s="209">
        <f>('Sensitivity &amp; Scenarios'!$C$6*(1+$E610)^5*$G610+'Sensitivity &amp; Scenarios'!$C$11*'Sensitivity &amp; Scenarios'!$C$6*((1+$E610)^5-(1+$E610)^4))*(1+$D610)/($C610-$D610)/(1+$C610)^('Sensitivity &amp; Scenarios'!$C$18+4)</f>
        <v>99255.787004876314</v>
      </c>
      <c r="J610" s="209">
        <f>($H610+$I610-'Sensitivity &amp; Scenarios'!$C$15+'Sensitivity &amp; Scenarios'!$C$16)/'Sensitivity &amp; Scenarios'!$C$17</f>
        <v>2985.1984887706926</v>
      </c>
    </row>
    <row r="611" spans="2:10" x14ac:dyDescent="0.3">
      <c r="B611" s="127">
        <v>581</v>
      </c>
      <c r="C611" s="206">
        <f>$D$7+0.419465*$E$7</f>
        <v>0.14174690943997797</v>
      </c>
      <c r="D611" s="206">
        <f>MIN($D$8+1.257779*$E$8,'Debt &amp; Cost of Capital'!$C$38)</f>
        <v>6.2546673999999997E-2</v>
      </c>
      <c r="E611" s="207">
        <f>$D$9+1.140253*$E$9</f>
        <v>0.20142868770254635</v>
      </c>
      <c r="F611" s="207">
        <f>$D$10+0.011716*$E$10</f>
        <v>0.1451405919999999</v>
      </c>
      <c r="G611" s="208">
        <f>$F611*(1-'Sensitivity &amp; Scenarios'!$C$12)+'Sensitivity &amp; Scenarios'!$C$9*'Sensitivity &amp; Scenarios'!$C$12-'Sensitivity &amp; Scenarios'!$C$10</f>
        <v>7.7804123082064636E-2</v>
      </c>
      <c r="H611" s="209">
        <f>('Sensitivity &amp; Scenarios'!$C$6*(1+$E611)^1*$G611+'Sensitivity &amp; Scenarios'!$C$11*'Sensitivity &amp; Scenarios'!$C$6*((1+$E611)^1-(1+$E611)^0))*'Sensitivity &amp; Scenarios'!$C$18/(1+$C611)^'Sensitivity &amp; Scenarios'!$C$18+('Sensitivity &amp; Scenarios'!$C$6*(1+$E611)^2*$G611+'Sensitivity &amp; Scenarios'!$C$11*'Sensitivity &amp; Scenarios'!$C$6*((1+$E611)^2-(1+$E611)^1))/(1+$C611)^('Sensitivity &amp; Scenarios'!$C$18+1)+('Sensitivity &amp; Scenarios'!$C$6*(1+$E611)^3*$G611+'Sensitivity &amp; Scenarios'!$C$11*'Sensitivity &amp; Scenarios'!$C$6*((1+$E611)^3-(1+$E611)^2))/(1+$C611)^('Sensitivity &amp; Scenarios'!$C$18+2)+('Sensitivity &amp; Scenarios'!$C$6*(1+$E611)^4*$G611+'Sensitivity &amp; Scenarios'!$C$11*'Sensitivity &amp; Scenarios'!$C$6*((1+$E611)^4-(1+$E611)^3))/(1+$C611)^('Sensitivity &amp; Scenarios'!$C$18+3)+('Sensitivity &amp; Scenarios'!$C$6*(1+$E611)^5*$G611+'Sensitivity &amp; Scenarios'!$C$11*'Sensitivity &amp; Scenarios'!$C$6*((1+$E611)^5-(1+$E611)^4))/(1+$C611)^('Sensitivity &amp; Scenarios'!$C$18+4)</f>
        <v>26053.679629101818</v>
      </c>
      <c r="I611" s="209">
        <f>('Sensitivity &amp; Scenarios'!$C$6*(1+$E611)^5*$G611+'Sensitivity &amp; Scenarios'!$C$11*'Sensitivity &amp; Scenarios'!$C$6*((1+$E611)^5-(1+$E611)^4))*(1+$D611)/($C611-$D611)/(1+$C611)^('Sensitivity &amp; Scenarios'!$C$18+4)</f>
        <v>82673.803494098203</v>
      </c>
      <c r="J611" s="209">
        <f>($H611+$I611-'Sensitivity &amp; Scenarios'!$C$15+'Sensitivity &amp; Scenarios'!$C$16)/'Sensitivity &amp; Scenarios'!$C$17</f>
        <v>2575.1416367893535</v>
      </c>
    </row>
    <row r="612" spans="2:10" x14ac:dyDescent="0.3">
      <c r="B612" s="127">
        <v>582</v>
      </c>
      <c r="C612" s="206">
        <f>$D$7+-2.383389*$E$7</f>
        <v>0.11371836943997798</v>
      </c>
      <c r="D612" s="206">
        <f>MIN($D$8+0.516703*$E$8,'Debt &amp; Cost of Capital'!$C$38)</f>
        <v>5.8100218000000002E-2</v>
      </c>
      <c r="E612" s="207">
        <f>$D$9+-2.219474*$E$9</f>
        <v>0.10063687770254634</v>
      </c>
      <c r="F612" s="207">
        <f>$D$10+1.469937*$E$10</f>
        <v>0.16263924399999991</v>
      </c>
      <c r="G612" s="208">
        <f>$F612*(1-'Sensitivity &amp; Scenarios'!$C$12)+'Sensitivity &amp; Scenarios'!$C$9*'Sensitivity &amp; Scenarios'!$C$12-'Sensitivity &amp; Scenarios'!$C$10</f>
        <v>9.0898364373664636E-2</v>
      </c>
      <c r="H612" s="209">
        <f>('Sensitivity &amp; Scenarios'!$C$6*(1+$E612)^1*$G612+'Sensitivity &amp; Scenarios'!$C$11*'Sensitivity &amp; Scenarios'!$C$6*((1+$E612)^1-(1+$E612)^0))*'Sensitivity &amp; Scenarios'!$C$18/(1+$C612)^'Sensitivity &amp; Scenarios'!$C$18+('Sensitivity &amp; Scenarios'!$C$6*(1+$E612)^2*$G612+'Sensitivity &amp; Scenarios'!$C$11*'Sensitivity &amp; Scenarios'!$C$6*((1+$E612)^2-(1+$E612)^1))/(1+$C612)^('Sensitivity &amp; Scenarios'!$C$18+1)+('Sensitivity &amp; Scenarios'!$C$6*(1+$E612)^3*$G612+'Sensitivity &amp; Scenarios'!$C$11*'Sensitivity &amp; Scenarios'!$C$6*((1+$E612)^3-(1+$E612)^2))/(1+$C612)^('Sensitivity &amp; Scenarios'!$C$18+2)+('Sensitivity &amp; Scenarios'!$C$6*(1+$E612)^4*$G612+'Sensitivity &amp; Scenarios'!$C$11*'Sensitivity &amp; Scenarios'!$C$6*((1+$E612)^4-(1+$E612)^3))/(1+$C612)^('Sensitivity &amp; Scenarios'!$C$18+3)+('Sensitivity &amp; Scenarios'!$C$6*(1+$E612)^5*$G612+'Sensitivity &amp; Scenarios'!$C$11*'Sensitivity &amp; Scenarios'!$C$6*((1+$E612)^5-(1+$E612)^4))/(1+$C612)^('Sensitivity &amp; Scenarios'!$C$18+4)</f>
        <v>22161.016360441547</v>
      </c>
      <c r="I612" s="209">
        <f>('Sensitivity &amp; Scenarios'!$C$6*(1+$E612)^5*$G612+'Sensitivity &amp; Scenarios'!$C$11*'Sensitivity &amp; Scenarios'!$C$6*((1+$E612)^5-(1+$E612)^4))*(1+$D612)/($C612-$D612)/(1+$C612)^('Sensitivity &amp; Scenarios'!$C$18+4)</f>
        <v>89031.705677118109</v>
      </c>
      <c r="J612" s="209">
        <f>($H612+$I612-'Sensitivity &amp; Scenarios'!$C$15+'Sensitivity &amp; Scenarios'!$C$16)/'Sensitivity &amp; Scenarios'!$C$17</f>
        <v>2627.0318992962125</v>
      </c>
    </row>
    <row r="613" spans="2:10" x14ac:dyDescent="0.3">
      <c r="B613" s="127">
        <v>583</v>
      </c>
      <c r="C613" s="206">
        <f>$D$7+0.169474*$E$7</f>
        <v>0.13924699943997798</v>
      </c>
      <c r="D613" s="206">
        <f>MIN($D$8+0.999674*$E$8,'Debt &amp; Cost of Capital'!$C$38)</f>
        <v>6.0998044000000001E-2</v>
      </c>
      <c r="E613" s="207">
        <f>$D$9+-0.902111*$E$9</f>
        <v>0.14015776770254634</v>
      </c>
      <c r="F613" s="207">
        <f>$D$10+-1.552507*$E$10</f>
        <v>0.12636991599999992</v>
      </c>
      <c r="G613" s="208">
        <f>$F613*(1-'Sensitivity &amp; Scenarios'!$C$12)+'Sensitivity &amp; Scenarios'!$C$9*'Sensitivity &amp; Scenarios'!$C$12-'Sensitivity &amp; Scenarios'!$C$10</f>
        <v>6.3758026231264642E-2</v>
      </c>
      <c r="H613" s="209">
        <f>('Sensitivity &amp; Scenarios'!$C$6*(1+$E613)^1*$G613+'Sensitivity &amp; Scenarios'!$C$11*'Sensitivity &amp; Scenarios'!$C$6*((1+$E613)^1-(1+$E613)^0))*'Sensitivity &amp; Scenarios'!$C$18/(1+$C613)^'Sensitivity &amp; Scenarios'!$C$18+('Sensitivity &amp; Scenarios'!$C$6*(1+$E613)^2*$G613+'Sensitivity &amp; Scenarios'!$C$11*'Sensitivity &amp; Scenarios'!$C$6*((1+$E613)^2-(1+$E613)^1))/(1+$C613)^('Sensitivity &amp; Scenarios'!$C$18+1)+('Sensitivity &amp; Scenarios'!$C$6*(1+$E613)^3*$G613+'Sensitivity &amp; Scenarios'!$C$11*'Sensitivity &amp; Scenarios'!$C$6*((1+$E613)^3-(1+$E613)^2))/(1+$C613)^('Sensitivity &amp; Scenarios'!$C$18+2)+('Sensitivity &amp; Scenarios'!$C$6*(1+$E613)^4*$G613+'Sensitivity &amp; Scenarios'!$C$11*'Sensitivity &amp; Scenarios'!$C$6*((1+$E613)^4-(1+$E613)^3))/(1+$C613)^('Sensitivity &amp; Scenarios'!$C$18+3)+('Sensitivity &amp; Scenarios'!$C$6*(1+$E613)^5*$G613+'Sensitivity &amp; Scenarios'!$C$11*'Sensitivity &amp; Scenarios'!$C$6*((1+$E613)^5-(1+$E613)^4))/(1+$C613)^('Sensitivity &amp; Scenarios'!$C$18+4)</f>
        <v>17798.625920459941</v>
      </c>
      <c r="I613" s="209">
        <f>('Sensitivity &amp; Scenarios'!$C$6*(1+$E613)^5*$G613+'Sensitivity &amp; Scenarios'!$C$11*'Sensitivity &amp; Scenarios'!$C$6*((1+$E613)^5-(1+$E613)^4))*(1+$D613)/($C613-$D613)/(1+$C613)^('Sensitivity &amp; Scenarios'!$C$18+4)</f>
        <v>52168.773338874853</v>
      </c>
      <c r="J613" s="209">
        <f>($H613+$I613-'Sensitivity &amp; Scenarios'!$C$15+'Sensitivity &amp; Scenarios'!$C$16)/'Sensitivity &amp; Scenarios'!$C$17</f>
        <v>1759.2893010305295</v>
      </c>
    </row>
    <row r="614" spans="2:10" x14ac:dyDescent="0.3">
      <c r="B614" s="127">
        <v>584</v>
      </c>
      <c r="C614" s="206">
        <f>$D$7+0.260754*$E$7</f>
        <v>0.14015979943997797</v>
      </c>
      <c r="D614" s="206">
        <f>MIN($D$8+-0.033603*$E$8,'Debt &amp; Cost of Capital'!$C$38)</f>
        <v>5.4798382E-2</v>
      </c>
      <c r="E614" s="207">
        <f>$D$9+-0.491541*$E$9</f>
        <v>0.15247486770254634</v>
      </c>
      <c r="F614" s="207">
        <f>$D$10+0.084661*$E$10</f>
        <v>0.1460159319999999</v>
      </c>
      <c r="G614" s="208">
        <f>$F614*(1-'Sensitivity &amp; Scenarios'!$C$12)+'Sensitivity &amp; Scenarios'!$C$9*'Sensitivity &amp; Scenarios'!$C$12-'Sensitivity &amp; Scenarios'!$C$10</f>
        <v>7.8459140004064634E-2</v>
      </c>
      <c r="H614" s="209">
        <f>('Sensitivity &amp; Scenarios'!$C$6*(1+$E614)^1*$G614+'Sensitivity &amp; Scenarios'!$C$11*'Sensitivity &amp; Scenarios'!$C$6*((1+$E614)^1-(1+$E614)^0))*'Sensitivity &amp; Scenarios'!$C$18/(1+$C614)^'Sensitivity &amp; Scenarios'!$C$18+('Sensitivity &amp; Scenarios'!$C$6*(1+$E614)^2*$G614+'Sensitivity &amp; Scenarios'!$C$11*'Sensitivity &amp; Scenarios'!$C$6*((1+$E614)^2-(1+$E614)^1))/(1+$C614)^('Sensitivity &amp; Scenarios'!$C$18+1)+('Sensitivity &amp; Scenarios'!$C$6*(1+$E614)^3*$G614+'Sensitivity &amp; Scenarios'!$C$11*'Sensitivity &amp; Scenarios'!$C$6*((1+$E614)^3-(1+$E614)^2))/(1+$C614)^('Sensitivity &amp; Scenarios'!$C$18+2)+('Sensitivity &amp; Scenarios'!$C$6*(1+$E614)^4*$G614+'Sensitivity &amp; Scenarios'!$C$11*'Sensitivity &amp; Scenarios'!$C$6*((1+$E614)^4-(1+$E614)^3))/(1+$C614)^('Sensitivity &amp; Scenarios'!$C$18+3)+('Sensitivity &amp; Scenarios'!$C$6*(1+$E614)^5*$G614+'Sensitivity &amp; Scenarios'!$C$11*'Sensitivity &amp; Scenarios'!$C$6*((1+$E614)^5-(1+$E614)^4))/(1+$C614)^('Sensitivity &amp; Scenarios'!$C$18+4)</f>
        <v>22114.274118684578</v>
      </c>
      <c r="I614" s="209">
        <f>('Sensitivity &amp; Scenarios'!$C$6*(1+$E614)^5*$G614+'Sensitivity &amp; Scenarios'!$C$11*'Sensitivity &amp; Scenarios'!$C$6*((1+$E614)^5-(1+$E614)^4))*(1+$D614)/($C614-$D614)/(1+$C614)^('Sensitivity &amp; Scenarios'!$C$18+4)</f>
        <v>60155.633415400633</v>
      </c>
      <c r="J614" s="209">
        <f>($H614+$I614-'Sensitivity &amp; Scenarios'!$C$15+'Sensitivity &amp; Scenarios'!$C$16)/'Sensitivity &amp; Scenarios'!$C$17</f>
        <v>2018.2420459961977</v>
      </c>
    </row>
    <row r="615" spans="2:10" x14ac:dyDescent="0.3">
      <c r="B615" s="127">
        <v>585</v>
      </c>
      <c r="C615" s="206">
        <f>$D$7+2.767436*$E$7</f>
        <v>0.16522661943997799</v>
      </c>
      <c r="D615" s="206">
        <f>MIN($D$8+0.834526*$E$8,'Debt &amp; Cost of Capital'!$C$38)</f>
        <v>6.0007155999999999E-2</v>
      </c>
      <c r="E615" s="207">
        <f>$D$9+1.049499*$E$9</f>
        <v>0.19870606770254634</v>
      </c>
      <c r="F615" s="207">
        <f>$D$10+0.843937*$E$10</f>
        <v>0.15512724399999991</v>
      </c>
      <c r="G615" s="208">
        <f>$F615*(1-'Sensitivity &amp; Scenarios'!$C$12)+'Sensitivity &amp; Scenarios'!$C$9*'Sensitivity &amp; Scenarios'!$C$12-'Sensitivity &amp; Scenarios'!$C$10</f>
        <v>8.5277134773664637E-2</v>
      </c>
      <c r="H615" s="209">
        <f>('Sensitivity &amp; Scenarios'!$C$6*(1+$E615)^1*$G615+'Sensitivity &amp; Scenarios'!$C$11*'Sensitivity &amp; Scenarios'!$C$6*((1+$E615)^1-(1+$E615)^0))*'Sensitivity &amp; Scenarios'!$C$18/(1+$C615)^'Sensitivity &amp; Scenarios'!$C$18+('Sensitivity &amp; Scenarios'!$C$6*(1+$E615)^2*$G615+'Sensitivity &amp; Scenarios'!$C$11*'Sensitivity &amp; Scenarios'!$C$6*((1+$E615)^2-(1+$E615)^1))/(1+$C615)^('Sensitivity &amp; Scenarios'!$C$18+1)+('Sensitivity &amp; Scenarios'!$C$6*(1+$E615)^3*$G615+'Sensitivity &amp; Scenarios'!$C$11*'Sensitivity &amp; Scenarios'!$C$6*((1+$E615)^3-(1+$E615)^2))/(1+$C615)^('Sensitivity &amp; Scenarios'!$C$18+2)+('Sensitivity &amp; Scenarios'!$C$6*(1+$E615)^4*$G615+'Sensitivity &amp; Scenarios'!$C$11*'Sensitivity &amp; Scenarios'!$C$6*((1+$E615)^4-(1+$E615)^3))/(1+$C615)^('Sensitivity &amp; Scenarios'!$C$18+3)+('Sensitivity &amp; Scenarios'!$C$6*(1+$E615)^5*$G615+'Sensitivity &amp; Scenarios'!$C$11*'Sensitivity &amp; Scenarios'!$C$6*((1+$E615)^5-(1+$E615)^4))/(1+$C615)^('Sensitivity &amp; Scenarios'!$C$18+4)</f>
        <v>26240.890068017146</v>
      </c>
      <c r="I615" s="209">
        <f>('Sensitivity &amp; Scenarios'!$C$6*(1+$E615)^5*$G615+'Sensitivity &amp; Scenarios'!$C$11*'Sensitivity &amp; Scenarios'!$C$6*((1+$E615)^5-(1+$E615)^4))*(1+$D615)/($C615-$D615)/(1+$C615)^('Sensitivity &amp; Scenarios'!$C$18+4)</f>
        <v>60073.001885432175</v>
      </c>
      <c r="J615" s="209">
        <f>($H615+$I615-'Sensitivity &amp; Scenarios'!$C$15+'Sensitivity &amp; Scenarios'!$C$16)/'Sensitivity &amp; Scenarios'!$C$17</f>
        <v>2103.3629695189229</v>
      </c>
    </row>
    <row r="616" spans="2:10" x14ac:dyDescent="0.3">
      <c r="B616" s="127">
        <v>586</v>
      </c>
      <c r="C616" s="206">
        <f>$D$7+1.479462*$E$7</f>
        <v>0.15234687943997799</v>
      </c>
      <c r="D616" s="206">
        <f>MIN($D$8+-0.190072*$E$8,'Debt &amp; Cost of Capital'!$C$38)</f>
        <v>5.3859568000000003E-2</v>
      </c>
      <c r="E616" s="207">
        <f>$D$9+-2.054761*$E$9</f>
        <v>0.10557826770254633</v>
      </c>
      <c r="F616" s="207">
        <f>$D$10+-0.188586*$E$10</f>
        <v>0.14273696799999991</v>
      </c>
      <c r="G616" s="208">
        <f>$F616*(1-'Sensitivity &amp; Scenarios'!$C$12)+'Sensitivity &amp; Scenarios'!$C$9*'Sensitivity &amp; Scenarios'!$C$12-'Sensitivity &amp; Scenarios'!$C$10</f>
        <v>7.600549124286464E-2</v>
      </c>
      <c r="H616" s="209">
        <f>('Sensitivity &amp; Scenarios'!$C$6*(1+$E616)^1*$G616+'Sensitivity &amp; Scenarios'!$C$11*'Sensitivity &amp; Scenarios'!$C$6*((1+$E616)^1-(1+$E616)^0))*'Sensitivity &amp; Scenarios'!$C$18/(1+$C616)^'Sensitivity &amp; Scenarios'!$C$18+('Sensitivity &amp; Scenarios'!$C$6*(1+$E616)^2*$G616+'Sensitivity &amp; Scenarios'!$C$11*'Sensitivity &amp; Scenarios'!$C$6*((1+$E616)^2-(1+$E616)^1))/(1+$C616)^('Sensitivity &amp; Scenarios'!$C$18+1)+('Sensitivity &amp; Scenarios'!$C$6*(1+$E616)^3*$G616+'Sensitivity &amp; Scenarios'!$C$11*'Sensitivity &amp; Scenarios'!$C$6*((1+$E616)^3-(1+$E616)^2))/(1+$C616)^('Sensitivity &amp; Scenarios'!$C$18+2)+('Sensitivity &amp; Scenarios'!$C$6*(1+$E616)^4*$G616+'Sensitivity &amp; Scenarios'!$C$11*'Sensitivity &amp; Scenarios'!$C$6*((1+$E616)^4-(1+$E616)^3))/(1+$C616)^('Sensitivity &amp; Scenarios'!$C$18+3)+('Sensitivity &amp; Scenarios'!$C$6*(1+$E616)^5*$G616+'Sensitivity &amp; Scenarios'!$C$11*'Sensitivity &amp; Scenarios'!$C$6*((1+$E616)^5-(1+$E616)^4))/(1+$C616)^('Sensitivity &amp; Scenarios'!$C$18+4)</f>
        <v>17537.053916988581</v>
      </c>
      <c r="I616" s="209">
        <f>('Sensitivity &amp; Scenarios'!$C$6*(1+$E616)^5*$G616+'Sensitivity &amp; Scenarios'!$C$11*'Sensitivity &amp; Scenarios'!$C$6*((1+$E616)^5-(1+$E616)^4))*(1+$D616)/($C616-$D616)/(1+$C616)^('Sensitivity &amp; Scenarios'!$C$18+4)</f>
        <v>37470.938332370504</v>
      </c>
      <c r="J616" s="209">
        <f>($H616+$I616-'Sensitivity &amp; Scenarios'!$C$15+'Sensitivity &amp; Scenarios'!$C$16)/'Sensitivity &amp; Scenarios'!$C$17</f>
        <v>1444.4120888572709</v>
      </c>
    </row>
    <row r="617" spans="2:10" x14ac:dyDescent="0.3">
      <c r="B617" s="127">
        <v>587</v>
      </c>
      <c r="C617" s="206">
        <f>$D$7+0.811736*$E$7</f>
        <v>0.14566961943997797</v>
      </c>
      <c r="D617" s="206">
        <f>MIN($D$8+-0.9698*$E$8,'Debt &amp; Cost of Capital'!$C$38)</f>
        <v>4.9181200000000001E-2</v>
      </c>
      <c r="E617" s="207">
        <f>$D$9+-0.176366*$E$9</f>
        <v>0.16193011770254634</v>
      </c>
      <c r="F617" s="207">
        <f>$D$10+-0.69177*$E$10</f>
        <v>0.13669875999999992</v>
      </c>
      <c r="G617" s="208">
        <f>$F617*(1-'Sensitivity &amp; Scenarios'!$C$12)+'Sensitivity &amp; Scenarios'!$C$9*'Sensitivity &amp; Scenarios'!$C$12-'Sensitivity &amp; Scenarios'!$C$10</f>
        <v>7.1487100196464648E-2</v>
      </c>
      <c r="H617" s="209">
        <f>('Sensitivity &amp; Scenarios'!$C$6*(1+$E617)^1*$G617+'Sensitivity &amp; Scenarios'!$C$11*'Sensitivity &amp; Scenarios'!$C$6*((1+$E617)^1-(1+$E617)^0))*'Sensitivity &amp; Scenarios'!$C$18/(1+$C617)^'Sensitivity &amp; Scenarios'!$C$18+('Sensitivity &amp; Scenarios'!$C$6*(1+$E617)^2*$G617+'Sensitivity &amp; Scenarios'!$C$11*'Sensitivity &amp; Scenarios'!$C$6*((1+$E617)^2-(1+$E617)^1))/(1+$C617)^('Sensitivity &amp; Scenarios'!$C$18+1)+('Sensitivity &amp; Scenarios'!$C$6*(1+$E617)^3*$G617+'Sensitivity &amp; Scenarios'!$C$11*'Sensitivity &amp; Scenarios'!$C$6*((1+$E617)^3-(1+$E617)^2))/(1+$C617)^('Sensitivity &amp; Scenarios'!$C$18+2)+('Sensitivity &amp; Scenarios'!$C$6*(1+$E617)^4*$G617+'Sensitivity &amp; Scenarios'!$C$11*'Sensitivity &amp; Scenarios'!$C$6*((1+$E617)^4-(1+$E617)^3))/(1+$C617)^('Sensitivity &amp; Scenarios'!$C$18+3)+('Sensitivity &amp; Scenarios'!$C$6*(1+$E617)^5*$G617+'Sensitivity &amp; Scenarios'!$C$11*'Sensitivity &amp; Scenarios'!$C$6*((1+$E617)^5-(1+$E617)^4))/(1+$C617)^('Sensitivity &amp; Scenarios'!$C$18+4)</f>
        <v>20899.386315860756</v>
      </c>
      <c r="I617" s="209">
        <f>('Sensitivity &amp; Scenarios'!$C$6*(1+$E617)^5*$G617+'Sensitivity &amp; Scenarios'!$C$11*'Sensitivity &amp; Scenarios'!$C$6*((1+$E617)^5-(1+$E617)^4))*(1+$D617)/($C617-$D617)/(1+$C617)^('Sensitivity &amp; Scenarios'!$C$18+4)</f>
        <v>50332.789530951603</v>
      </c>
      <c r="J617" s="209">
        <f>($H617+$I617-'Sensitivity &amp; Scenarios'!$C$15+'Sensitivity &amp; Scenarios'!$C$16)/'Sensitivity &amp; Scenarios'!$C$17</f>
        <v>1785.9113005269917</v>
      </c>
    </row>
    <row r="618" spans="2:10" x14ac:dyDescent="0.3">
      <c r="B618" s="127">
        <v>588</v>
      </c>
      <c r="C618" s="206">
        <f>$D$7+1.502029*$E$7</f>
        <v>0.15257254943997797</v>
      </c>
      <c r="D618" s="206">
        <f>MIN($D$8+0.749457*$E$8,'Debt &amp; Cost of Capital'!$C$38)</f>
        <v>5.9496741999999998E-2</v>
      </c>
      <c r="E618" s="207">
        <f>$D$9+0.651541*$E$9</f>
        <v>0.18676732770254634</v>
      </c>
      <c r="F618" s="207">
        <f>$D$10+0.621601*$E$10</f>
        <v>0.1524592119999999</v>
      </c>
      <c r="G618" s="208">
        <f>$F618*(1-'Sensitivity &amp; Scenarios'!$C$12)+'Sensitivity &amp; Scenarios'!$C$9*'Sensitivity &amp; Scenarios'!$C$12-'Sensitivity &amp; Scenarios'!$C$10</f>
        <v>8.3280646428064625E-2</v>
      </c>
      <c r="H618" s="209">
        <f>('Sensitivity &amp; Scenarios'!$C$6*(1+$E618)^1*$G618+'Sensitivity &amp; Scenarios'!$C$11*'Sensitivity &amp; Scenarios'!$C$6*((1+$E618)^1-(1+$E618)^0))*'Sensitivity &amp; Scenarios'!$C$18/(1+$C618)^'Sensitivity &amp; Scenarios'!$C$18+('Sensitivity &amp; Scenarios'!$C$6*(1+$E618)^2*$G618+'Sensitivity &amp; Scenarios'!$C$11*'Sensitivity &amp; Scenarios'!$C$6*((1+$E618)^2-(1+$E618)^1))/(1+$C618)^('Sensitivity &amp; Scenarios'!$C$18+1)+('Sensitivity &amp; Scenarios'!$C$6*(1+$E618)^3*$G618+'Sensitivity &amp; Scenarios'!$C$11*'Sensitivity &amp; Scenarios'!$C$6*((1+$E618)^3-(1+$E618)^2))/(1+$C618)^('Sensitivity &amp; Scenarios'!$C$18+2)+('Sensitivity &amp; Scenarios'!$C$6*(1+$E618)^4*$G618+'Sensitivity &amp; Scenarios'!$C$11*'Sensitivity &amp; Scenarios'!$C$6*((1+$E618)^4-(1+$E618)^3))/(1+$C618)^('Sensitivity &amp; Scenarios'!$C$18+3)+('Sensitivity &amp; Scenarios'!$C$6*(1+$E618)^5*$G618+'Sensitivity &amp; Scenarios'!$C$11*'Sensitivity &amp; Scenarios'!$C$6*((1+$E618)^5-(1+$E618)^4))/(1+$C618)^('Sensitivity &amp; Scenarios'!$C$18+4)</f>
        <v>25472.998861257547</v>
      </c>
      <c r="I618" s="209">
        <f>('Sensitivity &amp; Scenarios'!$C$6*(1+$E618)^5*$G618+'Sensitivity &amp; Scenarios'!$C$11*'Sensitivity &amp; Scenarios'!$C$6*((1+$E618)^5-(1+$E618)^4))*(1+$D618)/($C618-$D618)/(1+$C618)^('Sensitivity &amp; Scenarios'!$C$18+4)</f>
        <v>65999.059334951191</v>
      </c>
      <c r="J618" s="209">
        <f>($H618+$I618-'Sensitivity &amp; Scenarios'!$C$15+'Sensitivity &amp; Scenarios'!$C$16)/'Sensitivity &amp; Scenarios'!$C$17</f>
        <v>2211.9360570325662</v>
      </c>
    </row>
    <row r="619" spans="2:10" x14ac:dyDescent="0.3">
      <c r="B619" s="127">
        <v>589</v>
      </c>
      <c r="C619" s="206">
        <f>$D$7+-0.037249*$E$7</f>
        <v>0.13717976943997798</v>
      </c>
      <c r="D619" s="206">
        <f>MIN($D$8+0.197556*$E$8,'Debt &amp; Cost of Capital'!$C$38)</f>
        <v>5.6185336000000002E-2</v>
      </c>
      <c r="E619" s="207">
        <f>$D$9+-1.185185*$E$9</f>
        <v>0.13166554770254635</v>
      </c>
      <c r="F619" s="207">
        <f>$D$10+-2.186442*$E$10</f>
        <v>0.1187626959999999</v>
      </c>
      <c r="G619" s="208">
        <f>$F619*(1-'Sensitivity &amp; Scenarios'!$C$12)+'Sensitivity &amp; Scenarios'!$C$9*'Sensitivity &amp; Scenarios'!$C$12-'Sensitivity &amp; Scenarios'!$C$10</f>
        <v>5.8065543505264633E-2</v>
      </c>
      <c r="H619" s="209">
        <f>('Sensitivity &amp; Scenarios'!$C$6*(1+$E619)^1*$G619+'Sensitivity &amp; Scenarios'!$C$11*'Sensitivity &amp; Scenarios'!$C$6*((1+$E619)^1-(1+$E619)^0))*'Sensitivity &amp; Scenarios'!$C$18/(1+$C619)^'Sensitivity &amp; Scenarios'!$C$18+('Sensitivity &amp; Scenarios'!$C$6*(1+$E619)^2*$G619+'Sensitivity &amp; Scenarios'!$C$11*'Sensitivity &amp; Scenarios'!$C$6*((1+$E619)^2-(1+$E619)^1))/(1+$C619)^('Sensitivity &amp; Scenarios'!$C$18+1)+('Sensitivity &amp; Scenarios'!$C$6*(1+$E619)^3*$G619+'Sensitivity &amp; Scenarios'!$C$11*'Sensitivity &amp; Scenarios'!$C$6*((1+$E619)^3-(1+$E619)^2))/(1+$C619)^('Sensitivity &amp; Scenarios'!$C$18+2)+('Sensitivity &amp; Scenarios'!$C$6*(1+$E619)^4*$G619+'Sensitivity &amp; Scenarios'!$C$11*'Sensitivity &amp; Scenarios'!$C$6*((1+$E619)^4-(1+$E619)^3))/(1+$C619)^('Sensitivity &amp; Scenarios'!$C$18+3)+('Sensitivity &amp; Scenarios'!$C$6*(1+$E619)^5*$G619+'Sensitivity &amp; Scenarios'!$C$11*'Sensitivity &amp; Scenarios'!$C$6*((1+$E619)^5-(1+$E619)^4))/(1+$C619)^('Sensitivity &amp; Scenarios'!$C$18+4)</f>
        <v>16021.30471691749</v>
      </c>
      <c r="I619" s="209">
        <f>('Sensitivity &amp; Scenarios'!$C$6*(1+$E619)^5*$G619+'Sensitivity &amp; Scenarios'!$C$11*'Sensitivity &amp; Scenarios'!$C$6*((1+$E619)^5-(1+$E619)^4))*(1+$D619)/($C619-$D619)/(1+$C619)^('Sensitivity &amp; Scenarios'!$C$18+4)</f>
        <v>44692.565558189017</v>
      </c>
      <c r="J619" s="209">
        <f>($H619+$I619-'Sensitivity &amp; Scenarios'!$C$15+'Sensitivity &amp; Scenarios'!$C$16)/'Sensitivity &amp; Scenarios'!$C$17</f>
        <v>1564.5138391839989</v>
      </c>
    </row>
    <row r="620" spans="2:10" x14ac:dyDescent="0.3">
      <c r="B620" s="127">
        <v>590</v>
      </c>
      <c r="C620" s="206">
        <f>$D$7+0.150081*$E$7</f>
        <v>0.13905306943997797</v>
      </c>
      <c r="D620" s="206">
        <f>MIN($D$8+0.32399*$E$8,'Debt &amp; Cost of Capital'!$C$38)</f>
        <v>5.6943939999999998E-2</v>
      </c>
      <c r="E620" s="207">
        <f>$D$9+1.209265*$E$9</f>
        <v>0.20349904770254634</v>
      </c>
      <c r="F620" s="207">
        <f>$D$10+1.571336*$E$10</f>
        <v>0.1638560319999999</v>
      </c>
      <c r="G620" s="208">
        <f>$F620*(1-'Sensitivity &amp; Scenarios'!$C$12)+'Sensitivity &amp; Scenarios'!$C$9*'Sensitivity &amp; Scenarios'!$C$12-'Sensitivity &amp; Scenarios'!$C$10</f>
        <v>9.1808886834064629E-2</v>
      </c>
      <c r="H620" s="209">
        <f>('Sensitivity &amp; Scenarios'!$C$6*(1+$E620)^1*$G620+'Sensitivity &amp; Scenarios'!$C$11*'Sensitivity &amp; Scenarios'!$C$6*((1+$E620)^1-(1+$E620)^0))*'Sensitivity &amp; Scenarios'!$C$18/(1+$C620)^'Sensitivity &amp; Scenarios'!$C$18+('Sensitivity &amp; Scenarios'!$C$6*(1+$E620)^2*$G620+'Sensitivity &amp; Scenarios'!$C$11*'Sensitivity &amp; Scenarios'!$C$6*((1+$E620)^2-(1+$E620)^1))/(1+$C620)^('Sensitivity &amp; Scenarios'!$C$18+1)+('Sensitivity &amp; Scenarios'!$C$6*(1+$E620)^3*$G620+'Sensitivity &amp; Scenarios'!$C$11*'Sensitivity &amp; Scenarios'!$C$6*((1+$E620)^3-(1+$E620)^2))/(1+$C620)^('Sensitivity &amp; Scenarios'!$C$18+2)+('Sensitivity &amp; Scenarios'!$C$6*(1+$E620)^4*$G620+'Sensitivity &amp; Scenarios'!$C$11*'Sensitivity &amp; Scenarios'!$C$6*((1+$E620)^4-(1+$E620)^3))/(1+$C620)^('Sensitivity &amp; Scenarios'!$C$18+3)+('Sensitivity &amp; Scenarios'!$C$6*(1+$E620)^5*$G620+'Sensitivity &amp; Scenarios'!$C$11*'Sensitivity &amp; Scenarios'!$C$6*((1+$E620)^5-(1+$E620)^4))/(1+$C620)^('Sensitivity &amp; Scenarios'!$C$18+4)</f>
        <v>30260.985833255345</v>
      </c>
      <c r="I620" s="209">
        <f>('Sensitivity &amp; Scenarios'!$C$6*(1+$E620)^5*$G620+'Sensitivity &amp; Scenarios'!$C$11*'Sensitivity &amp; Scenarios'!$C$6*((1+$E620)^5-(1+$E620)^4))*(1+$D620)/($C620-$D620)/(1+$C620)^('Sensitivity &amp; Scenarios'!$C$18+4)</f>
        <v>92793.401134053522</v>
      </c>
      <c r="J620" s="209">
        <f>($H620+$I620-'Sensitivity &amp; Scenarios'!$C$15+'Sensitivity &amp; Scenarios'!$C$16)/'Sensitivity &amp; Scenarios'!$C$17</f>
        <v>2876.7054312966507</v>
      </c>
    </row>
    <row r="621" spans="2:10" x14ac:dyDescent="0.3">
      <c r="B621" s="127">
        <v>591</v>
      </c>
      <c r="C621" s="206">
        <f>$D$7+1.569998*$E$7</f>
        <v>0.15325223943997798</v>
      </c>
      <c r="D621" s="206">
        <f>MIN($D$8+-0.998024*$E$8,'Debt &amp; Cost of Capital'!$C$38)</f>
        <v>4.9011855999999999E-2</v>
      </c>
      <c r="E621" s="207">
        <f>$D$9+-0.352265*$E$9</f>
        <v>0.15665314770254635</v>
      </c>
      <c r="F621" s="207">
        <f>$D$10+0.480334*$E$10</f>
        <v>0.15076400799999989</v>
      </c>
      <c r="G621" s="208">
        <f>$F621*(1-'Sensitivity &amp; Scenarios'!$C$12)+'Sensitivity &amp; Scenarios'!$C$9*'Sensitivity &amp; Scenarios'!$C$12-'Sensitivity &amp; Scenarios'!$C$10</f>
        <v>8.2012125274864622E-2</v>
      </c>
      <c r="H621" s="209">
        <f>('Sensitivity &amp; Scenarios'!$C$6*(1+$E621)^1*$G621+'Sensitivity &amp; Scenarios'!$C$11*'Sensitivity &amp; Scenarios'!$C$6*((1+$E621)^1-(1+$E621)^0))*'Sensitivity &amp; Scenarios'!$C$18/(1+$C621)^'Sensitivity &amp; Scenarios'!$C$18+('Sensitivity &amp; Scenarios'!$C$6*(1+$E621)^2*$G621+'Sensitivity &amp; Scenarios'!$C$11*'Sensitivity &amp; Scenarios'!$C$6*((1+$E621)^2-(1+$E621)^1))/(1+$C621)^('Sensitivity &amp; Scenarios'!$C$18+1)+('Sensitivity &amp; Scenarios'!$C$6*(1+$E621)^3*$G621+'Sensitivity &amp; Scenarios'!$C$11*'Sensitivity &amp; Scenarios'!$C$6*((1+$E621)^3-(1+$E621)^2))/(1+$C621)^('Sensitivity &amp; Scenarios'!$C$18+2)+('Sensitivity &amp; Scenarios'!$C$6*(1+$E621)^4*$G621+'Sensitivity &amp; Scenarios'!$C$11*'Sensitivity &amp; Scenarios'!$C$6*((1+$E621)^4-(1+$E621)^3))/(1+$C621)^('Sensitivity &amp; Scenarios'!$C$18+3)+('Sensitivity &amp; Scenarios'!$C$6*(1+$E621)^5*$G621+'Sensitivity &amp; Scenarios'!$C$11*'Sensitivity &amp; Scenarios'!$C$6*((1+$E621)^5-(1+$E621)^4))/(1+$C621)^('Sensitivity &amp; Scenarios'!$C$18+4)</f>
        <v>22572.625301230612</v>
      </c>
      <c r="I621" s="209">
        <f>('Sensitivity &amp; Scenarios'!$C$6*(1+$E621)^5*$G621+'Sensitivity &amp; Scenarios'!$C$11*'Sensitivity &amp; Scenarios'!$C$6*((1+$E621)^5-(1+$E621)^4))*(1+$D621)/($C621-$D621)/(1+$C621)^('Sensitivity &amp; Scenarios'!$C$18+4)</f>
        <v>49297.773275448271</v>
      </c>
      <c r="J621" s="209">
        <f>($H621+$I621-'Sensitivity &amp; Scenarios'!$C$15+'Sensitivity &amp; Scenarios'!$C$16)/'Sensitivity &amp; Scenarios'!$C$17</f>
        <v>1799.3451080162838</v>
      </c>
    </row>
    <row r="622" spans="2:10" x14ac:dyDescent="0.3">
      <c r="B622" s="127">
        <v>592</v>
      </c>
      <c r="C622" s="206">
        <f>$D$7+2.531905*$E$7</f>
        <v>0.16287130943997799</v>
      </c>
      <c r="D622" s="206">
        <f>MIN($D$8+1.480099*$E$8,'Debt &amp; Cost of Capital'!$C$38)</f>
        <v>6.3880593999999999E-2</v>
      </c>
      <c r="E622" s="207">
        <f>$D$9+1.119397*$E$9</f>
        <v>0.20080300770254633</v>
      </c>
      <c r="F622" s="207">
        <f>$D$10+-0.387788*$E$10</f>
        <v>0.14034654399999991</v>
      </c>
      <c r="G622" s="208">
        <f>$F622*(1-'Sensitivity &amp; Scenarios'!$C$12)+'Sensitivity &amp; Scenarios'!$C$9*'Sensitivity &amp; Scenarios'!$C$12-'Sensitivity &amp; Scenarios'!$C$10</f>
        <v>7.421673696366464E-2</v>
      </c>
      <c r="H622" s="209">
        <f>('Sensitivity &amp; Scenarios'!$C$6*(1+$E622)^1*$G622+'Sensitivity &amp; Scenarios'!$C$11*'Sensitivity &amp; Scenarios'!$C$6*((1+$E622)^1-(1+$E622)^0))*'Sensitivity &amp; Scenarios'!$C$18/(1+$C622)^'Sensitivity &amp; Scenarios'!$C$18+('Sensitivity &amp; Scenarios'!$C$6*(1+$E622)^2*$G622+'Sensitivity &amp; Scenarios'!$C$11*'Sensitivity &amp; Scenarios'!$C$6*((1+$E622)^2-(1+$E622)^1))/(1+$C622)^('Sensitivity &amp; Scenarios'!$C$18+1)+('Sensitivity &amp; Scenarios'!$C$6*(1+$E622)^3*$G622+'Sensitivity &amp; Scenarios'!$C$11*'Sensitivity &amp; Scenarios'!$C$6*((1+$E622)^3-(1+$E622)^2))/(1+$C622)^('Sensitivity &amp; Scenarios'!$C$18+2)+('Sensitivity &amp; Scenarios'!$C$6*(1+$E622)^4*$G622+'Sensitivity &amp; Scenarios'!$C$11*'Sensitivity &amp; Scenarios'!$C$6*((1+$E622)^4-(1+$E622)^3))/(1+$C622)^('Sensitivity &amp; Scenarios'!$C$18+3)+('Sensitivity &amp; Scenarios'!$C$6*(1+$E622)^5*$G622+'Sensitivity &amp; Scenarios'!$C$11*'Sensitivity &amp; Scenarios'!$C$6*((1+$E622)^5-(1+$E622)^4))/(1+$C622)^('Sensitivity &amp; Scenarios'!$C$18+4)</f>
        <v>23746.206570357615</v>
      </c>
      <c r="I622" s="209">
        <f>('Sensitivity &amp; Scenarios'!$C$6*(1+$E622)^5*$G622+'Sensitivity &amp; Scenarios'!$C$11*'Sensitivity &amp; Scenarios'!$C$6*((1+$E622)^5-(1+$E622)^4))*(1+$D622)/($C622-$D622)/(1+$C622)^('Sensitivity &amp; Scenarios'!$C$18+4)</f>
        <v>58385.780402401899</v>
      </c>
      <c r="J622" s="209">
        <f>($H622+$I622-'Sensitivity &amp; Scenarios'!$C$15+'Sensitivity &amp; Scenarios'!$C$16)/'Sensitivity &amp; Scenarios'!$C$17</f>
        <v>2015.3389869496293</v>
      </c>
    </row>
    <row r="623" spans="2:10" x14ac:dyDescent="0.3">
      <c r="B623" s="127">
        <v>593</v>
      </c>
      <c r="C623" s="206">
        <f>$D$7+-0.8832*$E$7</f>
        <v>0.12872025943997797</v>
      </c>
      <c r="D623" s="206">
        <f>MIN($D$8+0.788908*$E$8,'Debt &amp; Cost of Capital'!$C$38)</f>
        <v>5.9733448000000001E-2</v>
      </c>
      <c r="E623" s="207">
        <f>$D$9+-1.100661*$E$9</f>
        <v>0.13420126770254634</v>
      </c>
      <c r="F623" s="207">
        <f>$D$10+-0.238436*$E$10</f>
        <v>0.14213876799999992</v>
      </c>
      <c r="G623" s="208">
        <f>$F623*(1-'Sensitivity &amp; Scenarios'!$C$12)+'Sensitivity &amp; Scenarios'!$C$9*'Sensitivity &amp; Scenarios'!$C$12-'Sensitivity &amp; Scenarios'!$C$10</f>
        <v>7.5557858182864646E-2</v>
      </c>
      <c r="H623" s="209">
        <f>('Sensitivity &amp; Scenarios'!$C$6*(1+$E623)^1*$G623+'Sensitivity &amp; Scenarios'!$C$11*'Sensitivity &amp; Scenarios'!$C$6*((1+$E623)^1-(1+$E623)^0))*'Sensitivity &amp; Scenarios'!$C$18/(1+$C623)^'Sensitivity &amp; Scenarios'!$C$18+('Sensitivity &amp; Scenarios'!$C$6*(1+$E623)^2*$G623+'Sensitivity &amp; Scenarios'!$C$11*'Sensitivity &amp; Scenarios'!$C$6*((1+$E623)^2-(1+$E623)^1))/(1+$C623)^('Sensitivity &amp; Scenarios'!$C$18+1)+('Sensitivity &amp; Scenarios'!$C$6*(1+$E623)^3*$G623+'Sensitivity &amp; Scenarios'!$C$11*'Sensitivity &amp; Scenarios'!$C$6*((1+$E623)^3-(1+$E623)^2))/(1+$C623)^('Sensitivity &amp; Scenarios'!$C$18+2)+('Sensitivity &amp; Scenarios'!$C$6*(1+$E623)^4*$G623+'Sensitivity &amp; Scenarios'!$C$11*'Sensitivity &amp; Scenarios'!$C$6*((1+$E623)^4-(1+$E623)^3))/(1+$C623)^('Sensitivity &amp; Scenarios'!$C$18+3)+('Sensitivity &amp; Scenarios'!$C$6*(1+$E623)^5*$G623+'Sensitivity &amp; Scenarios'!$C$11*'Sensitivity &amp; Scenarios'!$C$6*((1+$E623)^5-(1+$E623)^4))/(1+$C623)^('Sensitivity &amp; Scenarios'!$C$18+4)</f>
        <v>20592.021090207149</v>
      </c>
      <c r="I623" s="209">
        <f>('Sensitivity &amp; Scenarios'!$C$6*(1+$E623)^5*$G623+'Sensitivity &amp; Scenarios'!$C$11*'Sensitivity &amp; Scenarios'!$C$6*((1+$E623)^5-(1+$E623)^4))*(1+$D623)/($C623-$D623)/(1+$C623)^('Sensitivity &amp; Scenarios'!$C$18+4)</f>
        <v>68888.025815323417</v>
      </c>
      <c r="J623" s="209">
        <f>($H623+$I623-'Sensitivity &amp; Scenarios'!$C$15+'Sensitivity &amp; Scenarios'!$C$16)/'Sensitivity &amp; Scenarios'!$C$17</f>
        <v>2170.0066569294654</v>
      </c>
    </row>
    <row r="624" spans="2:10" x14ac:dyDescent="0.3">
      <c r="B624" s="127">
        <v>594</v>
      </c>
      <c r="C624" s="206">
        <f>$D$7+-0.114778*$E$7</f>
        <v>0.13640447943997799</v>
      </c>
      <c r="D624" s="206">
        <f>MIN($D$8+1.592912*$E$8,'Debt &amp; Cost of Capital'!$C$38)</f>
        <v>6.4557472000000005E-2</v>
      </c>
      <c r="E624" s="207">
        <f>$D$9+-0.354697*$E$9</f>
        <v>0.15658018770254634</v>
      </c>
      <c r="F624" s="207">
        <f>$D$10+-2.43925*$E$10</f>
        <v>0.11572899999999992</v>
      </c>
      <c r="G624" s="208">
        <f>$F624*(1-'Sensitivity &amp; Scenarios'!$C$12)+'Sensitivity &amp; Scenarios'!$C$9*'Sensitivity &amp; Scenarios'!$C$12-'Sensitivity &amp; Scenarios'!$C$10</f>
        <v>5.5795428788464649E-2</v>
      </c>
      <c r="H624" s="209">
        <f>('Sensitivity &amp; Scenarios'!$C$6*(1+$E624)^1*$G624+'Sensitivity &amp; Scenarios'!$C$11*'Sensitivity &amp; Scenarios'!$C$6*((1+$E624)^1-(1+$E624)^0))*'Sensitivity &amp; Scenarios'!$C$18/(1+$C624)^'Sensitivity &amp; Scenarios'!$C$18+('Sensitivity &amp; Scenarios'!$C$6*(1+$E624)^2*$G624+'Sensitivity &amp; Scenarios'!$C$11*'Sensitivity &amp; Scenarios'!$C$6*((1+$E624)^2-(1+$E624)^1))/(1+$C624)^('Sensitivity &amp; Scenarios'!$C$18+1)+('Sensitivity &amp; Scenarios'!$C$6*(1+$E624)^3*$G624+'Sensitivity &amp; Scenarios'!$C$11*'Sensitivity &amp; Scenarios'!$C$6*((1+$E624)^3-(1+$E624)^2))/(1+$C624)^('Sensitivity &amp; Scenarios'!$C$18+2)+('Sensitivity &amp; Scenarios'!$C$6*(1+$E624)^4*$G624+'Sensitivity &amp; Scenarios'!$C$11*'Sensitivity &amp; Scenarios'!$C$6*((1+$E624)^4-(1+$E624)^3))/(1+$C624)^('Sensitivity &amp; Scenarios'!$C$18+3)+('Sensitivity &amp; Scenarios'!$C$6*(1+$E624)^5*$G624+'Sensitivity &amp; Scenarios'!$C$11*'Sensitivity &amp; Scenarios'!$C$6*((1+$E624)^5-(1+$E624)^4))/(1+$C624)^('Sensitivity &amp; Scenarios'!$C$18+4)</f>
        <v>17156.467965086478</v>
      </c>
      <c r="I624" s="209">
        <f>('Sensitivity &amp; Scenarios'!$C$6*(1+$E624)^5*$G624+'Sensitivity &amp; Scenarios'!$C$11*'Sensitivity &amp; Scenarios'!$C$6*((1+$E624)^5-(1+$E624)^4))*(1+$D624)/($C624-$D624)/(1+$C624)^('Sensitivity &amp; Scenarios'!$C$18+4)</f>
        <v>56661.733829229262</v>
      </c>
      <c r="J624" s="209">
        <f>($H624+$I624-'Sensitivity &amp; Scenarios'!$C$15+'Sensitivity &amp; Scenarios'!$C$16)/'Sensitivity &amp; Scenarios'!$C$17</f>
        <v>1840.3439822779844</v>
      </c>
    </row>
    <row r="625" spans="2:10" x14ac:dyDescent="0.3">
      <c r="B625" s="127">
        <v>595</v>
      </c>
      <c r="C625" s="206">
        <f>$D$7+0.504445*$E$7</f>
        <v>0.14259670943997799</v>
      </c>
      <c r="D625" s="206">
        <f>MIN($D$8+-0.699022*$E$8,'Debt &amp; Cost of Capital'!$C$38)</f>
        <v>5.0805867999999997E-2</v>
      </c>
      <c r="E625" s="207">
        <f>$D$9+0.042631*$E$9</f>
        <v>0.16850002770254635</v>
      </c>
      <c r="F625" s="207">
        <f>$D$10+-0.086705*$E$10</f>
        <v>0.14395953999999991</v>
      </c>
      <c r="G625" s="208">
        <f>$F625*(1-'Sensitivity &amp; Scenarios'!$C$12)+'Sensitivity &amp; Scenarios'!$C$9*'Sensitivity &amp; Scenarios'!$C$12-'Sensitivity &amp; Scenarios'!$C$10</f>
        <v>7.6920341870464648E-2</v>
      </c>
      <c r="H625" s="209">
        <f>('Sensitivity &amp; Scenarios'!$C$6*(1+$E625)^1*$G625+'Sensitivity &amp; Scenarios'!$C$11*'Sensitivity &amp; Scenarios'!$C$6*((1+$E625)^1-(1+$E625)^0))*'Sensitivity &amp; Scenarios'!$C$18/(1+$C625)^'Sensitivity &amp; Scenarios'!$C$18+('Sensitivity &amp; Scenarios'!$C$6*(1+$E625)^2*$G625+'Sensitivity &amp; Scenarios'!$C$11*'Sensitivity &amp; Scenarios'!$C$6*((1+$E625)^2-(1+$E625)^1))/(1+$C625)^('Sensitivity &amp; Scenarios'!$C$18+1)+('Sensitivity &amp; Scenarios'!$C$6*(1+$E625)^3*$G625+'Sensitivity &amp; Scenarios'!$C$11*'Sensitivity &amp; Scenarios'!$C$6*((1+$E625)^3-(1+$E625)^2))/(1+$C625)^('Sensitivity &amp; Scenarios'!$C$18+2)+('Sensitivity &amp; Scenarios'!$C$6*(1+$E625)^4*$G625+'Sensitivity &amp; Scenarios'!$C$11*'Sensitivity &amp; Scenarios'!$C$6*((1+$E625)^4-(1+$E625)^3))/(1+$C625)^('Sensitivity &amp; Scenarios'!$C$18+3)+('Sensitivity &amp; Scenarios'!$C$6*(1+$E625)^5*$G625+'Sensitivity &amp; Scenarios'!$C$11*'Sensitivity &amp; Scenarios'!$C$6*((1+$E625)^5-(1+$E625)^4))/(1+$C625)^('Sensitivity &amp; Scenarios'!$C$18+4)</f>
        <v>22914.206317144482</v>
      </c>
      <c r="I625" s="209">
        <f>('Sensitivity &amp; Scenarios'!$C$6*(1+$E625)^5*$G625+'Sensitivity &amp; Scenarios'!$C$11*'Sensitivity &amp; Scenarios'!$C$6*((1+$E625)^5-(1+$E625)^4))*(1+$D625)/($C625-$D625)/(1+$C625)^('Sensitivity &amp; Scenarios'!$C$18+4)</f>
        <v>58980.403844420282</v>
      </c>
      <c r="J625" s="209">
        <f>($H625+$I625-'Sensitivity &amp; Scenarios'!$C$15+'Sensitivity &amp; Scenarios'!$C$16)/'Sensitivity &amp; Scenarios'!$C$17</f>
        <v>2010.3424955450073</v>
      </c>
    </row>
    <row r="626" spans="2:10" x14ac:dyDescent="0.3">
      <c r="B626" s="127">
        <v>596</v>
      </c>
      <c r="C626" s="206">
        <f>$D$7+-0.273704*$E$7</f>
        <v>0.13481521943997798</v>
      </c>
      <c r="D626" s="206">
        <f>MIN($D$8+0.790341*$E$8,'Debt &amp; Cost of Capital'!$C$38)</f>
        <v>5.9742046E-2</v>
      </c>
      <c r="E626" s="207">
        <f>$D$9+-1.532865*$E$9</f>
        <v>0.12123514770254634</v>
      </c>
      <c r="F626" s="207">
        <f>$D$10+-0.517014*$E$10</f>
        <v>0.1387958319999999</v>
      </c>
      <c r="G626" s="208">
        <f>$F626*(1-'Sensitivity &amp; Scenarios'!$C$12)+'Sensitivity &amp; Scenarios'!$C$9*'Sensitivity &amp; Scenarios'!$C$12-'Sensitivity &amp; Scenarios'!$C$10</f>
        <v>7.3056339174064636E-2</v>
      </c>
      <c r="H626" s="209">
        <f>('Sensitivity &amp; Scenarios'!$C$6*(1+$E626)^1*$G626+'Sensitivity &amp; Scenarios'!$C$11*'Sensitivity &amp; Scenarios'!$C$6*((1+$E626)^1-(1+$E626)^0))*'Sensitivity &amp; Scenarios'!$C$18/(1+$C626)^'Sensitivity &amp; Scenarios'!$C$18+('Sensitivity &amp; Scenarios'!$C$6*(1+$E626)^2*$G626+'Sensitivity &amp; Scenarios'!$C$11*'Sensitivity &amp; Scenarios'!$C$6*((1+$E626)^2-(1+$E626)^1))/(1+$C626)^('Sensitivity &amp; Scenarios'!$C$18+1)+('Sensitivity &amp; Scenarios'!$C$6*(1+$E626)^3*$G626+'Sensitivity &amp; Scenarios'!$C$11*'Sensitivity &amp; Scenarios'!$C$6*((1+$E626)^3-(1+$E626)^2))/(1+$C626)^('Sensitivity &amp; Scenarios'!$C$18+2)+('Sensitivity &amp; Scenarios'!$C$6*(1+$E626)^4*$G626+'Sensitivity &amp; Scenarios'!$C$11*'Sensitivity &amp; Scenarios'!$C$6*((1+$E626)^4-(1+$E626)^3))/(1+$C626)^('Sensitivity &amp; Scenarios'!$C$18+3)+('Sensitivity &amp; Scenarios'!$C$6*(1+$E626)^5*$G626+'Sensitivity &amp; Scenarios'!$C$11*'Sensitivity &amp; Scenarios'!$C$6*((1+$E626)^5-(1+$E626)^4))/(1+$C626)^('Sensitivity &amp; Scenarios'!$C$18+4)</f>
        <v>18763.268828652665</v>
      </c>
      <c r="I626" s="209">
        <f>('Sensitivity &amp; Scenarios'!$C$6*(1+$E626)^5*$G626+'Sensitivity &amp; Scenarios'!$C$11*'Sensitivity &amp; Scenarios'!$C$6*((1+$E626)^5-(1+$E626)^4))*(1+$D626)/($C626-$D626)/(1+$C626)^('Sensitivity &amp; Scenarios'!$C$18+4)</f>
        <v>55909.768501644525</v>
      </c>
      <c r="J626" s="209">
        <f>($H626+$I626-'Sensitivity &amp; Scenarios'!$C$15+'Sensitivity &amp; Scenarios'!$C$16)/'Sensitivity &amp; Scenarios'!$C$17</f>
        <v>1858.3372242732703</v>
      </c>
    </row>
    <row r="627" spans="2:10" x14ac:dyDescent="0.3">
      <c r="B627" s="127">
        <v>597</v>
      </c>
      <c r="C627" s="206">
        <f>$D$7+0.684038*$E$7</f>
        <v>0.14439263943997799</v>
      </c>
      <c r="D627" s="206">
        <f>MIN($D$8+-0.614085*$E$8,'Debt &amp; Cost of Capital'!$C$38)</f>
        <v>5.1315489999999998E-2</v>
      </c>
      <c r="E627" s="207">
        <f>$D$9+-1.608807*$E$9</f>
        <v>0.11895688770254634</v>
      </c>
      <c r="F627" s="207">
        <f>$D$10+0.668555*$E$10</f>
        <v>0.15302265999999992</v>
      </c>
      <c r="G627" s="208">
        <f>$F627*(1-'Sensitivity &amp; Scenarios'!$C$12)+'Sensitivity &amp; Scenarios'!$C$9*'Sensitivity &amp; Scenarios'!$C$12-'Sensitivity &amp; Scenarios'!$C$10</f>
        <v>8.3702274566464646E-2</v>
      </c>
      <c r="H627" s="209">
        <f>('Sensitivity &amp; Scenarios'!$C$6*(1+$E627)^1*$G627+'Sensitivity &amp; Scenarios'!$C$11*'Sensitivity &amp; Scenarios'!$C$6*((1+$E627)^1-(1+$E627)^0))*'Sensitivity &amp; Scenarios'!$C$18/(1+$C627)^'Sensitivity &amp; Scenarios'!$C$18+('Sensitivity &amp; Scenarios'!$C$6*(1+$E627)^2*$G627+'Sensitivity &amp; Scenarios'!$C$11*'Sensitivity &amp; Scenarios'!$C$6*((1+$E627)^2-(1+$E627)^1))/(1+$C627)^('Sensitivity &amp; Scenarios'!$C$18+1)+('Sensitivity &amp; Scenarios'!$C$6*(1+$E627)^3*$G627+'Sensitivity &amp; Scenarios'!$C$11*'Sensitivity &amp; Scenarios'!$C$6*((1+$E627)^3-(1+$E627)^2))/(1+$C627)^('Sensitivity &amp; Scenarios'!$C$18+2)+('Sensitivity &amp; Scenarios'!$C$6*(1+$E627)^4*$G627+'Sensitivity &amp; Scenarios'!$C$11*'Sensitivity &amp; Scenarios'!$C$6*((1+$E627)^4-(1+$E627)^3))/(1+$C627)^('Sensitivity &amp; Scenarios'!$C$18+3)+('Sensitivity &amp; Scenarios'!$C$6*(1+$E627)^5*$G627+'Sensitivity &amp; Scenarios'!$C$11*'Sensitivity &amp; Scenarios'!$C$6*((1+$E627)^5-(1+$E627)^4))/(1+$C627)^('Sensitivity &amp; Scenarios'!$C$18+4)</f>
        <v>20456.907860635674</v>
      </c>
      <c r="I627" s="209">
        <f>('Sensitivity &amp; Scenarios'!$C$6*(1+$E627)^5*$G627+'Sensitivity &amp; Scenarios'!$C$11*'Sensitivity &amp; Scenarios'!$C$6*((1+$E627)^5-(1+$E627)^4))*(1+$D627)/($C627-$D627)/(1+$C627)^('Sensitivity &amp; Scenarios'!$C$18+4)</f>
        <v>47830.341214625529</v>
      </c>
      <c r="J627" s="209">
        <f>($H627+$I627-'Sensitivity &amp; Scenarios'!$C$15+'Sensitivity &amp; Scenarios'!$C$16)/'Sensitivity &amp; Scenarios'!$C$17</f>
        <v>1723.9241956061846</v>
      </c>
    </row>
    <row r="628" spans="2:10" x14ac:dyDescent="0.3">
      <c r="B628" s="127">
        <v>598</v>
      </c>
      <c r="C628" s="206">
        <f>$D$7+1.123095*$E$7</f>
        <v>0.14878320943997797</v>
      </c>
      <c r="D628" s="206">
        <f>MIN($D$8+-0.044995*$E$8,'Debt &amp; Cost of Capital'!$C$38)</f>
        <v>5.4730029999999999E-2</v>
      </c>
      <c r="E628" s="207">
        <f>$D$9+-1.960846*$E$9</f>
        <v>0.10839571770254633</v>
      </c>
      <c r="F628" s="207">
        <f>$D$10+0.70597*$E$10</f>
        <v>0.15347163999999991</v>
      </c>
      <c r="G628" s="208">
        <f>$F628*(1-'Sensitivity &amp; Scenarios'!$C$12)+'Sensitivity &amp; Scenarios'!$C$9*'Sensitivity &amp; Scenarios'!$C$12-'Sensitivity &amp; Scenarios'!$C$10</f>
        <v>8.4038246300464636E-2</v>
      </c>
      <c r="H628" s="209">
        <f>('Sensitivity &amp; Scenarios'!$C$6*(1+$E628)^1*$G628+'Sensitivity &amp; Scenarios'!$C$11*'Sensitivity &amp; Scenarios'!$C$6*((1+$E628)^1-(1+$E628)^0))*'Sensitivity &amp; Scenarios'!$C$18/(1+$C628)^'Sensitivity &amp; Scenarios'!$C$18+('Sensitivity &amp; Scenarios'!$C$6*(1+$E628)^2*$G628+'Sensitivity &amp; Scenarios'!$C$11*'Sensitivity &amp; Scenarios'!$C$6*((1+$E628)^2-(1+$E628)^1))/(1+$C628)^('Sensitivity &amp; Scenarios'!$C$18+1)+('Sensitivity &amp; Scenarios'!$C$6*(1+$E628)^3*$G628+'Sensitivity &amp; Scenarios'!$C$11*'Sensitivity &amp; Scenarios'!$C$6*((1+$E628)^3-(1+$E628)^2))/(1+$C628)^('Sensitivity &amp; Scenarios'!$C$18+2)+('Sensitivity &amp; Scenarios'!$C$6*(1+$E628)^4*$G628+'Sensitivity &amp; Scenarios'!$C$11*'Sensitivity &amp; Scenarios'!$C$6*((1+$E628)^4-(1+$E628)^3))/(1+$C628)^('Sensitivity &amp; Scenarios'!$C$18+3)+('Sensitivity &amp; Scenarios'!$C$6*(1+$E628)^5*$G628+'Sensitivity &amp; Scenarios'!$C$11*'Sensitivity &amp; Scenarios'!$C$6*((1+$E628)^5-(1+$E628)^4))/(1+$C628)^('Sensitivity &amp; Scenarios'!$C$18+4)</f>
        <v>19532.265028655311</v>
      </c>
      <c r="I628" s="209">
        <f>('Sensitivity &amp; Scenarios'!$C$6*(1+$E628)^5*$G628+'Sensitivity &amp; Scenarios'!$C$11*'Sensitivity &amp; Scenarios'!$C$6*((1+$E628)^5-(1+$E628)^4))*(1+$D628)/($C628-$D628)/(1+$C628)^('Sensitivity &amp; Scenarios'!$C$18+4)</f>
        <v>44212.057529955062</v>
      </c>
      <c r="J628" s="209">
        <f>($H628+$I628-'Sensitivity &amp; Scenarios'!$C$15+'Sensitivity &amp; Scenarios'!$C$16)/'Sensitivity &amp; Scenarios'!$C$17</f>
        <v>1628.3011514763552</v>
      </c>
    </row>
    <row r="629" spans="2:10" x14ac:dyDescent="0.3">
      <c r="B629" s="127">
        <v>599</v>
      </c>
      <c r="C629" s="206">
        <f>$D$7+-1.659888*$E$7</f>
        <v>0.12095337943997798</v>
      </c>
      <c r="D629" s="206">
        <f>MIN($D$8+0.308799*$E$8,'Debt &amp; Cost of Capital'!$C$38)</f>
        <v>5.6852793999999998E-2</v>
      </c>
      <c r="E629" s="207">
        <f>$D$9+-0.887464*$E$9</f>
        <v>0.14059717770254634</v>
      </c>
      <c r="F629" s="207">
        <f>$D$10+-1.159839*$E$10</f>
        <v>0.1310819319999999</v>
      </c>
      <c r="G629" s="208">
        <f>$F629*(1-'Sensitivity &amp; Scenarios'!$C$12)+'Sensitivity &amp; Scenarios'!$C$9*'Sensitivity &amp; Scenarios'!$C$12-'Sensitivity &amp; Scenarios'!$C$10</f>
        <v>6.7284027804064631E-2</v>
      </c>
      <c r="H629" s="209">
        <f>('Sensitivity &amp; Scenarios'!$C$6*(1+$E629)^1*$G629+'Sensitivity &amp; Scenarios'!$C$11*'Sensitivity &amp; Scenarios'!$C$6*((1+$E629)^1-(1+$E629)^0))*'Sensitivity &amp; Scenarios'!$C$18/(1+$C629)^'Sensitivity &amp; Scenarios'!$C$18+('Sensitivity &amp; Scenarios'!$C$6*(1+$E629)^2*$G629+'Sensitivity &amp; Scenarios'!$C$11*'Sensitivity &amp; Scenarios'!$C$6*((1+$E629)^2-(1+$E629)^1))/(1+$C629)^('Sensitivity &amp; Scenarios'!$C$18+1)+('Sensitivity &amp; Scenarios'!$C$6*(1+$E629)^3*$G629+'Sensitivity &amp; Scenarios'!$C$11*'Sensitivity &amp; Scenarios'!$C$6*((1+$E629)^3-(1+$E629)^2))/(1+$C629)^('Sensitivity &amp; Scenarios'!$C$18+2)+('Sensitivity &amp; Scenarios'!$C$6*(1+$E629)^4*$G629+'Sensitivity &amp; Scenarios'!$C$11*'Sensitivity &amp; Scenarios'!$C$6*((1+$E629)^4-(1+$E629)^3))/(1+$C629)^('Sensitivity &amp; Scenarios'!$C$18+3)+('Sensitivity &amp; Scenarios'!$C$6*(1+$E629)^5*$G629+'Sensitivity &amp; Scenarios'!$C$11*'Sensitivity &amp; Scenarios'!$C$6*((1+$E629)^5-(1+$E629)^4))/(1+$C629)^('Sensitivity &amp; Scenarios'!$C$18+4)</f>
        <v>19508.960610201226</v>
      </c>
      <c r="I629" s="209">
        <f>('Sensitivity &amp; Scenarios'!$C$6*(1+$E629)^5*$G629+'Sensitivity &amp; Scenarios'!$C$11*'Sensitivity &amp; Scenarios'!$C$6*((1+$E629)^5-(1+$E629)^4))*(1+$D629)/($C629-$D629)/(1+$C629)^('Sensitivity &amp; Scenarios'!$C$18+4)</f>
        <v>71665.59273313389</v>
      </c>
      <c r="J629" s="209">
        <f>($H629+$I629-'Sensitivity &amp; Scenarios'!$C$15+'Sensitivity &amp; Scenarios'!$C$16)/'Sensitivity &amp; Scenarios'!$C$17</f>
        <v>2205.6739439275216</v>
      </c>
    </row>
    <row r="630" spans="2:10" x14ac:dyDescent="0.3">
      <c r="B630" s="127">
        <v>600</v>
      </c>
      <c r="C630" s="206">
        <f>$D$7+-0.44191*$E$7</f>
        <v>0.13313315943997797</v>
      </c>
      <c r="D630" s="206">
        <f>MIN($D$8+-0.183298*$E$8,'Debt &amp; Cost of Capital'!$C$38)</f>
        <v>5.3900212000000003E-2</v>
      </c>
      <c r="E630" s="207">
        <f>$D$9+-0.644208*$E$9</f>
        <v>0.14789485770254635</v>
      </c>
      <c r="F630" s="207">
        <f>$D$10+0.588703*$E$10</f>
        <v>0.15206443599999991</v>
      </c>
      <c r="G630" s="208">
        <f>$F630*(1-'Sensitivity &amp; Scenarios'!$C$12)+'Sensitivity &amp; Scenarios'!$C$9*'Sensitivity &amp; Scenarios'!$C$12-'Sensitivity &amp; Scenarios'!$C$10</f>
        <v>8.2985235547264641E-2</v>
      </c>
      <c r="H630" s="209">
        <f>('Sensitivity &amp; Scenarios'!$C$6*(1+$E630)^1*$G630+'Sensitivity &amp; Scenarios'!$C$11*'Sensitivity &amp; Scenarios'!$C$6*((1+$E630)^1-(1+$E630)^0))*'Sensitivity &amp; Scenarios'!$C$18/(1+$C630)^'Sensitivity &amp; Scenarios'!$C$18+('Sensitivity &amp; Scenarios'!$C$6*(1+$E630)^2*$G630+'Sensitivity &amp; Scenarios'!$C$11*'Sensitivity &amp; Scenarios'!$C$6*((1+$E630)^2-(1+$E630)^1))/(1+$C630)^('Sensitivity &amp; Scenarios'!$C$18+1)+('Sensitivity &amp; Scenarios'!$C$6*(1+$E630)^3*$G630+'Sensitivity &amp; Scenarios'!$C$11*'Sensitivity &amp; Scenarios'!$C$6*((1+$E630)^3-(1+$E630)^2))/(1+$C630)^('Sensitivity &amp; Scenarios'!$C$18+2)+('Sensitivity &amp; Scenarios'!$C$6*(1+$E630)^4*$G630+'Sensitivity &amp; Scenarios'!$C$11*'Sensitivity &amp; Scenarios'!$C$6*((1+$E630)^4-(1+$E630)^3))/(1+$C630)^('Sensitivity &amp; Scenarios'!$C$18+3)+('Sensitivity &amp; Scenarios'!$C$6*(1+$E630)^5*$G630+'Sensitivity &amp; Scenarios'!$C$11*'Sensitivity &amp; Scenarios'!$C$6*((1+$E630)^5-(1+$E630)^4))/(1+$C630)^('Sensitivity &amp; Scenarios'!$C$18+4)</f>
        <v>23209.271986435429</v>
      </c>
      <c r="I630" s="209">
        <f>('Sensitivity &amp; Scenarios'!$C$6*(1+$E630)^5*$G630+'Sensitivity &amp; Scenarios'!$C$11*'Sensitivity &amp; Scenarios'!$C$6*((1+$E630)^5-(1+$E630)^4))*(1+$D630)/($C630-$D630)/(1+$C630)^('Sensitivity &amp; Scenarios'!$C$18+4)</f>
        <v>68232.276944898113</v>
      </c>
      <c r="J630" s="209">
        <f>($H630+$I630-'Sensitivity &amp; Scenarios'!$C$15+'Sensitivity &amp; Scenarios'!$C$16)/'Sensitivity &amp; Scenarios'!$C$17</f>
        <v>2211.2938743402337</v>
      </c>
    </row>
    <row r="631" spans="2:10" x14ac:dyDescent="0.3">
      <c r="B631" s="127">
        <v>601</v>
      </c>
      <c r="C631" s="206">
        <f>$D$7+-0.446069*$E$7</f>
        <v>0.13309156943997799</v>
      </c>
      <c r="D631" s="206">
        <f>MIN($D$8+0.980191*$E$8,'Debt &amp; Cost of Capital'!$C$38)</f>
        <v>6.0881145999999997E-2</v>
      </c>
      <c r="E631" s="207">
        <f>$D$9+0.281173*$E$9</f>
        <v>0.17565628770254635</v>
      </c>
      <c r="F631" s="207">
        <f>$D$10+-0.697557*$E$10</f>
        <v>0.13662931599999992</v>
      </c>
      <c r="G631" s="208">
        <f>$F631*(1-'Sensitivity &amp; Scenarios'!$C$12)+'Sensitivity &amp; Scenarios'!$C$9*'Sensitivity &amp; Scenarios'!$C$12-'Sensitivity &amp; Scenarios'!$C$10</f>
        <v>7.1435135251264645E-2</v>
      </c>
      <c r="H631" s="209">
        <f>('Sensitivity &amp; Scenarios'!$C$6*(1+$E631)^1*$G631+'Sensitivity &amp; Scenarios'!$C$11*'Sensitivity &amp; Scenarios'!$C$6*((1+$E631)^1-(1+$E631)^0))*'Sensitivity &amp; Scenarios'!$C$18/(1+$C631)^'Sensitivity &amp; Scenarios'!$C$18+('Sensitivity &amp; Scenarios'!$C$6*(1+$E631)^2*$G631+'Sensitivity &amp; Scenarios'!$C$11*'Sensitivity &amp; Scenarios'!$C$6*((1+$E631)^2-(1+$E631)^1))/(1+$C631)^('Sensitivity &amp; Scenarios'!$C$18+1)+('Sensitivity &amp; Scenarios'!$C$6*(1+$E631)^3*$G631+'Sensitivity &amp; Scenarios'!$C$11*'Sensitivity &amp; Scenarios'!$C$6*((1+$E631)^3-(1+$E631)^2))/(1+$C631)^('Sensitivity &amp; Scenarios'!$C$18+2)+('Sensitivity &amp; Scenarios'!$C$6*(1+$E631)^4*$G631+'Sensitivity &amp; Scenarios'!$C$11*'Sensitivity &amp; Scenarios'!$C$6*((1+$E631)^4-(1+$E631)^3))/(1+$C631)^('Sensitivity &amp; Scenarios'!$C$18+3)+('Sensitivity &amp; Scenarios'!$C$6*(1+$E631)^5*$G631+'Sensitivity &amp; Scenarios'!$C$11*'Sensitivity &amp; Scenarios'!$C$6*((1+$E631)^5-(1+$E631)^4))/(1+$C631)^('Sensitivity &amp; Scenarios'!$C$18+4)</f>
        <v>22663.160009995678</v>
      </c>
      <c r="I631" s="209">
        <f>('Sensitivity &amp; Scenarios'!$C$6*(1+$E631)^5*$G631+'Sensitivity &amp; Scenarios'!$C$11*'Sensitivity &amp; Scenarios'!$C$6*((1+$E631)^5-(1+$E631)^4))*(1+$D631)/($C631-$D631)/(1+$C631)^('Sensitivity &amp; Scenarios'!$C$18+4)</f>
        <v>76823.427174064287</v>
      </c>
      <c r="J631" s="209">
        <f>($H631+$I631-'Sensitivity &amp; Scenarios'!$C$15+'Sensitivity &amp; Scenarios'!$C$16)/'Sensitivity &amp; Scenarios'!$C$17</f>
        <v>2380.6320850832435</v>
      </c>
    </row>
    <row r="632" spans="2:10" x14ac:dyDescent="0.3">
      <c r="B632" s="127">
        <v>602</v>
      </c>
      <c r="C632" s="206">
        <f>$D$7+-0.86594*$E$7</f>
        <v>0.12889285943997797</v>
      </c>
      <c r="D632" s="206">
        <f>MIN($D$8+-1.647496*$E$8,'Debt &amp; Cost of Capital'!$C$38)</f>
        <v>4.5115024000000004E-2</v>
      </c>
      <c r="E632" s="207">
        <f>$D$9+0.290733*$E$9</f>
        <v>0.17594308770254635</v>
      </c>
      <c r="F632" s="207">
        <f>$D$10+-0.354588*$E$10</f>
        <v>0.1407449439999999</v>
      </c>
      <c r="G632" s="208">
        <f>$F632*(1-'Sensitivity &amp; Scenarios'!$C$12)+'Sensitivity &amp; Scenarios'!$C$9*'Sensitivity &amp; Scenarios'!$C$12-'Sensitivity &amp; Scenarios'!$C$10</f>
        <v>7.4514859683664628E-2</v>
      </c>
      <c r="H632" s="209">
        <f>('Sensitivity &amp; Scenarios'!$C$6*(1+$E632)^1*$G632+'Sensitivity &amp; Scenarios'!$C$11*'Sensitivity &amp; Scenarios'!$C$6*((1+$E632)^1-(1+$E632)^0))*'Sensitivity &amp; Scenarios'!$C$18/(1+$C632)^'Sensitivity &amp; Scenarios'!$C$18+('Sensitivity &amp; Scenarios'!$C$6*(1+$E632)^2*$G632+'Sensitivity &amp; Scenarios'!$C$11*'Sensitivity &amp; Scenarios'!$C$6*((1+$E632)^2-(1+$E632)^1))/(1+$C632)^('Sensitivity &amp; Scenarios'!$C$18+1)+('Sensitivity &amp; Scenarios'!$C$6*(1+$E632)^3*$G632+'Sensitivity &amp; Scenarios'!$C$11*'Sensitivity &amp; Scenarios'!$C$6*((1+$E632)^3-(1+$E632)^2))/(1+$C632)^('Sensitivity &amp; Scenarios'!$C$18+2)+('Sensitivity &amp; Scenarios'!$C$6*(1+$E632)^4*$G632+'Sensitivity &amp; Scenarios'!$C$11*'Sensitivity &amp; Scenarios'!$C$6*((1+$E632)^4-(1+$E632)^3))/(1+$C632)^('Sensitivity &amp; Scenarios'!$C$18+3)+('Sensitivity &amp; Scenarios'!$C$6*(1+$E632)^5*$G632+'Sensitivity &amp; Scenarios'!$C$11*'Sensitivity &amp; Scenarios'!$C$6*((1+$E632)^5-(1+$E632)^4))/(1+$C632)^('Sensitivity &amp; Scenarios'!$C$18+4)</f>
        <v>23732.640552571258</v>
      </c>
      <c r="I632" s="209">
        <f>('Sensitivity &amp; Scenarios'!$C$6*(1+$E632)^5*$G632+'Sensitivity &amp; Scenarios'!$C$11*'Sensitivity &amp; Scenarios'!$C$6*((1+$E632)^5-(1+$E632)^4))*(1+$D632)/($C632-$D632)/(1+$C632)^('Sensitivity &amp; Scenarios'!$C$18+4)</f>
        <v>68790.839892306787</v>
      </c>
      <c r="J632" s="209">
        <f>($H632+$I632-'Sensitivity &amp; Scenarios'!$C$15+'Sensitivity &amp; Scenarios'!$C$16)/'Sensitivity &amp; Scenarios'!$C$17</f>
        <v>2234.0672087725488</v>
      </c>
    </row>
    <row r="633" spans="2:10" x14ac:dyDescent="0.3">
      <c r="B633" s="127">
        <v>603</v>
      </c>
      <c r="C633" s="206">
        <f>$D$7+-2.372196*$E$7</f>
        <v>0.11383029943997798</v>
      </c>
      <c r="D633" s="206">
        <f>MIN($D$8+-0.535715*$E$8,'Debt &amp; Cost of Capital'!$C$38)</f>
        <v>5.1785709999999999E-2</v>
      </c>
      <c r="E633" s="207">
        <f>$D$9+-0.901034*$E$9</f>
        <v>0.14019007770254635</v>
      </c>
      <c r="F633" s="207">
        <f>$D$10+1.575678*$E$10</f>
        <v>0.1639081359999999</v>
      </c>
      <c r="G633" s="208">
        <f>$F633*(1-'Sensitivity &amp; Scenarios'!$C$12)+'Sensitivity &amp; Scenarios'!$C$9*'Sensitivity &amp; Scenarios'!$C$12-'Sensitivity &amp; Scenarios'!$C$10</f>
        <v>9.1847876257264649E-2</v>
      </c>
      <c r="H633" s="209">
        <f>('Sensitivity &amp; Scenarios'!$C$6*(1+$E633)^1*$G633+'Sensitivity &amp; Scenarios'!$C$11*'Sensitivity &amp; Scenarios'!$C$6*((1+$E633)^1-(1+$E633)^0))*'Sensitivity &amp; Scenarios'!$C$18/(1+$C633)^'Sensitivity &amp; Scenarios'!$C$18+('Sensitivity &amp; Scenarios'!$C$6*(1+$E633)^2*$G633+'Sensitivity &amp; Scenarios'!$C$11*'Sensitivity &amp; Scenarios'!$C$6*((1+$E633)^2-(1+$E633)^1))/(1+$C633)^('Sensitivity &amp; Scenarios'!$C$18+1)+('Sensitivity &amp; Scenarios'!$C$6*(1+$E633)^3*$G633+'Sensitivity &amp; Scenarios'!$C$11*'Sensitivity &amp; Scenarios'!$C$6*((1+$E633)^3-(1+$E633)^2))/(1+$C633)^('Sensitivity &amp; Scenarios'!$C$18+2)+('Sensitivity &amp; Scenarios'!$C$6*(1+$E633)^4*$G633+'Sensitivity &amp; Scenarios'!$C$11*'Sensitivity &amp; Scenarios'!$C$6*((1+$E633)^4-(1+$E633)^3))/(1+$C633)^('Sensitivity &amp; Scenarios'!$C$18+3)+('Sensitivity &amp; Scenarios'!$C$6*(1+$E633)^5*$G633+'Sensitivity &amp; Scenarios'!$C$11*'Sensitivity &amp; Scenarios'!$C$6*((1+$E633)^5-(1+$E633)^4))/(1+$C633)^('Sensitivity &amp; Scenarios'!$C$18+4)</f>
        <v>25861.465320424253</v>
      </c>
      <c r="I633" s="209">
        <f>('Sensitivity &amp; Scenarios'!$C$6*(1+$E633)^5*$G633+'Sensitivity &amp; Scenarios'!$C$11*'Sensitivity &amp; Scenarios'!$C$6*((1+$E633)^5-(1+$E633)^4))*(1+$D633)/($C633-$D633)/(1+$C633)^('Sensitivity &amp; Scenarios'!$C$18+4)</f>
        <v>98745.361581804245</v>
      </c>
      <c r="J633" s="209">
        <f>($H633+$I633-'Sensitivity &amp; Scenarios'!$C$15+'Sensitivity &amp; Scenarios'!$C$16)/'Sensitivity &amp; Scenarios'!$C$17</f>
        <v>2909.3823922515844</v>
      </c>
    </row>
    <row r="634" spans="2:10" x14ac:dyDescent="0.3">
      <c r="B634" s="127">
        <v>604</v>
      </c>
      <c r="C634" s="206">
        <f>$D$7+-1.702779*$E$7</f>
        <v>0.12052446943997798</v>
      </c>
      <c r="D634" s="206">
        <f>MIN($D$8+-1.441351*$E$8,'Debt &amp; Cost of Capital'!$C$38)</f>
        <v>4.6351893999999998E-2</v>
      </c>
      <c r="E634" s="207">
        <f>$D$9+1.10997*$E$9</f>
        <v>0.20052019770254634</v>
      </c>
      <c r="F634" s="207">
        <f>$D$10+1.356763*$E$10</f>
        <v>0.1612811559999999</v>
      </c>
      <c r="G634" s="208">
        <f>$F634*(1-'Sensitivity &amp; Scenarios'!$C$12)+'Sensitivity &amp; Scenarios'!$C$9*'Sensitivity &amp; Scenarios'!$C$12-'Sensitivity &amp; Scenarios'!$C$10</f>
        <v>8.9882107123264623E-2</v>
      </c>
      <c r="H634" s="209">
        <f>('Sensitivity &amp; Scenarios'!$C$6*(1+$E634)^1*$G634+'Sensitivity &amp; Scenarios'!$C$11*'Sensitivity &amp; Scenarios'!$C$6*((1+$E634)^1-(1+$E634)^0))*'Sensitivity &amp; Scenarios'!$C$18/(1+$C634)^'Sensitivity &amp; Scenarios'!$C$18+('Sensitivity &amp; Scenarios'!$C$6*(1+$E634)^2*$G634+'Sensitivity &amp; Scenarios'!$C$11*'Sensitivity &amp; Scenarios'!$C$6*((1+$E634)^2-(1+$E634)^1))/(1+$C634)^('Sensitivity &amp; Scenarios'!$C$18+1)+('Sensitivity &amp; Scenarios'!$C$6*(1+$E634)^3*$G634+'Sensitivity &amp; Scenarios'!$C$11*'Sensitivity &amp; Scenarios'!$C$6*((1+$E634)^3-(1+$E634)^2))/(1+$C634)^('Sensitivity &amp; Scenarios'!$C$18+2)+('Sensitivity &amp; Scenarios'!$C$6*(1+$E634)^4*$G634+'Sensitivity &amp; Scenarios'!$C$11*'Sensitivity &amp; Scenarios'!$C$6*((1+$E634)^4-(1+$E634)^3))/(1+$C634)^('Sensitivity &amp; Scenarios'!$C$18+3)+('Sensitivity &amp; Scenarios'!$C$6*(1+$E634)^5*$G634+'Sensitivity &amp; Scenarios'!$C$11*'Sensitivity &amp; Scenarios'!$C$6*((1+$E634)^5-(1+$E634)^4))/(1+$C634)^('Sensitivity &amp; Scenarios'!$C$18+4)</f>
        <v>30866.533020557912</v>
      </c>
      <c r="I634" s="209">
        <f>('Sensitivity &amp; Scenarios'!$C$6*(1+$E634)^5*$G634+'Sensitivity &amp; Scenarios'!$C$11*'Sensitivity &amp; Scenarios'!$C$6*((1+$E634)^5-(1+$E634)^4))*(1+$D634)/($C634-$D634)/(1+$C634)^('Sensitivity &amp; Scenarios'!$C$18+4)</f>
        <v>106255.88044115856</v>
      </c>
      <c r="J634" s="209">
        <f>($H634+$I634-'Sensitivity &amp; Scenarios'!$C$15+'Sensitivity &amp; Scenarios'!$C$16)/'Sensitivity &amp; Scenarios'!$C$17</f>
        <v>3172.8201743733425</v>
      </c>
    </row>
    <row r="635" spans="2:10" x14ac:dyDescent="0.3">
      <c r="B635" s="127">
        <v>605</v>
      </c>
      <c r="C635" s="206">
        <f>$D$7+-0.744983*$E$7</f>
        <v>0.13010242943997799</v>
      </c>
      <c r="D635" s="206">
        <f>MIN($D$8+-0.632086*$E$8,'Debt &amp; Cost of Capital'!$C$38)</f>
        <v>5.1207483999999998E-2</v>
      </c>
      <c r="E635" s="207">
        <f>$D$9+0.616235*$E$9</f>
        <v>0.18570814770254634</v>
      </c>
      <c r="F635" s="207">
        <f>$D$10+-2.3271*$E$10</f>
        <v>0.1170747999999999</v>
      </c>
      <c r="G635" s="208">
        <f>$F635*(1-'Sensitivity &amp; Scenarios'!$C$12)+'Sensitivity &amp; Scenarios'!$C$9*'Sensitivity &amp; Scenarios'!$C$12-'Sensitivity &amp; Scenarios'!$C$10</f>
        <v>5.6802490928464622E-2</v>
      </c>
      <c r="H635" s="209">
        <f>('Sensitivity &amp; Scenarios'!$C$6*(1+$E635)^1*$G635+'Sensitivity &amp; Scenarios'!$C$11*'Sensitivity &amp; Scenarios'!$C$6*((1+$E635)^1-(1+$E635)^0))*'Sensitivity &amp; Scenarios'!$C$18/(1+$C635)^'Sensitivity &amp; Scenarios'!$C$18+('Sensitivity &amp; Scenarios'!$C$6*(1+$E635)^2*$G635+'Sensitivity &amp; Scenarios'!$C$11*'Sensitivity &amp; Scenarios'!$C$6*((1+$E635)^2-(1+$E635)^1))/(1+$C635)^('Sensitivity &amp; Scenarios'!$C$18+1)+('Sensitivity &amp; Scenarios'!$C$6*(1+$E635)^3*$G635+'Sensitivity &amp; Scenarios'!$C$11*'Sensitivity &amp; Scenarios'!$C$6*((1+$E635)^3-(1+$E635)^2))/(1+$C635)^('Sensitivity &amp; Scenarios'!$C$18+2)+('Sensitivity &amp; Scenarios'!$C$6*(1+$E635)^4*$G635+'Sensitivity &amp; Scenarios'!$C$11*'Sensitivity &amp; Scenarios'!$C$6*((1+$E635)^4-(1+$E635)^3))/(1+$C635)^('Sensitivity &amp; Scenarios'!$C$18+3)+('Sensitivity &amp; Scenarios'!$C$6*(1+$E635)^5*$G635+'Sensitivity &amp; Scenarios'!$C$11*'Sensitivity &amp; Scenarios'!$C$6*((1+$E635)^5-(1+$E635)^4))/(1+$C635)^('Sensitivity &amp; Scenarios'!$C$18+4)</f>
        <v>19776.254038279789</v>
      </c>
      <c r="I635" s="209">
        <f>('Sensitivity &amp; Scenarios'!$C$6*(1+$E635)^5*$G635+'Sensitivity &amp; Scenarios'!$C$11*'Sensitivity &amp; Scenarios'!$C$6*((1+$E635)^5-(1+$E635)^4))*(1+$D635)/($C635-$D635)/(1+$C635)^('Sensitivity &amp; Scenarios'!$C$18+4)</f>
        <v>62006.727677236435</v>
      </c>
      <c r="J635" s="209">
        <f>($H635+$I635-'Sensitivity &amp; Scenarios'!$C$15+'Sensitivity &amp; Scenarios'!$C$16)/'Sensitivity &amp; Scenarios'!$C$17</f>
        <v>2007.9928533521347</v>
      </c>
    </row>
    <row r="636" spans="2:10" x14ac:dyDescent="0.3">
      <c r="B636" s="127">
        <v>606</v>
      </c>
      <c r="C636" s="206">
        <f>$D$7+-1.861194*$E$7</f>
        <v>0.11894031943997799</v>
      </c>
      <c r="D636" s="206">
        <f>MIN($D$8+-0.280733*$E$8,'Debt &amp; Cost of Capital'!$C$38)</f>
        <v>5.3315602000000004E-2</v>
      </c>
      <c r="E636" s="207">
        <f>$D$9+1.549891*$E$9</f>
        <v>0.21371782770254633</v>
      </c>
      <c r="F636" s="207">
        <f>$D$10+-0.43573*$E$10</f>
        <v>0.13977123999999991</v>
      </c>
      <c r="G636" s="208">
        <f>$F636*(1-'Sensitivity &amp; Scenarios'!$C$12)+'Sensitivity &amp; Scenarios'!$C$9*'Sensitivity &amp; Scenarios'!$C$12-'Sensitivity &amp; Scenarios'!$C$10</f>
        <v>7.3786236980464631E-2</v>
      </c>
      <c r="H636" s="209">
        <f>('Sensitivity &amp; Scenarios'!$C$6*(1+$E636)^1*$G636+'Sensitivity &amp; Scenarios'!$C$11*'Sensitivity &amp; Scenarios'!$C$6*((1+$E636)^1-(1+$E636)^0))*'Sensitivity &amp; Scenarios'!$C$18/(1+$C636)^'Sensitivity &amp; Scenarios'!$C$18+('Sensitivity &amp; Scenarios'!$C$6*(1+$E636)^2*$G636+'Sensitivity &amp; Scenarios'!$C$11*'Sensitivity &amp; Scenarios'!$C$6*((1+$E636)^2-(1+$E636)^1))/(1+$C636)^('Sensitivity &amp; Scenarios'!$C$18+1)+('Sensitivity &amp; Scenarios'!$C$6*(1+$E636)^3*$G636+'Sensitivity &amp; Scenarios'!$C$11*'Sensitivity &amp; Scenarios'!$C$6*((1+$E636)^3-(1+$E636)^2))/(1+$C636)^('Sensitivity &amp; Scenarios'!$C$18+2)+('Sensitivity &amp; Scenarios'!$C$6*(1+$E636)^4*$G636+'Sensitivity &amp; Scenarios'!$C$11*'Sensitivity &amp; Scenarios'!$C$6*((1+$E636)^4-(1+$E636)^3))/(1+$C636)^('Sensitivity &amp; Scenarios'!$C$18+3)+('Sensitivity &amp; Scenarios'!$C$6*(1+$E636)^5*$G636+'Sensitivity &amp; Scenarios'!$C$11*'Sensitivity &amp; Scenarios'!$C$6*((1+$E636)^5-(1+$E636)^4))/(1+$C636)^('Sensitivity &amp; Scenarios'!$C$18+4)</f>
        <v>27649.512790156725</v>
      </c>
      <c r="I636" s="209">
        <f>('Sensitivity &amp; Scenarios'!$C$6*(1+$E636)^5*$G636+'Sensitivity &amp; Scenarios'!$C$11*'Sensitivity &amp; Scenarios'!$C$6*((1+$E636)^5-(1+$E636)^4))*(1+$D636)/($C636-$D636)/(1+$C636)^('Sensitivity &amp; Scenarios'!$C$18+4)</f>
        <v>110600.70969381242</v>
      </c>
      <c r="J636" s="209">
        <f>($H636+$I636-'Sensitivity &amp; Scenarios'!$C$15+'Sensitivity &amp; Scenarios'!$C$16)/'Sensitivity &amp; Scenarios'!$C$17</f>
        <v>3196.5591742250049</v>
      </c>
    </row>
    <row r="637" spans="2:10" x14ac:dyDescent="0.3">
      <c r="B637" s="127">
        <v>607</v>
      </c>
      <c r="C637" s="206">
        <f>$D$7+0.100937*$E$7</f>
        <v>0.13856162943997799</v>
      </c>
      <c r="D637" s="206">
        <f>MIN($D$8+1.133789*$E$8,'Debt &amp; Cost of Capital'!$C$38)</f>
        <v>6.1802733999999998E-2</v>
      </c>
      <c r="E637" s="207">
        <f>$D$9+2.106885*$E$9</f>
        <v>0.23042764770254634</v>
      </c>
      <c r="F637" s="207">
        <f>$D$10+-0.576848*$E$10</f>
        <v>0.1380778239999999</v>
      </c>
      <c r="G637" s="208">
        <f>$F637*(1-'Sensitivity &amp; Scenarios'!$C$12)+'Sensitivity &amp; Scenarios'!$C$9*'Sensitivity &amp; Scenarios'!$C$12-'Sensitivity &amp; Scenarios'!$C$10</f>
        <v>7.2519053787664628E-2</v>
      </c>
      <c r="H637" s="209">
        <f>('Sensitivity &amp; Scenarios'!$C$6*(1+$E637)^1*$G637+'Sensitivity &amp; Scenarios'!$C$11*'Sensitivity &amp; Scenarios'!$C$6*((1+$E637)^1-(1+$E637)^0))*'Sensitivity &amp; Scenarios'!$C$18/(1+$C637)^'Sensitivity &amp; Scenarios'!$C$18+('Sensitivity &amp; Scenarios'!$C$6*(1+$E637)^2*$G637+'Sensitivity &amp; Scenarios'!$C$11*'Sensitivity &amp; Scenarios'!$C$6*((1+$E637)^2-(1+$E637)^1))/(1+$C637)^('Sensitivity &amp; Scenarios'!$C$18+1)+('Sensitivity &amp; Scenarios'!$C$6*(1+$E637)^3*$G637+'Sensitivity &amp; Scenarios'!$C$11*'Sensitivity &amp; Scenarios'!$C$6*((1+$E637)^3-(1+$E637)^2))/(1+$C637)^('Sensitivity &amp; Scenarios'!$C$18+2)+('Sensitivity &amp; Scenarios'!$C$6*(1+$E637)^4*$G637+'Sensitivity &amp; Scenarios'!$C$11*'Sensitivity &amp; Scenarios'!$C$6*((1+$E637)^4-(1+$E637)^3))/(1+$C637)^('Sensitivity &amp; Scenarios'!$C$18+3)+('Sensitivity &amp; Scenarios'!$C$6*(1+$E637)^5*$G637+'Sensitivity &amp; Scenarios'!$C$11*'Sensitivity &amp; Scenarios'!$C$6*((1+$E637)^5-(1+$E637)^4))/(1+$C637)^('Sensitivity &amp; Scenarios'!$C$18+4)</f>
        <v>27477.013231508216</v>
      </c>
      <c r="I637" s="209">
        <f>('Sensitivity &amp; Scenarios'!$C$6*(1+$E637)^5*$G637+'Sensitivity &amp; Scenarios'!$C$11*'Sensitivity &amp; Scenarios'!$C$6*((1+$E637)^5-(1+$E637)^4))*(1+$D637)/($C637-$D637)/(1+$C637)^('Sensitivity &amp; Scenarios'!$C$18+4)</f>
        <v>94129.910312339998</v>
      </c>
      <c r="J637" s="209">
        <f>($H637+$I637-'Sensitivity &amp; Scenarios'!$C$15+'Sensitivity &amp; Scenarios'!$C$16)/'Sensitivity &amp; Scenarios'!$C$17</f>
        <v>2846.2380974512575</v>
      </c>
    </row>
    <row r="638" spans="2:10" x14ac:dyDescent="0.3">
      <c r="B638" s="127">
        <v>608</v>
      </c>
      <c r="C638" s="206">
        <f>$D$7+-0.016837*$E$7</f>
        <v>0.13738388943997798</v>
      </c>
      <c r="D638" s="206">
        <f>MIN($D$8+1.822055*$E$8,'Debt &amp; Cost of Capital'!$C$38)</f>
        <v>6.5932329999999997E-2</v>
      </c>
      <c r="E638" s="207">
        <f>$D$9+-1.522199*$E$9</f>
        <v>0.12155512770254634</v>
      </c>
      <c r="F638" s="207">
        <f>$D$10+1.027581*$E$10</f>
        <v>0.1573309719999999</v>
      </c>
      <c r="G638" s="208">
        <f>$F638*(1-'Sensitivity &amp; Scenarios'!$C$12)+'Sensitivity &amp; Scenarios'!$C$9*'Sensitivity &amp; Scenarios'!$C$12-'Sensitivity &amp; Scenarios'!$C$10</f>
        <v>8.6926184436064632E-2</v>
      </c>
      <c r="H638" s="209">
        <f>('Sensitivity &amp; Scenarios'!$C$6*(1+$E638)^1*$G638+'Sensitivity &amp; Scenarios'!$C$11*'Sensitivity &amp; Scenarios'!$C$6*((1+$E638)^1-(1+$E638)^0))*'Sensitivity &amp; Scenarios'!$C$18/(1+$C638)^'Sensitivity &amp; Scenarios'!$C$18+('Sensitivity &amp; Scenarios'!$C$6*(1+$E638)^2*$G638+'Sensitivity &amp; Scenarios'!$C$11*'Sensitivity &amp; Scenarios'!$C$6*((1+$E638)^2-(1+$E638)^1))/(1+$C638)^('Sensitivity &amp; Scenarios'!$C$18+1)+('Sensitivity &amp; Scenarios'!$C$6*(1+$E638)^3*$G638+'Sensitivity &amp; Scenarios'!$C$11*'Sensitivity &amp; Scenarios'!$C$6*((1+$E638)^3-(1+$E638)^2))/(1+$C638)^('Sensitivity &amp; Scenarios'!$C$18+2)+('Sensitivity &amp; Scenarios'!$C$6*(1+$E638)^4*$G638+'Sensitivity &amp; Scenarios'!$C$11*'Sensitivity &amp; Scenarios'!$C$6*((1+$E638)^4-(1+$E638)^3))/(1+$C638)^('Sensitivity &amp; Scenarios'!$C$18+3)+('Sensitivity &amp; Scenarios'!$C$6*(1+$E638)^5*$G638+'Sensitivity &amp; Scenarios'!$C$11*'Sensitivity &amp; Scenarios'!$C$6*((1+$E638)^5-(1+$E638)^4))/(1+$C638)^('Sensitivity &amp; Scenarios'!$C$18+4)</f>
        <v>21716.154811553053</v>
      </c>
      <c r="I638" s="209">
        <f>('Sensitivity &amp; Scenarios'!$C$6*(1+$E638)^5*$G638+'Sensitivity &amp; Scenarios'!$C$11*'Sensitivity &amp; Scenarios'!$C$6*((1+$E638)^5-(1+$E638)^4))*(1+$D638)/($C638-$D638)/(1+$C638)^('Sensitivity &amp; Scenarios'!$C$18+4)</f>
        <v>68134.0680328936</v>
      </c>
      <c r="J638" s="209">
        <f>($H638+$I638-'Sensitivity &amp; Scenarios'!$C$15+'Sensitivity &amp; Scenarios'!$C$16)/'Sensitivity &amp; Scenarios'!$C$17</f>
        <v>2177.7984074702317</v>
      </c>
    </row>
    <row r="639" spans="2:10" x14ac:dyDescent="0.3">
      <c r="B639" s="127">
        <v>609</v>
      </c>
      <c r="C639" s="206">
        <f>$D$7+-1.018316*$E$7</f>
        <v>0.12736909943997798</v>
      </c>
      <c r="D639" s="206">
        <f>MIN($D$8+0.102472*$E$8,'Debt &amp; Cost of Capital'!$C$38)</f>
        <v>5.5614832000000003E-2</v>
      </c>
      <c r="E639" s="207">
        <f>$D$9+-0.242619*$E$9</f>
        <v>0.15994252770254633</v>
      </c>
      <c r="F639" s="207">
        <f>$D$10+-0.958012*$E$10</f>
        <v>0.13350385599999992</v>
      </c>
      <c r="G639" s="208">
        <f>$F639*(1-'Sensitivity &amp; Scenarios'!$C$12)+'Sensitivity &amp; Scenarios'!$C$9*'Sensitivity &amp; Scenarios'!$C$12-'Sensitivity &amp; Scenarios'!$C$10</f>
        <v>6.909635353326464E-2</v>
      </c>
      <c r="H639" s="209">
        <f>('Sensitivity &amp; Scenarios'!$C$6*(1+$E639)^1*$G639+'Sensitivity &amp; Scenarios'!$C$11*'Sensitivity &amp; Scenarios'!$C$6*((1+$E639)^1-(1+$E639)^0))*'Sensitivity &amp; Scenarios'!$C$18/(1+$C639)^'Sensitivity &amp; Scenarios'!$C$18+('Sensitivity &amp; Scenarios'!$C$6*(1+$E639)^2*$G639+'Sensitivity &amp; Scenarios'!$C$11*'Sensitivity &amp; Scenarios'!$C$6*((1+$E639)^2-(1+$E639)^1))/(1+$C639)^('Sensitivity &amp; Scenarios'!$C$18+1)+('Sensitivity &amp; Scenarios'!$C$6*(1+$E639)^3*$G639+'Sensitivity &amp; Scenarios'!$C$11*'Sensitivity &amp; Scenarios'!$C$6*((1+$E639)^3-(1+$E639)^2))/(1+$C639)^('Sensitivity &amp; Scenarios'!$C$18+2)+('Sensitivity &amp; Scenarios'!$C$6*(1+$E639)^4*$G639+'Sensitivity &amp; Scenarios'!$C$11*'Sensitivity &amp; Scenarios'!$C$6*((1+$E639)^4-(1+$E639)^3))/(1+$C639)^('Sensitivity &amp; Scenarios'!$C$18+3)+('Sensitivity &amp; Scenarios'!$C$6*(1+$E639)^5*$G639+'Sensitivity &amp; Scenarios'!$C$11*'Sensitivity &amp; Scenarios'!$C$6*((1+$E639)^5-(1+$E639)^4))/(1+$C639)^('Sensitivity &amp; Scenarios'!$C$18+4)</f>
        <v>21114.684201307173</v>
      </c>
      <c r="I639" s="209">
        <f>('Sensitivity &amp; Scenarios'!$C$6*(1+$E639)^5*$G639+'Sensitivity &amp; Scenarios'!$C$11*'Sensitivity &amp; Scenarios'!$C$6*((1+$E639)^5-(1+$E639)^4))*(1+$D639)/($C639-$D639)/(1+$C639)^('Sensitivity &amp; Scenarios'!$C$18+4)</f>
        <v>70607.720026187337</v>
      </c>
      <c r="J639" s="209">
        <f>($H639+$I639-'Sensitivity &amp; Scenarios'!$C$15+'Sensitivity &amp; Scenarios'!$C$16)/'Sensitivity &amp; Scenarios'!$C$17</f>
        <v>2217.2055346500501</v>
      </c>
    </row>
    <row r="640" spans="2:10" x14ac:dyDescent="0.3">
      <c r="B640" s="127">
        <v>610</v>
      </c>
      <c r="C640" s="206">
        <f>$D$7+-0.983102*$E$7</f>
        <v>0.12772123943997798</v>
      </c>
      <c r="D640" s="206">
        <f>MIN($D$8+0.276414*$E$8,'Debt &amp; Cost of Capital'!$C$38)</f>
        <v>5.6658484000000002E-2</v>
      </c>
      <c r="E640" s="207">
        <f>$D$9+0.995539*$E$9</f>
        <v>0.19708726770254634</v>
      </c>
      <c r="F640" s="207">
        <f>$D$10+-0.129736*$E$10</f>
        <v>0.1434431679999999</v>
      </c>
      <c r="G640" s="208">
        <f>$F640*(1-'Sensitivity &amp; Scenarios'!$C$12)+'Sensitivity &amp; Scenarios'!$C$9*'Sensitivity &amp; Scenarios'!$C$12-'Sensitivity &amp; Scenarios'!$C$10</f>
        <v>7.6533940702864636E-2</v>
      </c>
      <c r="H640" s="209">
        <f>('Sensitivity &amp; Scenarios'!$C$6*(1+$E640)^1*$G640+'Sensitivity &amp; Scenarios'!$C$11*'Sensitivity &amp; Scenarios'!$C$6*((1+$E640)^1-(1+$E640)^0))*'Sensitivity &amp; Scenarios'!$C$18/(1+$C640)^'Sensitivity &amp; Scenarios'!$C$18+('Sensitivity &amp; Scenarios'!$C$6*(1+$E640)^2*$G640+'Sensitivity &amp; Scenarios'!$C$11*'Sensitivity &amp; Scenarios'!$C$6*((1+$E640)^2-(1+$E640)^1))/(1+$C640)^('Sensitivity &amp; Scenarios'!$C$18+1)+('Sensitivity &amp; Scenarios'!$C$6*(1+$E640)^3*$G640+'Sensitivity &amp; Scenarios'!$C$11*'Sensitivity &amp; Scenarios'!$C$6*((1+$E640)^3-(1+$E640)^2))/(1+$C640)^('Sensitivity &amp; Scenarios'!$C$18+2)+('Sensitivity &amp; Scenarios'!$C$6*(1+$E640)^4*$G640+'Sensitivity &amp; Scenarios'!$C$11*'Sensitivity &amp; Scenarios'!$C$6*((1+$E640)^4-(1+$E640)^3))/(1+$C640)^('Sensitivity &amp; Scenarios'!$C$18+3)+('Sensitivity &amp; Scenarios'!$C$6*(1+$E640)^5*$G640+'Sensitivity &amp; Scenarios'!$C$11*'Sensitivity &amp; Scenarios'!$C$6*((1+$E640)^5-(1+$E640)^4))/(1+$C640)^('Sensitivity &amp; Scenarios'!$C$18+4)</f>
        <v>26240.77422868897</v>
      </c>
      <c r="I640" s="209">
        <f>('Sensitivity &amp; Scenarios'!$C$6*(1+$E640)^5*$G640+'Sensitivity &amp; Scenarios'!$C$11*'Sensitivity &amp; Scenarios'!$C$6*((1+$E640)^5-(1+$E640)^4))*(1+$D640)/($C640-$D640)/(1+$C640)^('Sensitivity &amp; Scenarios'!$C$18+4)</f>
        <v>93703.7768960908</v>
      </c>
      <c r="J640" s="209">
        <f>($H640+$I640-'Sensitivity &amp; Scenarios'!$C$15+'Sensitivity &amp; Scenarios'!$C$16)/'Sensitivity &amp; Scenarios'!$C$17</f>
        <v>2811.247192226142</v>
      </c>
    </row>
    <row r="641" spans="2:10" x14ac:dyDescent="0.3">
      <c r="B641" s="127">
        <v>611</v>
      </c>
      <c r="C641" s="206">
        <f>$D$7+0.070113*$E$7</f>
        <v>0.13825338943997798</v>
      </c>
      <c r="D641" s="206">
        <f>MIN($D$8+0.571174*$E$8,'Debt &amp; Cost of Capital'!$C$38)</f>
        <v>5.8427043999999997E-2</v>
      </c>
      <c r="E641" s="207">
        <f>$D$9+-0.971619*$E$9</f>
        <v>0.13807252770254635</v>
      </c>
      <c r="F641" s="207">
        <f>$D$10+0.739693*$E$10</f>
        <v>0.1538763159999999</v>
      </c>
      <c r="G641" s="208">
        <f>$F641*(1-'Sensitivity &amp; Scenarios'!$C$12)+'Sensitivity &amp; Scenarios'!$C$9*'Sensitivity &amp; Scenarios'!$C$12-'Sensitivity &amp; Scenarios'!$C$10</f>
        <v>8.4341065351264635E-2</v>
      </c>
      <c r="H641" s="209">
        <f>('Sensitivity &amp; Scenarios'!$C$6*(1+$E641)^1*$G641+'Sensitivity &amp; Scenarios'!$C$11*'Sensitivity &amp; Scenarios'!$C$6*((1+$E641)^1-(1+$E641)^0))*'Sensitivity &amp; Scenarios'!$C$18/(1+$C641)^'Sensitivity &amp; Scenarios'!$C$18+('Sensitivity &amp; Scenarios'!$C$6*(1+$E641)^2*$G641+'Sensitivity &amp; Scenarios'!$C$11*'Sensitivity &amp; Scenarios'!$C$6*((1+$E641)^2-(1+$E641)^1))/(1+$C641)^('Sensitivity &amp; Scenarios'!$C$18+1)+('Sensitivity &amp; Scenarios'!$C$6*(1+$E641)^3*$G641+'Sensitivity &amp; Scenarios'!$C$11*'Sensitivity &amp; Scenarios'!$C$6*((1+$E641)^3-(1+$E641)^2))/(1+$C641)^('Sensitivity &amp; Scenarios'!$C$18+2)+('Sensitivity &amp; Scenarios'!$C$6*(1+$E641)^4*$G641+'Sensitivity &amp; Scenarios'!$C$11*'Sensitivity &amp; Scenarios'!$C$6*((1+$E641)^4-(1+$E641)^3))/(1+$C641)^('Sensitivity &amp; Scenarios'!$C$18+3)+('Sensitivity &amp; Scenarios'!$C$6*(1+$E641)^5*$G641+'Sensitivity &amp; Scenarios'!$C$11*'Sensitivity &amp; Scenarios'!$C$6*((1+$E641)^5-(1+$E641)^4))/(1+$C641)^('Sensitivity &amp; Scenarios'!$C$18+4)</f>
        <v>22423.282604845161</v>
      </c>
      <c r="I641" s="209">
        <f>('Sensitivity &amp; Scenarios'!$C$6*(1+$E641)^5*$G641+'Sensitivity &amp; Scenarios'!$C$11*'Sensitivity &amp; Scenarios'!$C$6*((1+$E641)^5-(1+$E641)^4))*(1+$D641)/($C641-$D641)/(1+$C641)^('Sensitivity &amp; Scenarios'!$C$18+4)</f>
        <v>64155.815701290638</v>
      </c>
      <c r="J641" s="209">
        <f>($H641+$I641-'Sensitivity &amp; Scenarios'!$C$15+'Sensitivity &amp; Scenarios'!$C$16)/'Sensitivity &amp; Scenarios'!$C$17</f>
        <v>2108.9452387177535</v>
      </c>
    </row>
    <row r="642" spans="2:10" x14ac:dyDescent="0.3">
      <c r="B642" s="127">
        <v>612</v>
      </c>
      <c r="C642" s="206">
        <f>$D$7+0.819343*$E$7</f>
        <v>0.14574568943997798</v>
      </c>
      <c r="D642" s="206">
        <f>MIN($D$8+2.603626*$E$8,'Debt &amp; Cost of Capital'!$C$38)</f>
        <v>6.7799999999999999E-2</v>
      </c>
      <c r="E642" s="207">
        <f>$D$9+-0.376104*$E$9</f>
        <v>0.15593797770254633</v>
      </c>
      <c r="F642" s="207">
        <f>$D$10+-0.458082*$E$10</f>
        <v>0.1395030159999999</v>
      </c>
      <c r="G642" s="208">
        <f>$F642*(1-'Sensitivity &amp; Scenarios'!$C$12)+'Sensitivity &amp; Scenarios'!$C$9*'Sensitivity &amp; Scenarios'!$C$12-'Sensitivity &amp; Scenarios'!$C$10</f>
        <v>7.3585524961264623E-2</v>
      </c>
      <c r="H642" s="209">
        <f>('Sensitivity &amp; Scenarios'!$C$6*(1+$E642)^1*$G642+'Sensitivity &amp; Scenarios'!$C$11*'Sensitivity &amp; Scenarios'!$C$6*((1+$E642)^1-(1+$E642)^0))*'Sensitivity &amp; Scenarios'!$C$18/(1+$C642)^'Sensitivity &amp; Scenarios'!$C$18+('Sensitivity &amp; Scenarios'!$C$6*(1+$E642)^2*$G642+'Sensitivity &amp; Scenarios'!$C$11*'Sensitivity &amp; Scenarios'!$C$6*((1+$E642)^2-(1+$E642)^1))/(1+$C642)^('Sensitivity &amp; Scenarios'!$C$18+1)+('Sensitivity &amp; Scenarios'!$C$6*(1+$E642)^3*$G642+'Sensitivity &amp; Scenarios'!$C$11*'Sensitivity &amp; Scenarios'!$C$6*((1+$E642)^3-(1+$E642)^2))/(1+$C642)^('Sensitivity &amp; Scenarios'!$C$18+2)+('Sensitivity &amp; Scenarios'!$C$6*(1+$E642)^4*$G642+'Sensitivity &amp; Scenarios'!$C$11*'Sensitivity &amp; Scenarios'!$C$6*((1+$E642)^4-(1+$E642)^3))/(1+$C642)^('Sensitivity &amp; Scenarios'!$C$18+3)+('Sensitivity &amp; Scenarios'!$C$6*(1+$E642)^5*$G642+'Sensitivity &amp; Scenarios'!$C$11*'Sensitivity &amp; Scenarios'!$C$6*((1+$E642)^5-(1+$E642)^4))/(1+$C642)^('Sensitivity &amp; Scenarios'!$C$18+4)</f>
        <v>20935.438767680564</v>
      </c>
      <c r="I642" s="209">
        <f>('Sensitivity &amp; Scenarios'!$C$6*(1+$E642)^5*$G642+'Sensitivity &amp; Scenarios'!$C$11*'Sensitivity &amp; Scenarios'!$C$6*((1+$E642)^5-(1+$E642)^4))*(1+$D642)/($C642-$D642)/(1+$C642)^('Sensitivity &amp; Scenarios'!$C$18+4)</f>
        <v>62918.915533865562</v>
      </c>
      <c r="J642" s="209">
        <f>($H642+$I642-'Sensitivity &amp; Scenarios'!$C$15+'Sensitivity &amp; Scenarios'!$C$16)/'Sensitivity &amp; Scenarios'!$C$17</f>
        <v>2051.5927116103044</v>
      </c>
    </row>
    <row r="643" spans="2:10" x14ac:dyDescent="0.3">
      <c r="B643" s="127">
        <v>613</v>
      </c>
      <c r="C643" s="206">
        <f>$D$7+0.768966*$E$7</f>
        <v>0.145241919439978</v>
      </c>
      <c r="D643" s="206">
        <f>MIN($D$8+0.819104*$E$8,'Debt &amp; Cost of Capital'!$C$38)</f>
        <v>5.9914624E-2</v>
      </c>
      <c r="E643" s="207">
        <f>$D$9+-0.535087*$E$9</f>
        <v>0.15116848770254634</v>
      </c>
      <c r="F643" s="207">
        <f>$D$10+-0.403163*$E$10</f>
        <v>0.1401620439999999</v>
      </c>
      <c r="G643" s="208">
        <f>$F643*(1-'Sensitivity &amp; Scenarios'!$C$12)+'Sensitivity &amp; Scenarios'!$C$9*'Sensitivity &amp; Scenarios'!$C$12-'Sensitivity &amp; Scenarios'!$C$10</f>
        <v>7.407867561366463E-2</v>
      </c>
      <c r="H643" s="209">
        <f>('Sensitivity &amp; Scenarios'!$C$6*(1+$E643)^1*$G643+'Sensitivity &amp; Scenarios'!$C$11*'Sensitivity &amp; Scenarios'!$C$6*((1+$E643)^1-(1+$E643)^0))*'Sensitivity &amp; Scenarios'!$C$18/(1+$C643)^'Sensitivity &amp; Scenarios'!$C$18+('Sensitivity &amp; Scenarios'!$C$6*(1+$E643)^2*$G643+'Sensitivity &amp; Scenarios'!$C$11*'Sensitivity &amp; Scenarios'!$C$6*((1+$E643)^2-(1+$E643)^1))/(1+$C643)^('Sensitivity &amp; Scenarios'!$C$18+1)+('Sensitivity &amp; Scenarios'!$C$6*(1+$E643)^3*$G643+'Sensitivity &amp; Scenarios'!$C$11*'Sensitivity &amp; Scenarios'!$C$6*((1+$E643)^3-(1+$E643)^2))/(1+$C643)^('Sensitivity &amp; Scenarios'!$C$18+2)+('Sensitivity &amp; Scenarios'!$C$6*(1+$E643)^4*$G643+'Sensitivity &amp; Scenarios'!$C$11*'Sensitivity &amp; Scenarios'!$C$6*((1+$E643)^4-(1+$E643)^3))/(1+$C643)^('Sensitivity &amp; Scenarios'!$C$18+3)+('Sensitivity &amp; Scenarios'!$C$6*(1+$E643)^5*$G643+'Sensitivity &amp; Scenarios'!$C$11*'Sensitivity &amp; Scenarios'!$C$6*((1+$E643)^5-(1+$E643)^4))/(1+$C643)^('Sensitivity &amp; Scenarios'!$C$18+4)</f>
        <v>20711.362583085349</v>
      </c>
      <c r="I643" s="209">
        <f>('Sensitivity &amp; Scenarios'!$C$6*(1+$E643)^5*$G643+'Sensitivity &amp; Scenarios'!$C$11*'Sensitivity &amp; Scenarios'!$C$6*((1+$E643)^5-(1+$E643)^4))*(1+$D643)/($C643-$D643)/(1+$C643)^('Sensitivity &amp; Scenarios'!$C$18+4)</f>
        <v>56060.680873444508</v>
      </c>
      <c r="J643" s="209">
        <f>($H643+$I643-'Sensitivity &amp; Scenarios'!$C$15+'Sensitivity &amp; Scenarios'!$C$16)/'Sensitivity &amp; Scenarios'!$C$17</f>
        <v>1902.5187347383571</v>
      </c>
    </row>
    <row r="644" spans="2:10" x14ac:dyDescent="0.3">
      <c r="B644" s="127">
        <v>614</v>
      </c>
      <c r="C644" s="206">
        <f>$D$7+0.541131*$E$7</f>
        <v>0.14296356943997798</v>
      </c>
      <c r="D644" s="206">
        <f>MIN($D$8+-0.827584*$E$8,'Debt &amp; Cost of Capital'!$C$38)</f>
        <v>5.0034495999999998E-2</v>
      </c>
      <c r="E644" s="207">
        <f>$D$9+-0.410534*$E$9</f>
        <v>0.15490507770254633</v>
      </c>
      <c r="F644" s="207">
        <f>$D$10+0.089593*$E$10</f>
        <v>0.14607511599999989</v>
      </c>
      <c r="G644" s="208">
        <f>$F644*(1-'Sensitivity &amp; Scenarios'!$C$12)+'Sensitivity &amp; Scenarios'!$C$9*'Sensitivity &amp; Scenarios'!$C$12-'Sensitivity &amp; Scenarios'!$C$10</f>
        <v>7.8503427391264632E-2</v>
      </c>
      <c r="H644" s="209">
        <f>('Sensitivity &amp; Scenarios'!$C$6*(1+$E644)^1*$G644+'Sensitivity &amp; Scenarios'!$C$11*'Sensitivity &amp; Scenarios'!$C$6*((1+$E644)^1-(1+$E644)^0))*'Sensitivity &amp; Scenarios'!$C$18/(1+$C644)^'Sensitivity &amp; Scenarios'!$C$18+('Sensitivity &amp; Scenarios'!$C$6*(1+$E644)^2*$G644+'Sensitivity &amp; Scenarios'!$C$11*'Sensitivity &amp; Scenarios'!$C$6*((1+$E644)^2-(1+$E644)^1))/(1+$C644)^('Sensitivity &amp; Scenarios'!$C$18+1)+('Sensitivity &amp; Scenarios'!$C$6*(1+$E644)^3*$G644+'Sensitivity &amp; Scenarios'!$C$11*'Sensitivity &amp; Scenarios'!$C$6*((1+$E644)^3-(1+$E644)^2))/(1+$C644)^('Sensitivity &amp; Scenarios'!$C$18+2)+('Sensitivity &amp; Scenarios'!$C$6*(1+$E644)^4*$G644+'Sensitivity &amp; Scenarios'!$C$11*'Sensitivity &amp; Scenarios'!$C$6*((1+$E644)^4-(1+$E644)^3))/(1+$C644)^('Sensitivity &amp; Scenarios'!$C$18+3)+('Sensitivity &amp; Scenarios'!$C$6*(1+$E644)^5*$G644+'Sensitivity &amp; Scenarios'!$C$11*'Sensitivity &amp; Scenarios'!$C$6*((1+$E644)^5-(1+$E644)^4))/(1+$C644)^('Sensitivity &amp; Scenarios'!$C$18+4)</f>
        <v>22167.91587163668</v>
      </c>
      <c r="I644" s="209">
        <f>('Sensitivity &amp; Scenarios'!$C$6*(1+$E644)^5*$G644+'Sensitivity &amp; Scenarios'!$C$11*'Sensitivity &amp; Scenarios'!$C$6*((1+$E644)^5-(1+$E644)^4))*(1+$D644)/($C644-$D644)/(1+$C644)^('Sensitivity &amp; Scenarios'!$C$18+4)</f>
        <v>55105.621759033631</v>
      </c>
      <c r="J644" s="209">
        <f>($H644+$I644-'Sensitivity &amp; Scenarios'!$C$15+'Sensitivity &amp; Scenarios'!$C$16)/'Sensitivity &amp; Scenarios'!$C$17</f>
        <v>1913.0745734403306</v>
      </c>
    </row>
    <row r="645" spans="2:10" x14ac:dyDescent="0.3">
      <c r="B645" s="127">
        <v>615</v>
      </c>
      <c r="C645" s="206">
        <f>$D$7+0.995939*$E$7</f>
        <v>0.14751164943997799</v>
      </c>
      <c r="D645" s="206">
        <f>MIN($D$8+-0.604599*$E$8,'Debt &amp; Cost of Capital'!$C$38)</f>
        <v>5.1372406000000002E-2</v>
      </c>
      <c r="E645" s="207">
        <f>$D$9+-1.842384*$E$9</f>
        <v>0.11194957770254635</v>
      </c>
      <c r="F645" s="207">
        <f>$D$10+-1.916597*$E$10</f>
        <v>0.1220008359999999</v>
      </c>
      <c r="G645" s="208">
        <f>$F645*(1-'Sensitivity &amp; Scenarios'!$C$12)+'Sensitivity &amp; Scenarios'!$C$9*'Sensitivity &amp; Scenarios'!$C$12-'Sensitivity &amp; Scenarios'!$C$10</f>
        <v>6.0488643667264641E-2</v>
      </c>
      <c r="H645" s="209">
        <f>('Sensitivity &amp; Scenarios'!$C$6*(1+$E645)^1*$G645+'Sensitivity &amp; Scenarios'!$C$11*'Sensitivity &amp; Scenarios'!$C$6*((1+$E645)^1-(1+$E645)^0))*'Sensitivity &amp; Scenarios'!$C$18/(1+$C645)^'Sensitivity &amp; Scenarios'!$C$18+('Sensitivity &amp; Scenarios'!$C$6*(1+$E645)^2*$G645+'Sensitivity &amp; Scenarios'!$C$11*'Sensitivity &amp; Scenarios'!$C$6*((1+$E645)^2-(1+$E645)^1))/(1+$C645)^('Sensitivity &amp; Scenarios'!$C$18+1)+('Sensitivity &amp; Scenarios'!$C$6*(1+$E645)^3*$G645+'Sensitivity &amp; Scenarios'!$C$11*'Sensitivity &amp; Scenarios'!$C$6*((1+$E645)^3-(1+$E645)^2))/(1+$C645)^('Sensitivity &amp; Scenarios'!$C$18+2)+('Sensitivity &amp; Scenarios'!$C$6*(1+$E645)^4*$G645+'Sensitivity &amp; Scenarios'!$C$11*'Sensitivity &amp; Scenarios'!$C$6*((1+$E645)^4-(1+$E645)^3))/(1+$C645)^('Sensitivity &amp; Scenarios'!$C$18+3)+('Sensitivity &amp; Scenarios'!$C$6*(1+$E645)^5*$G645+'Sensitivity &amp; Scenarios'!$C$11*'Sensitivity &amp; Scenarios'!$C$6*((1+$E645)^5-(1+$E645)^4))/(1+$C645)^('Sensitivity &amp; Scenarios'!$C$18+4)</f>
        <v>14937.344568867356</v>
      </c>
      <c r="I645" s="209">
        <f>('Sensitivity &amp; Scenarios'!$C$6*(1+$E645)^5*$G645+'Sensitivity &amp; Scenarios'!$C$11*'Sensitivity &amp; Scenarios'!$C$6*((1+$E645)^5-(1+$E645)^4))*(1+$D645)/($C645-$D645)/(1+$C645)^('Sensitivity &amp; Scenarios'!$C$18+4)</f>
        <v>33243.748119352829</v>
      </c>
      <c r="J645" s="209">
        <f>($H645+$I645-'Sensitivity &amp; Scenarios'!$C$15+'Sensitivity &amp; Scenarios'!$C$16)/'Sensitivity &amp; Scenarios'!$C$17</f>
        <v>1300.7142069716606</v>
      </c>
    </row>
    <row r="646" spans="2:10" x14ac:dyDescent="0.3">
      <c r="B646" s="127">
        <v>616</v>
      </c>
      <c r="C646" s="206">
        <f>$D$7+-1.259413*$E$7</f>
        <v>0.12495812943997799</v>
      </c>
      <c r="D646" s="206">
        <f>MIN($D$8+-1.313168*$E$8,'Debt &amp; Cost of Capital'!$C$38)</f>
        <v>4.7120992E-2</v>
      </c>
      <c r="E646" s="207">
        <f>$D$9+-0.154611*$E$9</f>
        <v>0.16258276770254634</v>
      </c>
      <c r="F646" s="207">
        <f>$D$10+-1.18888*$E$10</f>
        <v>0.1307334399999999</v>
      </c>
      <c r="G646" s="208">
        <f>$F646*(1-'Sensitivity &amp; Scenarios'!$C$12)+'Sensitivity &amp; Scenarios'!$C$9*'Sensitivity &amp; Scenarios'!$C$12-'Sensitivity &amp; Scenarios'!$C$10</f>
        <v>6.7023251240464626E-2</v>
      </c>
      <c r="H646" s="209">
        <f>('Sensitivity &amp; Scenarios'!$C$6*(1+$E646)^1*$G646+'Sensitivity &amp; Scenarios'!$C$11*'Sensitivity &amp; Scenarios'!$C$6*((1+$E646)^1-(1+$E646)^0))*'Sensitivity &amp; Scenarios'!$C$18/(1+$C646)^'Sensitivity &amp; Scenarios'!$C$18+('Sensitivity &amp; Scenarios'!$C$6*(1+$E646)^2*$G646+'Sensitivity &amp; Scenarios'!$C$11*'Sensitivity &amp; Scenarios'!$C$6*((1+$E646)^2-(1+$E646)^1))/(1+$C646)^('Sensitivity &amp; Scenarios'!$C$18+1)+('Sensitivity &amp; Scenarios'!$C$6*(1+$E646)^3*$G646+'Sensitivity &amp; Scenarios'!$C$11*'Sensitivity &amp; Scenarios'!$C$6*((1+$E646)^3-(1+$E646)^2))/(1+$C646)^('Sensitivity &amp; Scenarios'!$C$18+2)+('Sensitivity &amp; Scenarios'!$C$6*(1+$E646)^4*$G646+'Sensitivity &amp; Scenarios'!$C$11*'Sensitivity &amp; Scenarios'!$C$6*((1+$E646)^4-(1+$E646)^3))/(1+$C646)^('Sensitivity &amp; Scenarios'!$C$18+3)+('Sensitivity &amp; Scenarios'!$C$6*(1+$E646)^5*$G646+'Sensitivity &amp; Scenarios'!$C$11*'Sensitivity &amp; Scenarios'!$C$6*((1+$E646)^5-(1+$E646)^4))/(1+$C646)^('Sensitivity &amp; Scenarios'!$C$18+4)</f>
        <v>20927.792351905286</v>
      </c>
      <c r="I646" s="209">
        <f>('Sensitivity &amp; Scenarios'!$C$6*(1+$E646)^5*$G646+'Sensitivity &amp; Scenarios'!$C$11*'Sensitivity &amp; Scenarios'!$C$6*((1+$E646)^5-(1+$E646)^4))*(1+$D646)/($C646-$D646)/(1+$C646)^('Sensitivity &amp; Scenarios'!$C$18+4)</f>
        <v>64501.105494018877</v>
      </c>
      <c r="J646" s="209">
        <f>($H646+$I646-'Sensitivity &amp; Scenarios'!$C$15+'Sensitivity &amp; Scenarios'!$C$16)/'Sensitivity &amp; Scenarios'!$C$17</f>
        <v>2084.7349264967997</v>
      </c>
    </row>
    <row r="647" spans="2:10" x14ac:dyDescent="0.3">
      <c r="B647" s="127">
        <v>617</v>
      </c>
      <c r="C647" s="206">
        <f>$D$7+-0.702755*$E$7</f>
        <v>0.13052470943997799</v>
      </c>
      <c r="D647" s="206">
        <f>MIN($D$8+-0.774086*$E$8,'Debt &amp; Cost of Capital'!$C$38)</f>
        <v>5.0355483999999999E-2</v>
      </c>
      <c r="E647" s="207">
        <f>$D$9+-0.440508*$E$9</f>
        <v>0.15400585770254635</v>
      </c>
      <c r="F647" s="207">
        <f>$D$10+1.322504*$E$10</f>
        <v>0.1608700479999999</v>
      </c>
      <c r="G647" s="208">
        <f>$F647*(1-'Sensitivity &amp; Scenarios'!$C$12)+'Sensitivity &amp; Scenarios'!$C$9*'Sensitivity &amp; Scenarios'!$C$12-'Sensitivity &amp; Scenarios'!$C$10</f>
        <v>8.9574475006864634E-2</v>
      </c>
      <c r="H647" s="209">
        <f>('Sensitivity &amp; Scenarios'!$C$6*(1+$E647)^1*$G647+'Sensitivity &amp; Scenarios'!$C$11*'Sensitivity &amp; Scenarios'!$C$6*((1+$E647)^1-(1+$E647)^0))*'Sensitivity &amp; Scenarios'!$C$18/(1+$C647)^'Sensitivity &amp; Scenarios'!$C$18+('Sensitivity &amp; Scenarios'!$C$6*(1+$E647)^2*$G647+'Sensitivity &amp; Scenarios'!$C$11*'Sensitivity &amp; Scenarios'!$C$6*((1+$E647)^2-(1+$E647)^1))/(1+$C647)^('Sensitivity &amp; Scenarios'!$C$18+1)+('Sensitivity &amp; Scenarios'!$C$6*(1+$E647)^3*$G647+'Sensitivity &amp; Scenarios'!$C$11*'Sensitivity &amp; Scenarios'!$C$6*((1+$E647)^3-(1+$E647)^2))/(1+$C647)^('Sensitivity &amp; Scenarios'!$C$18+2)+('Sensitivity &amp; Scenarios'!$C$6*(1+$E647)^4*$G647+'Sensitivity &amp; Scenarios'!$C$11*'Sensitivity &amp; Scenarios'!$C$6*((1+$E647)^4-(1+$E647)^3))/(1+$C647)^('Sensitivity &amp; Scenarios'!$C$18+3)+('Sensitivity &amp; Scenarios'!$C$6*(1+$E647)^5*$G647+'Sensitivity &amp; Scenarios'!$C$11*'Sensitivity &amp; Scenarios'!$C$6*((1+$E647)^5-(1+$E647)^4))/(1+$C647)^('Sensitivity &amp; Scenarios'!$C$18+4)</f>
        <v>25495.067394089012</v>
      </c>
      <c r="I647" s="209">
        <f>('Sensitivity &amp; Scenarios'!$C$6*(1+$E647)^5*$G647+'Sensitivity &amp; Scenarios'!$C$11*'Sensitivity &amp; Scenarios'!$C$6*((1+$E647)^5-(1+$E647)^4))*(1+$D647)/($C647-$D647)/(1+$C647)^('Sensitivity &amp; Scenarios'!$C$18+4)</f>
        <v>74852.871608961534</v>
      </c>
      <c r="J647" s="209">
        <f>($H647+$I647-'Sensitivity &amp; Scenarios'!$C$15+'Sensitivity &amp; Scenarios'!$C$16)/'Sensitivity &amp; Scenarios'!$C$17</f>
        <v>2398.7624868620878</v>
      </c>
    </row>
    <row r="648" spans="2:10" x14ac:dyDescent="0.3">
      <c r="B648" s="127">
        <v>618</v>
      </c>
      <c r="C648" s="206">
        <f>$D$7+0.661948*$E$7</f>
        <v>0.14417173943997799</v>
      </c>
      <c r="D648" s="206">
        <f>MIN($D$8+0.016129*$E$8,'Debt &amp; Cost of Capital'!$C$38)</f>
        <v>5.5096774000000001E-2</v>
      </c>
      <c r="E648" s="207">
        <f>$D$9+-0.461026*$E$9</f>
        <v>0.15339031770254635</v>
      </c>
      <c r="F648" s="207">
        <f>$D$10+-0.433233*$E$10</f>
        <v>0.1398012039999999</v>
      </c>
      <c r="G648" s="208">
        <f>$F648*(1-'Sensitivity &amp; Scenarios'!$C$12)+'Sensitivity &amp; Scenarios'!$C$9*'Sensitivity &amp; Scenarios'!$C$12-'Sensitivity &amp; Scenarios'!$C$10</f>
        <v>7.3808659041664629E-2</v>
      </c>
      <c r="H648" s="209">
        <f>('Sensitivity &amp; Scenarios'!$C$6*(1+$E648)^1*$G648+'Sensitivity &amp; Scenarios'!$C$11*'Sensitivity &amp; Scenarios'!$C$6*((1+$E648)^1-(1+$E648)^0))*'Sensitivity &amp; Scenarios'!$C$18/(1+$C648)^'Sensitivity &amp; Scenarios'!$C$18+('Sensitivity &amp; Scenarios'!$C$6*(1+$E648)^2*$G648+'Sensitivity &amp; Scenarios'!$C$11*'Sensitivity &amp; Scenarios'!$C$6*((1+$E648)^2-(1+$E648)^1))/(1+$C648)^('Sensitivity &amp; Scenarios'!$C$18+1)+('Sensitivity &amp; Scenarios'!$C$6*(1+$E648)^3*$G648+'Sensitivity &amp; Scenarios'!$C$11*'Sensitivity &amp; Scenarios'!$C$6*((1+$E648)^3-(1+$E648)^2))/(1+$C648)^('Sensitivity &amp; Scenarios'!$C$18+2)+('Sensitivity &amp; Scenarios'!$C$6*(1+$E648)^4*$G648+'Sensitivity &amp; Scenarios'!$C$11*'Sensitivity &amp; Scenarios'!$C$6*((1+$E648)^4-(1+$E648)^3))/(1+$C648)^('Sensitivity &amp; Scenarios'!$C$18+3)+('Sensitivity &amp; Scenarios'!$C$6*(1+$E648)^5*$G648+'Sensitivity &amp; Scenarios'!$C$11*'Sensitivity &amp; Scenarios'!$C$6*((1+$E648)^5-(1+$E648)^4))/(1+$C648)^('Sensitivity &amp; Scenarios'!$C$18+4)</f>
        <v>20872.765892846532</v>
      </c>
      <c r="I648" s="209">
        <f>('Sensitivity &amp; Scenarios'!$C$6*(1+$E648)^5*$G648+'Sensitivity &amp; Scenarios'!$C$11*'Sensitivity &amp; Scenarios'!$C$6*((1+$E648)^5-(1+$E648)^4))*(1+$D648)/($C648-$D648)/(1+$C648)^('Sensitivity &amp; Scenarios'!$C$18+4)</f>
        <v>54157.465678155422</v>
      </c>
      <c r="J648" s="209">
        <f>($H648+$I648-'Sensitivity &amp; Scenarios'!$C$15+'Sensitivity &amp; Scenarios'!$C$16)/'Sensitivity &amp; Scenarios'!$C$17</f>
        <v>1865.855725952011</v>
      </c>
    </row>
    <row r="649" spans="2:10" x14ac:dyDescent="0.3">
      <c r="B649" s="127">
        <v>619</v>
      </c>
      <c r="C649" s="206">
        <f>$D$7+0.327746*$E$7</f>
        <v>0.14082971943997799</v>
      </c>
      <c r="D649" s="206">
        <f>MIN($D$8+0.584169*$E$8,'Debt &amp; Cost of Capital'!$C$38)</f>
        <v>5.8505014000000001E-2</v>
      </c>
      <c r="E649" s="207">
        <f>$D$9+-0.907618*$E$9</f>
        <v>0.13999255770254634</v>
      </c>
      <c r="F649" s="207">
        <f>$D$10+0.036481*$E$10</f>
        <v>0.14543777199999991</v>
      </c>
      <c r="G649" s="208">
        <f>$F649*(1-'Sensitivity &amp; Scenarios'!$C$12)+'Sensitivity &amp; Scenarios'!$C$9*'Sensitivity &amp; Scenarios'!$C$12-'Sensitivity &amp; Scenarios'!$C$10</f>
        <v>7.8026502876064635E-2</v>
      </c>
      <c r="H649" s="209">
        <f>('Sensitivity &amp; Scenarios'!$C$6*(1+$E649)^1*$G649+'Sensitivity &amp; Scenarios'!$C$11*'Sensitivity &amp; Scenarios'!$C$6*((1+$E649)^1-(1+$E649)^0))*'Sensitivity &amp; Scenarios'!$C$18/(1+$C649)^'Sensitivity &amp; Scenarios'!$C$18+('Sensitivity &amp; Scenarios'!$C$6*(1+$E649)^2*$G649+'Sensitivity &amp; Scenarios'!$C$11*'Sensitivity &amp; Scenarios'!$C$6*((1+$E649)^2-(1+$E649)^1))/(1+$C649)^('Sensitivity &amp; Scenarios'!$C$18+1)+('Sensitivity &amp; Scenarios'!$C$6*(1+$E649)^3*$G649+'Sensitivity &amp; Scenarios'!$C$11*'Sensitivity &amp; Scenarios'!$C$6*((1+$E649)^3-(1+$E649)^2))/(1+$C649)^('Sensitivity &amp; Scenarios'!$C$18+2)+('Sensitivity &amp; Scenarios'!$C$6*(1+$E649)^4*$G649+'Sensitivity &amp; Scenarios'!$C$11*'Sensitivity &amp; Scenarios'!$C$6*((1+$E649)^4-(1+$E649)^3))/(1+$C649)^('Sensitivity &amp; Scenarios'!$C$18+3)+('Sensitivity &amp; Scenarios'!$C$6*(1+$E649)^5*$G649+'Sensitivity &amp; Scenarios'!$C$11*'Sensitivity &amp; Scenarios'!$C$6*((1+$E649)^5-(1+$E649)^4))/(1+$C649)^('Sensitivity &amp; Scenarios'!$C$18+4)</f>
        <v>20990.471746281466</v>
      </c>
      <c r="I649" s="209">
        <f>('Sensitivity &amp; Scenarios'!$C$6*(1+$E649)^5*$G649+'Sensitivity &amp; Scenarios'!$C$11*'Sensitivity &amp; Scenarios'!$C$6*((1+$E649)^5-(1+$E649)^4))*(1+$D649)/($C649-$D649)/(1+$C649)^('Sensitivity &amp; Scenarios'!$C$18+4)</f>
        <v>58176.405466416494</v>
      </c>
      <c r="J649" s="209">
        <f>($H649+$I649-'Sensitivity &amp; Scenarios'!$C$15+'Sensitivity &amp; Scenarios'!$C$16)/'Sensitivity &amp; Scenarios'!$C$17</f>
        <v>1952.9270548180082</v>
      </c>
    </row>
    <row r="650" spans="2:10" x14ac:dyDescent="0.3">
      <c r="B650" s="127">
        <v>620</v>
      </c>
      <c r="C650" s="206">
        <f>$D$7+-2.03162*$E$7</f>
        <v>0.11723605943997797</v>
      </c>
      <c r="D650" s="206">
        <f>MIN($D$8+0.211714*$E$8,'Debt &amp; Cost of Capital'!$C$38)</f>
        <v>5.6270284000000004E-2</v>
      </c>
      <c r="E650" s="207">
        <f>$D$9+0.762149*$E$9</f>
        <v>0.19008556770254634</v>
      </c>
      <c r="F650" s="207">
        <f>$D$10+-0.280069*$E$10</f>
        <v>0.1416391719999999</v>
      </c>
      <c r="G650" s="208">
        <f>$F650*(1-'Sensitivity &amp; Scenarios'!$C$12)+'Sensitivity &amp; Scenarios'!$C$9*'Sensitivity &amp; Scenarios'!$C$12-'Sensitivity &amp; Scenarios'!$C$10</f>
        <v>7.5184010496064629E-2</v>
      </c>
      <c r="H650" s="209">
        <f>('Sensitivity &amp; Scenarios'!$C$6*(1+$E650)^1*$G650+'Sensitivity &amp; Scenarios'!$C$11*'Sensitivity &amp; Scenarios'!$C$6*((1+$E650)^1-(1+$E650)^0))*'Sensitivity &amp; Scenarios'!$C$18/(1+$C650)^'Sensitivity &amp; Scenarios'!$C$18+('Sensitivity &amp; Scenarios'!$C$6*(1+$E650)^2*$G650+'Sensitivity &amp; Scenarios'!$C$11*'Sensitivity &amp; Scenarios'!$C$6*((1+$E650)^2-(1+$E650)^1))/(1+$C650)^('Sensitivity &amp; Scenarios'!$C$18+1)+('Sensitivity &amp; Scenarios'!$C$6*(1+$E650)^3*$G650+'Sensitivity &amp; Scenarios'!$C$11*'Sensitivity &amp; Scenarios'!$C$6*((1+$E650)^3-(1+$E650)^2))/(1+$C650)^('Sensitivity &amp; Scenarios'!$C$18+2)+('Sensitivity &amp; Scenarios'!$C$6*(1+$E650)^4*$G650+'Sensitivity &amp; Scenarios'!$C$11*'Sensitivity &amp; Scenarios'!$C$6*((1+$E650)^4-(1+$E650)^3))/(1+$C650)^('Sensitivity &amp; Scenarios'!$C$18+3)+('Sensitivity &amp; Scenarios'!$C$6*(1+$E650)^5*$G650+'Sensitivity &amp; Scenarios'!$C$11*'Sensitivity &amp; Scenarios'!$C$6*((1+$E650)^5-(1+$E650)^4))/(1+$C650)^('Sensitivity &amp; Scenarios'!$C$18+4)</f>
        <v>25921.406671072895</v>
      </c>
      <c r="I650" s="209">
        <f>('Sensitivity &amp; Scenarios'!$C$6*(1+$E650)^5*$G650+'Sensitivity &amp; Scenarios'!$C$11*'Sensitivity &amp; Scenarios'!$C$6*((1+$E650)^5-(1+$E650)^4))*(1+$D650)/($C650-$D650)/(1+$C650)^('Sensitivity &amp; Scenarios'!$C$18+4)</f>
        <v>108504.33049289396</v>
      </c>
      <c r="J650" s="209">
        <f>($H650+$I650-'Sensitivity &amp; Scenarios'!$C$15+'Sensitivity &amp; Scenarios'!$C$16)/'Sensitivity &amp; Scenarios'!$C$17</f>
        <v>3116.0584381492486</v>
      </c>
    </row>
    <row r="651" spans="2:10" x14ac:dyDescent="0.3">
      <c r="B651" s="127">
        <v>621</v>
      </c>
      <c r="C651" s="206">
        <f>$D$7+1.816527*$E$7</f>
        <v>0.15571752943997799</v>
      </c>
      <c r="D651" s="206">
        <f>MIN($D$8+-0.881238*$E$8,'Debt &amp; Cost of Capital'!$C$38)</f>
        <v>4.9712571999999997E-2</v>
      </c>
      <c r="E651" s="207">
        <f>$D$9+0.21744*$E$9</f>
        <v>0.17374429770254635</v>
      </c>
      <c r="F651" s="207">
        <f>$D$10+-0.035825*$E$10</f>
        <v>0.1445700999999999</v>
      </c>
      <c r="G651" s="208">
        <f>$F651*(1-'Sensitivity &amp; Scenarios'!$C$12)+'Sensitivity &amp; Scenarios'!$C$9*'Sensitivity &amp; Scenarios'!$C$12-'Sensitivity &amp; Scenarios'!$C$10</f>
        <v>7.7377223918464633E-2</v>
      </c>
      <c r="H651" s="209">
        <f>('Sensitivity &amp; Scenarios'!$C$6*(1+$E651)^1*$G651+'Sensitivity &amp; Scenarios'!$C$11*'Sensitivity &amp; Scenarios'!$C$6*((1+$E651)^1-(1+$E651)^0))*'Sensitivity &amp; Scenarios'!$C$18/(1+$C651)^'Sensitivity &amp; Scenarios'!$C$18+('Sensitivity &amp; Scenarios'!$C$6*(1+$E651)^2*$G651+'Sensitivity &amp; Scenarios'!$C$11*'Sensitivity &amp; Scenarios'!$C$6*((1+$E651)^2-(1+$E651)^1))/(1+$C651)^('Sensitivity &amp; Scenarios'!$C$18+1)+('Sensitivity &amp; Scenarios'!$C$6*(1+$E651)^3*$G651+'Sensitivity &amp; Scenarios'!$C$11*'Sensitivity &amp; Scenarios'!$C$6*((1+$E651)^3-(1+$E651)^2))/(1+$C651)^('Sensitivity &amp; Scenarios'!$C$18+2)+('Sensitivity &amp; Scenarios'!$C$6*(1+$E651)^4*$G651+'Sensitivity &amp; Scenarios'!$C$11*'Sensitivity &amp; Scenarios'!$C$6*((1+$E651)^4-(1+$E651)^3))/(1+$C651)^('Sensitivity &amp; Scenarios'!$C$18+3)+('Sensitivity &amp; Scenarios'!$C$6*(1+$E651)^5*$G651+'Sensitivity &amp; Scenarios'!$C$11*'Sensitivity &amp; Scenarios'!$C$6*((1+$E651)^5-(1+$E651)^4))/(1+$C651)^('Sensitivity &amp; Scenarios'!$C$18+4)</f>
        <v>22719.049740220769</v>
      </c>
      <c r="I651" s="209">
        <f>('Sensitivity &amp; Scenarios'!$C$6*(1+$E651)^5*$G651+'Sensitivity &amp; Scenarios'!$C$11*'Sensitivity &amp; Scenarios'!$C$6*((1+$E651)^5-(1+$E651)^4))*(1+$D651)/($C651-$D651)/(1+$C651)^('Sensitivity &amp; Scenarios'!$C$18+4)</f>
        <v>49953.68160957464</v>
      </c>
      <c r="J651" s="209">
        <f>($H651+$I651-'Sensitivity &amp; Scenarios'!$C$15+'Sensitivity &amp; Scenarios'!$C$16)/'Sensitivity &amp; Scenarios'!$C$17</f>
        <v>1816.2332310993515</v>
      </c>
    </row>
    <row r="652" spans="2:10" x14ac:dyDescent="0.3">
      <c r="B652" s="127">
        <v>622</v>
      </c>
      <c r="C652" s="206">
        <f>$D$7+-0.100298*$E$7</f>
        <v>0.13654927943997799</v>
      </c>
      <c r="D652" s="206">
        <f>MIN($D$8+-0.114322*$E$8,'Debt &amp; Cost of Capital'!$C$38)</f>
        <v>5.4314068E-2</v>
      </c>
      <c r="E652" s="207">
        <f>$D$9+0.107105*$E$9</f>
        <v>0.17043424770254634</v>
      </c>
      <c r="F652" s="207">
        <f>$D$10+0.847959*$E$10</f>
        <v>0.15517550799999991</v>
      </c>
      <c r="G652" s="208">
        <f>$F652*(1-'Sensitivity &amp; Scenarios'!$C$12)+'Sensitivity &amp; Scenarios'!$C$9*'Sensitivity &amp; Scenarios'!$C$12-'Sensitivity &amp; Scenarios'!$C$10</f>
        <v>8.5313250724864634E-2</v>
      </c>
      <c r="H652" s="209">
        <f>('Sensitivity &amp; Scenarios'!$C$6*(1+$E652)^1*$G652+'Sensitivity &amp; Scenarios'!$C$11*'Sensitivity &amp; Scenarios'!$C$6*((1+$E652)^1-(1+$E652)^0))*'Sensitivity &amp; Scenarios'!$C$18/(1+$C652)^'Sensitivity &amp; Scenarios'!$C$18+('Sensitivity &amp; Scenarios'!$C$6*(1+$E652)^2*$G652+'Sensitivity &amp; Scenarios'!$C$11*'Sensitivity &amp; Scenarios'!$C$6*((1+$E652)^2-(1+$E652)^1))/(1+$C652)^('Sensitivity &amp; Scenarios'!$C$18+1)+('Sensitivity &amp; Scenarios'!$C$6*(1+$E652)^3*$G652+'Sensitivity &amp; Scenarios'!$C$11*'Sensitivity &amp; Scenarios'!$C$6*((1+$E652)^3-(1+$E652)^2))/(1+$C652)^('Sensitivity &amp; Scenarios'!$C$18+2)+('Sensitivity &amp; Scenarios'!$C$6*(1+$E652)^4*$G652+'Sensitivity &amp; Scenarios'!$C$11*'Sensitivity &amp; Scenarios'!$C$6*((1+$E652)^4-(1+$E652)^3))/(1+$C652)^('Sensitivity &amp; Scenarios'!$C$18+3)+('Sensitivity &amp; Scenarios'!$C$6*(1+$E652)^5*$G652+'Sensitivity &amp; Scenarios'!$C$11*'Sensitivity &amp; Scenarios'!$C$6*((1+$E652)^5-(1+$E652)^4))/(1+$C652)^('Sensitivity &amp; Scenarios'!$C$18+4)</f>
        <v>25540.233191653941</v>
      </c>
      <c r="I652" s="209">
        <f>('Sensitivity &amp; Scenarios'!$C$6*(1+$E652)^5*$G652+'Sensitivity &amp; Scenarios'!$C$11*'Sensitivity &amp; Scenarios'!$C$6*((1+$E652)^5-(1+$E652)^4))*(1+$D652)/($C652-$D652)/(1+$C652)^('Sensitivity &amp; Scenarios'!$C$18+4)</f>
        <v>74548.99321547641</v>
      </c>
      <c r="J652" s="209">
        <f>($H652+$I652-'Sensitivity &amp; Scenarios'!$C$15+'Sensitivity &amp; Scenarios'!$C$16)/'Sensitivity &amp; Scenarios'!$C$17</f>
        <v>2393.3169032969681</v>
      </c>
    </row>
    <row r="653" spans="2:10" x14ac:dyDescent="0.3">
      <c r="B653" s="127">
        <v>623</v>
      </c>
      <c r="C653" s="206">
        <f>$D$7+1.377736*$E$7</f>
        <v>0.15132961943997797</v>
      </c>
      <c r="D653" s="206">
        <f>MIN($D$8+-0.00225*$E$8,'Debt &amp; Cost of Capital'!$C$38)</f>
        <v>5.4986500000000001E-2</v>
      </c>
      <c r="E653" s="207">
        <f>$D$9+0.815316*$E$9</f>
        <v>0.19168057770254635</v>
      </c>
      <c r="F653" s="207">
        <f>$D$10+-0.701767*$E$10</f>
        <v>0.13657879599999992</v>
      </c>
      <c r="G653" s="208">
        <f>$F653*(1-'Sensitivity &amp; Scenarios'!$C$12)+'Sensitivity &amp; Scenarios'!$C$9*'Sensitivity &amp; Scenarios'!$C$12-'Sensitivity &amp; Scenarios'!$C$10</f>
        <v>7.1397331135264641E-2</v>
      </c>
      <c r="H653" s="209">
        <f>('Sensitivity &amp; Scenarios'!$C$6*(1+$E653)^1*$G653+'Sensitivity &amp; Scenarios'!$C$11*'Sensitivity &amp; Scenarios'!$C$6*((1+$E653)^1-(1+$E653)^0))*'Sensitivity &amp; Scenarios'!$C$18/(1+$C653)^'Sensitivity &amp; Scenarios'!$C$18+('Sensitivity &amp; Scenarios'!$C$6*(1+$E653)^2*$G653+'Sensitivity &amp; Scenarios'!$C$11*'Sensitivity &amp; Scenarios'!$C$6*((1+$E653)^2-(1+$E653)^1))/(1+$C653)^('Sensitivity &amp; Scenarios'!$C$18+1)+('Sensitivity &amp; Scenarios'!$C$6*(1+$E653)^3*$G653+'Sensitivity &amp; Scenarios'!$C$11*'Sensitivity &amp; Scenarios'!$C$6*((1+$E653)^3-(1+$E653)^2))/(1+$C653)^('Sensitivity &amp; Scenarios'!$C$18+2)+('Sensitivity &amp; Scenarios'!$C$6*(1+$E653)^4*$G653+'Sensitivity &amp; Scenarios'!$C$11*'Sensitivity &amp; Scenarios'!$C$6*((1+$E653)^4-(1+$E653)^3))/(1+$C653)^('Sensitivity &amp; Scenarios'!$C$18+3)+('Sensitivity &amp; Scenarios'!$C$6*(1+$E653)^5*$G653+'Sensitivity &amp; Scenarios'!$C$11*'Sensitivity &amp; Scenarios'!$C$6*((1+$E653)^5-(1+$E653)^4))/(1+$C653)^('Sensitivity &amp; Scenarios'!$C$18+4)</f>
        <v>22932.710563441622</v>
      </c>
      <c r="I653" s="209">
        <f>('Sensitivity &amp; Scenarios'!$C$6*(1+$E653)^5*$G653+'Sensitivity &amp; Scenarios'!$C$11*'Sensitivity &amp; Scenarios'!$C$6*((1+$E653)^5-(1+$E653)^4))*(1+$D653)/($C653-$D653)/(1+$C653)^('Sensitivity &amp; Scenarios'!$C$18+4)</f>
        <v>57691.65482446934</v>
      </c>
      <c r="J653" s="209">
        <f>($H653+$I653-'Sensitivity &amp; Scenarios'!$C$15+'Sensitivity &amp; Scenarios'!$C$16)/'Sensitivity &amp; Scenarios'!$C$17</f>
        <v>1983.6053974207944</v>
      </c>
    </row>
    <row r="654" spans="2:10" x14ac:dyDescent="0.3">
      <c r="B654" s="127">
        <v>624</v>
      </c>
      <c r="C654" s="206">
        <f>$D$7+0.765955*$E$7</f>
        <v>0.14521180943997797</v>
      </c>
      <c r="D654" s="206">
        <f>MIN($D$8+-0.761992*$E$8,'Debt &amp; Cost of Capital'!$C$38)</f>
        <v>5.0428048000000003E-2</v>
      </c>
      <c r="E654" s="207">
        <f>$D$9+1.09066*$E$9</f>
        <v>0.19994089770254633</v>
      </c>
      <c r="F654" s="207">
        <f>$D$10+2.210641*$E$10</f>
        <v>0.1715276919999999</v>
      </c>
      <c r="G654" s="208">
        <f>$F654*(1-'Sensitivity &amp; Scenarios'!$C$12)+'Sensitivity &amp; Scenarios'!$C$9*'Sensitivity &amp; Scenarios'!$C$12-'Sensitivity &amp; Scenarios'!$C$10</f>
        <v>9.7549590012064619E-2</v>
      </c>
      <c r="H654" s="209">
        <f>('Sensitivity &amp; Scenarios'!$C$6*(1+$E654)^1*$G654+'Sensitivity &amp; Scenarios'!$C$11*'Sensitivity &amp; Scenarios'!$C$6*((1+$E654)^1-(1+$E654)^0))*'Sensitivity &amp; Scenarios'!$C$18/(1+$C654)^'Sensitivity &amp; Scenarios'!$C$18+('Sensitivity &amp; Scenarios'!$C$6*(1+$E654)^2*$G654+'Sensitivity &amp; Scenarios'!$C$11*'Sensitivity &amp; Scenarios'!$C$6*((1+$E654)^2-(1+$E654)^1))/(1+$C654)^('Sensitivity &amp; Scenarios'!$C$18+1)+('Sensitivity &amp; Scenarios'!$C$6*(1+$E654)^3*$G654+'Sensitivity &amp; Scenarios'!$C$11*'Sensitivity &amp; Scenarios'!$C$6*((1+$E654)^3-(1+$E654)^2))/(1+$C654)^('Sensitivity &amp; Scenarios'!$C$18+2)+('Sensitivity &amp; Scenarios'!$C$6*(1+$E654)^4*$G654+'Sensitivity &amp; Scenarios'!$C$11*'Sensitivity &amp; Scenarios'!$C$6*((1+$E654)^4-(1+$E654)^3))/(1+$C654)^('Sensitivity &amp; Scenarios'!$C$18+3)+('Sensitivity &amp; Scenarios'!$C$6*(1+$E654)^5*$G654+'Sensitivity &amp; Scenarios'!$C$11*'Sensitivity &amp; Scenarios'!$C$6*((1+$E654)^5-(1+$E654)^4))/(1+$C654)^('Sensitivity &amp; Scenarios'!$C$18+4)</f>
        <v>30970.626544096405</v>
      </c>
      <c r="I654" s="209">
        <f>('Sensitivity &amp; Scenarios'!$C$6*(1+$E654)^5*$G654+'Sensitivity &amp; Scenarios'!$C$11*'Sensitivity &amp; Scenarios'!$C$6*((1+$E654)^5-(1+$E654)^4))*(1+$D654)/($C654-$D654)/(1+$C654)^('Sensitivity &amp; Scenarios'!$C$18+4)</f>
        <v>80576.618577136192</v>
      </c>
      <c r="J654" s="209">
        <f>($H654+$I654-'Sensitivity &amp; Scenarios'!$C$15+'Sensitivity &amp; Scenarios'!$C$16)/'Sensitivity &amp; Scenarios'!$C$17</f>
        <v>2634.4941763880497</v>
      </c>
    </row>
    <row r="655" spans="2:10" x14ac:dyDescent="0.3">
      <c r="B655" s="127">
        <v>625</v>
      </c>
      <c r="C655" s="206">
        <f>$D$7+-0.122084*$E$7</f>
        <v>0.13633141943997798</v>
      </c>
      <c r="D655" s="206">
        <f>MIN($D$8+-2.192543*$E$8,'Debt &amp; Cost of Capital'!$C$38)</f>
        <v>4.1844741999999997E-2</v>
      </c>
      <c r="E655" s="207">
        <f>$D$9+-0.548073*$E$9</f>
        <v>0.15077890770254634</v>
      </c>
      <c r="F655" s="207">
        <f>$D$10+1.231875*$E$10</f>
        <v>0.15978249999999991</v>
      </c>
      <c r="G655" s="208">
        <f>$F655*(1-'Sensitivity &amp; Scenarios'!$C$12)+'Sensitivity &amp; Scenarios'!$C$9*'Sensitivity &amp; Scenarios'!$C$12-'Sensitivity &amp; Scenarios'!$C$10</f>
        <v>8.8760662838464635E-2</v>
      </c>
      <c r="H655" s="209">
        <f>('Sensitivity &amp; Scenarios'!$C$6*(1+$E655)^1*$G655+'Sensitivity &amp; Scenarios'!$C$11*'Sensitivity &amp; Scenarios'!$C$6*((1+$E655)^1-(1+$E655)^0))*'Sensitivity &amp; Scenarios'!$C$18/(1+$C655)^'Sensitivity &amp; Scenarios'!$C$18+('Sensitivity &amp; Scenarios'!$C$6*(1+$E655)^2*$G655+'Sensitivity &amp; Scenarios'!$C$11*'Sensitivity &amp; Scenarios'!$C$6*((1+$E655)^2-(1+$E655)^1))/(1+$C655)^('Sensitivity &amp; Scenarios'!$C$18+1)+('Sensitivity &amp; Scenarios'!$C$6*(1+$E655)^3*$G655+'Sensitivity &amp; Scenarios'!$C$11*'Sensitivity &amp; Scenarios'!$C$6*((1+$E655)^3-(1+$E655)^2))/(1+$C655)^('Sensitivity &amp; Scenarios'!$C$18+2)+('Sensitivity &amp; Scenarios'!$C$6*(1+$E655)^4*$G655+'Sensitivity &amp; Scenarios'!$C$11*'Sensitivity &amp; Scenarios'!$C$6*((1+$E655)^4-(1+$E655)^3))/(1+$C655)^('Sensitivity &amp; Scenarios'!$C$18+3)+('Sensitivity &amp; Scenarios'!$C$6*(1+$E655)^5*$G655+'Sensitivity &amp; Scenarios'!$C$11*'Sensitivity &amp; Scenarios'!$C$6*((1+$E655)^5-(1+$E655)^4))/(1+$C655)^('Sensitivity &amp; Scenarios'!$C$18+4)</f>
        <v>24647.547472298702</v>
      </c>
      <c r="I655" s="209">
        <f>('Sensitivity &amp; Scenarios'!$C$6*(1+$E655)^5*$G655+'Sensitivity &amp; Scenarios'!$C$11*'Sensitivity &amp; Scenarios'!$C$6*((1+$E655)^5-(1+$E655)^4))*(1+$D655)/($C655-$D655)/(1+$C655)^('Sensitivity &amp; Scenarios'!$C$18+4)</f>
        <v>60033.910889652674</v>
      </c>
      <c r="J655" s="209">
        <f>($H655+$I655-'Sensitivity &amp; Scenarios'!$C$15+'Sensitivity &amp; Scenarios'!$C$16)/'Sensitivity &amp; Scenarios'!$C$17</f>
        <v>2069.0022399789032</v>
      </c>
    </row>
    <row r="656" spans="2:10" x14ac:dyDescent="0.3">
      <c r="B656" s="127">
        <v>626</v>
      </c>
      <c r="C656" s="206">
        <f>$D$7+0.553077*$E$7</f>
        <v>0.14308302943997797</v>
      </c>
      <c r="D656" s="206">
        <f>MIN($D$8+0.248914*$E$8,'Debt &amp; Cost of Capital'!$C$38)</f>
        <v>5.6493484000000004E-2</v>
      </c>
      <c r="E656" s="207">
        <f>$D$9+1.008668*$E$9</f>
        <v>0.19748113770254633</v>
      </c>
      <c r="F656" s="207">
        <f>$D$10+0.484453*$E$10</f>
        <v>0.15081343599999991</v>
      </c>
      <c r="G656" s="208">
        <f>$F656*(1-'Sensitivity &amp; Scenarios'!$C$12)+'Sensitivity &amp; Scenarios'!$C$9*'Sensitivity &amp; Scenarios'!$C$12-'Sensitivity &amp; Scenarios'!$C$10</f>
        <v>8.2049112247264633E-2</v>
      </c>
      <c r="H656" s="209">
        <f>('Sensitivity &amp; Scenarios'!$C$6*(1+$E656)^1*$G656+'Sensitivity &amp; Scenarios'!$C$11*'Sensitivity &amp; Scenarios'!$C$6*((1+$E656)^1-(1+$E656)^0))*'Sensitivity &amp; Scenarios'!$C$18/(1+$C656)^'Sensitivity &amp; Scenarios'!$C$18+('Sensitivity &amp; Scenarios'!$C$6*(1+$E656)^2*$G656+'Sensitivity &amp; Scenarios'!$C$11*'Sensitivity &amp; Scenarios'!$C$6*((1+$E656)^2-(1+$E656)^1))/(1+$C656)^('Sensitivity &amp; Scenarios'!$C$18+1)+('Sensitivity &amp; Scenarios'!$C$6*(1+$E656)^3*$G656+'Sensitivity &amp; Scenarios'!$C$11*'Sensitivity &amp; Scenarios'!$C$6*((1+$E656)^3-(1+$E656)^2))/(1+$C656)^('Sensitivity &amp; Scenarios'!$C$18+2)+('Sensitivity &amp; Scenarios'!$C$6*(1+$E656)^4*$G656+'Sensitivity &amp; Scenarios'!$C$11*'Sensitivity &amp; Scenarios'!$C$6*((1+$E656)^4-(1+$E656)^3))/(1+$C656)^('Sensitivity &amp; Scenarios'!$C$18+3)+('Sensitivity &amp; Scenarios'!$C$6*(1+$E656)^5*$G656+'Sensitivity &amp; Scenarios'!$C$11*'Sensitivity &amp; Scenarios'!$C$6*((1+$E656)^5-(1+$E656)^4))/(1+$C656)^('Sensitivity &amp; Scenarios'!$C$18+4)</f>
        <v>26742.622728102942</v>
      </c>
      <c r="I656" s="209">
        <f>('Sensitivity &amp; Scenarios'!$C$6*(1+$E656)^5*$G656+'Sensitivity &amp; Scenarios'!$C$11*'Sensitivity &amp; Scenarios'!$C$6*((1+$E656)^5-(1+$E656)^4))*(1+$D656)/($C656-$D656)/(1+$C656)^('Sensitivity &amp; Scenarios'!$C$18+4)</f>
        <v>76574.814545118061</v>
      </c>
      <c r="J656" s="209">
        <f>($H656+$I656-'Sensitivity &amp; Scenarios'!$C$15+'Sensitivity &amp; Scenarios'!$C$16)/'Sensitivity &amp; Scenarios'!$C$17</f>
        <v>2461.2667917614108</v>
      </c>
    </row>
    <row r="657" spans="2:10" x14ac:dyDescent="0.3">
      <c r="B657" s="127">
        <v>627</v>
      </c>
      <c r="C657" s="206">
        <f>$D$7+1.217725*$E$7</f>
        <v>0.14972950943997798</v>
      </c>
      <c r="D657" s="206">
        <f>MIN($D$8+0.919424*$E$8,'Debt &amp; Cost of Capital'!$C$38)</f>
        <v>6.0516543999999999E-2</v>
      </c>
      <c r="E657" s="207">
        <f>$D$9+1.5217*$E$9</f>
        <v>0.21287209770254634</v>
      </c>
      <c r="F657" s="207">
        <f>$D$10+0.358796*$E$10</f>
        <v>0.1493055519999999</v>
      </c>
      <c r="G657" s="208">
        <f>$F657*(1-'Sensitivity &amp; Scenarios'!$C$12)+'Sensitivity &amp; Scenarios'!$C$9*'Sensitivity &amp; Scenarios'!$C$12-'Sensitivity &amp; Scenarios'!$C$10</f>
        <v>8.0920762650064634E-2</v>
      </c>
      <c r="H657" s="209">
        <f>('Sensitivity &amp; Scenarios'!$C$6*(1+$E657)^1*$G657+'Sensitivity &amp; Scenarios'!$C$11*'Sensitivity &amp; Scenarios'!$C$6*((1+$E657)^1-(1+$E657)^0))*'Sensitivity &amp; Scenarios'!$C$18/(1+$C657)^'Sensitivity &amp; Scenarios'!$C$18+('Sensitivity &amp; Scenarios'!$C$6*(1+$E657)^2*$G657+'Sensitivity &amp; Scenarios'!$C$11*'Sensitivity &amp; Scenarios'!$C$6*((1+$E657)^2-(1+$E657)^1))/(1+$C657)^('Sensitivity &amp; Scenarios'!$C$18+1)+('Sensitivity &amp; Scenarios'!$C$6*(1+$E657)^3*$G657+'Sensitivity &amp; Scenarios'!$C$11*'Sensitivity &amp; Scenarios'!$C$6*((1+$E657)^3-(1+$E657)^2))/(1+$C657)^('Sensitivity &amp; Scenarios'!$C$18+2)+('Sensitivity &amp; Scenarios'!$C$6*(1+$E657)^4*$G657+'Sensitivity &amp; Scenarios'!$C$11*'Sensitivity &amp; Scenarios'!$C$6*((1+$E657)^4-(1+$E657)^3))/(1+$C657)^('Sensitivity &amp; Scenarios'!$C$18+3)+('Sensitivity &amp; Scenarios'!$C$6*(1+$E657)^5*$G657+'Sensitivity &amp; Scenarios'!$C$11*'Sensitivity &amp; Scenarios'!$C$6*((1+$E657)^5-(1+$E657)^4))/(1+$C657)^('Sensitivity &amp; Scenarios'!$C$18+4)</f>
        <v>27423.894358438687</v>
      </c>
      <c r="I657" s="209">
        <f>('Sensitivity &amp; Scenarios'!$C$6*(1+$E657)^5*$G657+'Sensitivity &amp; Scenarios'!$C$11*'Sensitivity &amp; Scenarios'!$C$6*((1+$E657)^5-(1+$E657)^4))*(1+$D657)/($C657-$D657)/(1+$C657)^('Sensitivity &amp; Scenarios'!$C$18+4)</f>
        <v>77446.588076780827</v>
      </c>
      <c r="J657" s="209">
        <f>($H657+$I657-'Sensitivity &amp; Scenarios'!$C$15+'Sensitivity &amp; Scenarios'!$C$16)/'Sensitivity &amp; Scenarios'!$C$17</f>
        <v>2493.956492005756</v>
      </c>
    </row>
    <row r="658" spans="2:10" x14ac:dyDescent="0.3">
      <c r="B658" s="127">
        <v>628</v>
      </c>
      <c r="C658" s="206">
        <f>$D$7+0.905259*$E$7</f>
        <v>0.14660484943997798</v>
      </c>
      <c r="D658" s="206">
        <f>MIN($D$8+-0.307127*$E$8,'Debt &amp; Cost of Capital'!$C$38)</f>
        <v>5.3157238000000002E-2</v>
      </c>
      <c r="E658" s="207">
        <f>$D$9+-0.601461*$E$9</f>
        <v>0.14917726770254633</v>
      </c>
      <c r="F658" s="207">
        <f>$D$10+1.706768*$E$10</f>
        <v>0.1654812159999999</v>
      </c>
      <c r="G658" s="208">
        <f>$F658*(1-'Sensitivity &amp; Scenarios'!$C$12)+'Sensitivity &amp; Scenarios'!$C$9*'Sensitivity &amp; Scenarios'!$C$12-'Sensitivity &amp; Scenarios'!$C$10</f>
        <v>9.3025012021264647E-2</v>
      </c>
      <c r="H658" s="209">
        <f>('Sensitivity &amp; Scenarios'!$C$6*(1+$E658)^1*$G658+'Sensitivity &amp; Scenarios'!$C$11*'Sensitivity &amp; Scenarios'!$C$6*((1+$E658)^1-(1+$E658)^0))*'Sensitivity &amp; Scenarios'!$C$18/(1+$C658)^'Sensitivity &amp; Scenarios'!$C$18+('Sensitivity &amp; Scenarios'!$C$6*(1+$E658)^2*$G658+'Sensitivity &amp; Scenarios'!$C$11*'Sensitivity &amp; Scenarios'!$C$6*((1+$E658)^2-(1+$E658)^1))/(1+$C658)^('Sensitivity &amp; Scenarios'!$C$18+1)+('Sensitivity &amp; Scenarios'!$C$6*(1+$E658)^3*$G658+'Sensitivity &amp; Scenarios'!$C$11*'Sensitivity &amp; Scenarios'!$C$6*((1+$E658)^3-(1+$E658)^2))/(1+$C658)^('Sensitivity &amp; Scenarios'!$C$18+2)+('Sensitivity &amp; Scenarios'!$C$6*(1+$E658)^4*$G658+'Sensitivity &amp; Scenarios'!$C$11*'Sensitivity &amp; Scenarios'!$C$6*((1+$E658)^4-(1+$E658)^3))/(1+$C658)^('Sensitivity &amp; Scenarios'!$C$18+3)+('Sensitivity &amp; Scenarios'!$C$6*(1+$E658)^5*$G658+'Sensitivity &amp; Scenarios'!$C$11*'Sensitivity &amp; Scenarios'!$C$6*((1+$E658)^5-(1+$E658)^4))/(1+$C658)^('Sensitivity &amp; Scenarios'!$C$18+4)</f>
        <v>24885.242038263117</v>
      </c>
      <c r="I658" s="209">
        <f>('Sensitivity &amp; Scenarios'!$C$6*(1+$E658)^5*$G658+'Sensitivity &amp; Scenarios'!$C$11*'Sensitivity &amp; Scenarios'!$C$6*((1+$E658)^5-(1+$E658)^4))*(1+$D658)/($C658-$D658)/(1+$C658)^('Sensitivity &amp; Scenarios'!$C$18+4)</f>
        <v>60786.39874125737</v>
      </c>
      <c r="J658" s="209">
        <f>($H658+$I658-'Sensitivity &amp; Scenarios'!$C$15+'Sensitivity &amp; Scenarios'!$C$16)/'Sensitivity &amp; Scenarios'!$C$17</f>
        <v>2089.8443682116081</v>
      </c>
    </row>
    <row r="659" spans="2:10" x14ac:dyDescent="0.3">
      <c r="B659" s="127">
        <v>629</v>
      </c>
      <c r="C659" s="206">
        <f>$D$7+0.216205*$E$7</f>
        <v>0.13971430943997798</v>
      </c>
      <c r="D659" s="206">
        <f>MIN($D$8+0.804881*$E$8,'Debt &amp; Cost of Capital'!$C$38)</f>
        <v>5.9829286000000002E-2</v>
      </c>
      <c r="E659" s="207">
        <f>$D$9+0.12374*$E$9</f>
        <v>0.17093329770254634</v>
      </c>
      <c r="F659" s="207">
        <f>$D$10+-0.586516*$E$10</f>
        <v>0.13796180799999991</v>
      </c>
      <c r="G659" s="208">
        <f>$F659*(1-'Sensitivity &amp; Scenarios'!$C$12)+'Sensitivity &amp; Scenarios'!$C$9*'Sensitivity &amp; Scenarios'!$C$12-'Sensitivity &amp; Scenarios'!$C$10</f>
        <v>7.2432239014864633E-2</v>
      </c>
      <c r="H659" s="209">
        <f>('Sensitivity &amp; Scenarios'!$C$6*(1+$E659)^1*$G659+'Sensitivity &amp; Scenarios'!$C$11*'Sensitivity &amp; Scenarios'!$C$6*((1+$E659)^1-(1+$E659)^0))*'Sensitivity &amp; Scenarios'!$C$18/(1+$C659)^'Sensitivity &amp; Scenarios'!$C$18+('Sensitivity &amp; Scenarios'!$C$6*(1+$E659)^2*$G659+'Sensitivity &amp; Scenarios'!$C$11*'Sensitivity &amp; Scenarios'!$C$6*((1+$E659)^2-(1+$E659)^1))/(1+$C659)^('Sensitivity &amp; Scenarios'!$C$18+1)+('Sensitivity &amp; Scenarios'!$C$6*(1+$E659)^3*$G659+'Sensitivity &amp; Scenarios'!$C$11*'Sensitivity &amp; Scenarios'!$C$6*((1+$E659)^3-(1+$E659)^2))/(1+$C659)^('Sensitivity &amp; Scenarios'!$C$18+2)+('Sensitivity &amp; Scenarios'!$C$6*(1+$E659)^4*$G659+'Sensitivity &amp; Scenarios'!$C$11*'Sensitivity &amp; Scenarios'!$C$6*((1+$E659)^4-(1+$E659)^3))/(1+$C659)^('Sensitivity &amp; Scenarios'!$C$18+3)+('Sensitivity &amp; Scenarios'!$C$6*(1+$E659)^5*$G659+'Sensitivity &amp; Scenarios'!$C$11*'Sensitivity &amp; Scenarios'!$C$6*((1+$E659)^5-(1+$E659)^4))/(1+$C659)^('Sensitivity &amp; Scenarios'!$C$18+4)</f>
        <v>22158.391142732093</v>
      </c>
      <c r="I659" s="209">
        <f>('Sensitivity &amp; Scenarios'!$C$6*(1+$E659)^5*$G659+'Sensitivity &amp; Scenarios'!$C$11*'Sensitivity &amp; Scenarios'!$C$6*((1+$E659)^5-(1+$E659)^4))*(1+$D659)/($C659-$D659)/(1+$C659)^('Sensitivity &amp; Scenarios'!$C$18+4)</f>
        <v>66647.31505510326</v>
      </c>
      <c r="J659" s="209">
        <f>($H659+$I659-'Sensitivity &amp; Scenarios'!$C$15+'Sensitivity &amp; Scenarios'!$C$16)/'Sensitivity &amp; Scenarios'!$C$17</f>
        <v>2155.812610203388</v>
      </c>
    </row>
    <row r="660" spans="2:10" x14ac:dyDescent="0.3">
      <c r="B660" s="127">
        <v>630</v>
      </c>
      <c r="C660" s="206">
        <f>$D$7+0.010983*$E$7</f>
        <v>0.13766208943997799</v>
      </c>
      <c r="D660" s="206">
        <f>MIN($D$8+1.435994*$E$8,'Debt &amp; Cost of Capital'!$C$38)</f>
        <v>6.3615963999999997E-2</v>
      </c>
      <c r="E660" s="207">
        <f>$D$9+0.55524*$E$9</f>
        <v>0.18387829770254632</v>
      </c>
      <c r="F660" s="207">
        <f>$D$10+-1.711473*$E$10</f>
        <v>0.1244623239999999</v>
      </c>
      <c r="G660" s="208">
        <f>$F660*(1-'Sensitivity &amp; Scenarios'!$C$12)+'Sensitivity &amp; Scenarios'!$C$9*'Sensitivity &amp; Scenarios'!$C$12-'Sensitivity &amp; Scenarios'!$C$10</f>
        <v>6.2330575137664629E-2</v>
      </c>
      <c r="H660" s="209">
        <f>('Sensitivity &amp; Scenarios'!$C$6*(1+$E660)^1*$G660+'Sensitivity &amp; Scenarios'!$C$11*'Sensitivity &amp; Scenarios'!$C$6*((1+$E660)^1-(1+$E660)^0))*'Sensitivity &amp; Scenarios'!$C$18/(1+$C660)^'Sensitivity &amp; Scenarios'!$C$18+('Sensitivity &amp; Scenarios'!$C$6*(1+$E660)^2*$G660+'Sensitivity &amp; Scenarios'!$C$11*'Sensitivity &amp; Scenarios'!$C$6*((1+$E660)^2-(1+$E660)^1))/(1+$C660)^('Sensitivity &amp; Scenarios'!$C$18+1)+('Sensitivity &amp; Scenarios'!$C$6*(1+$E660)^3*$G660+'Sensitivity &amp; Scenarios'!$C$11*'Sensitivity &amp; Scenarios'!$C$6*((1+$E660)^3-(1+$E660)^2))/(1+$C660)^('Sensitivity &amp; Scenarios'!$C$18+2)+('Sensitivity &amp; Scenarios'!$C$6*(1+$E660)^4*$G660+'Sensitivity &amp; Scenarios'!$C$11*'Sensitivity &amp; Scenarios'!$C$6*((1+$E660)^4-(1+$E660)^3))/(1+$C660)^('Sensitivity &amp; Scenarios'!$C$18+3)+('Sensitivity &amp; Scenarios'!$C$6*(1+$E660)^5*$G660+'Sensitivity &amp; Scenarios'!$C$11*'Sensitivity &amp; Scenarios'!$C$6*((1+$E660)^5-(1+$E660)^4))/(1+$C660)^('Sensitivity &amp; Scenarios'!$C$18+4)</f>
        <v>20708.677934528423</v>
      </c>
      <c r="I660" s="209">
        <f>('Sensitivity &amp; Scenarios'!$C$6*(1+$E660)^5*$G660+'Sensitivity &amp; Scenarios'!$C$11*'Sensitivity &amp; Scenarios'!$C$6*((1+$E660)^5-(1+$E660)^4))*(1+$D660)/($C660-$D660)/(1+$C660)^('Sensitivity &amp; Scenarios'!$C$18+4)</f>
        <v>68993.262841072181</v>
      </c>
      <c r="J660" s="209">
        <f>($H660+$I660-'Sensitivity &amp; Scenarios'!$C$15+'Sensitivity &amp; Scenarios'!$C$16)/'Sensitivity &amp; Scenarios'!$C$17</f>
        <v>2174.6772513694323</v>
      </c>
    </row>
    <row r="661" spans="2:10" x14ac:dyDescent="0.3">
      <c r="B661" s="127">
        <v>631</v>
      </c>
      <c r="C661" s="206">
        <f>$D$7+-0.215244*$E$7</f>
        <v>0.13539981943997798</v>
      </c>
      <c r="D661" s="206">
        <f>MIN($D$8+1.782294*$E$8,'Debt &amp; Cost of Capital'!$C$38)</f>
        <v>6.5693764000000002E-2</v>
      </c>
      <c r="E661" s="207">
        <f>$D$9+-0.213797*$E$9</f>
        <v>0.16080718770254634</v>
      </c>
      <c r="F661" s="207">
        <f>$D$10+-1.800479*$E$10</f>
        <v>0.1233942519999999</v>
      </c>
      <c r="G661" s="208">
        <f>$F661*(1-'Sensitivity &amp; Scenarios'!$C$12)+'Sensitivity &amp; Scenarios'!$C$9*'Sensitivity &amp; Scenarios'!$C$12-'Sensitivity &amp; Scenarios'!$C$10</f>
        <v>6.1531336860064637E-2</v>
      </c>
      <c r="H661" s="209">
        <f>('Sensitivity &amp; Scenarios'!$C$6*(1+$E661)^1*$G661+'Sensitivity &amp; Scenarios'!$C$11*'Sensitivity &amp; Scenarios'!$C$6*((1+$E661)^1-(1+$E661)^0))*'Sensitivity &amp; Scenarios'!$C$18/(1+$C661)^'Sensitivity &amp; Scenarios'!$C$18+('Sensitivity &amp; Scenarios'!$C$6*(1+$E661)^2*$G661+'Sensitivity &amp; Scenarios'!$C$11*'Sensitivity &amp; Scenarios'!$C$6*((1+$E661)^2-(1+$E661)^1))/(1+$C661)^('Sensitivity &amp; Scenarios'!$C$18+1)+('Sensitivity &amp; Scenarios'!$C$6*(1+$E661)^3*$G661+'Sensitivity &amp; Scenarios'!$C$11*'Sensitivity &amp; Scenarios'!$C$6*((1+$E661)^3-(1+$E661)^2))/(1+$C661)^('Sensitivity &amp; Scenarios'!$C$18+2)+('Sensitivity &amp; Scenarios'!$C$6*(1+$E661)^4*$G661+'Sensitivity &amp; Scenarios'!$C$11*'Sensitivity &amp; Scenarios'!$C$6*((1+$E661)^4-(1+$E661)^3))/(1+$C661)^('Sensitivity &amp; Scenarios'!$C$18+3)+('Sensitivity &amp; Scenarios'!$C$6*(1+$E661)^5*$G661+'Sensitivity &amp; Scenarios'!$C$11*'Sensitivity &amp; Scenarios'!$C$6*((1+$E661)^5-(1+$E661)^4))/(1+$C661)^('Sensitivity &amp; Scenarios'!$C$18+4)</f>
        <v>18898.293338875232</v>
      </c>
      <c r="I661" s="209">
        <f>('Sensitivity &amp; Scenarios'!$C$6*(1+$E661)^5*$G661+'Sensitivity &amp; Scenarios'!$C$11*'Sensitivity &amp; Scenarios'!$C$6*((1+$E661)^5-(1+$E661)^4))*(1+$D661)/($C661-$D661)/(1+$C661)^('Sensitivity &amp; Scenarios'!$C$18+4)</f>
        <v>64929.202015089912</v>
      </c>
      <c r="J661" s="209">
        <f>($H661+$I661-'Sensitivity &amp; Scenarios'!$C$15+'Sensitivity &amp; Scenarios'!$C$16)/'Sensitivity &amp; Scenarios'!$C$17</f>
        <v>2051.0273636302295</v>
      </c>
    </row>
    <row r="662" spans="2:10" x14ac:dyDescent="0.3">
      <c r="B662" s="127">
        <v>632</v>
      </c>
      <c r="C662" s="206">
        <f>$D$7+1.893049*$E$7</f>
        <v>0.15648274943997798</v>
      </c>
      <c r="D662" s="206">
        <f>MIN($D$8+0.682393*$E$8,'Debt &amp; Cost of Capital'!$C$38)</f>
        <v>5.9094358E-2</v>
      </c>
      <c r="E662" s="207">
        <f>$D$9+-0.070013*$E$9</f>
        <v>0.16512070770254633</v>
      </c>
      <c r="F662" s="207">
        <f>$D$10+-0.371418*$E$10</f>
        <v>0.1405429839999999</v>
      </c>
      <c r="G662" s="208">
        <f>$F662*(1-'Sensitivity &amp; Scenarios'!$C$12)+'Sensitivity &amp; Scenarios'!$C$9*'Sensitivity &amp; Scenarios'!$C$12-'Sensitivity &amp; Scenarios'!$C$10</f>
        <v>7.4363733015664624E-2</v>
      </c>
      <c r="H662" s="209">
        <f>('Sensitivity &amp; Scenarios'!$C$6*(1+$E662)^1*$G662+'Sensitivity &amp; Scenarios'!$C$11*'Sensitivity &amp; Scenarios'!$C$6*((1+$E662)^1-(1+$E662)^0))*'Sensitivity &amp; Scenarios'!$C$18/(1+$C662)^'Sensitivity &amp; Scenarios'!$C$18+('Sensitivity &amp; Scenarios'!$C$6*(1+$E662)^2*$G662+'Sensitivity &amp; Scenarios'!$C$11*'Sensitivity &amp; Scenarios'!$C$6*((1+$E662)^2-(1+$E662)^1))/(1+$C662)^('Sensitivity &amp; Scenarios'!$C$18+1)+('Sensitivity &amp; Scenarios'!$C$6*(1+$E662)^3*$G662+'Sensitivity &amp; Scenarios'!$C$11*'Sensitivity &amp; Scenarios'!$C$6*((1+$E662)^3-(1+$E662)^2))/(1+$C662)^('Sensitivity &amp; Scenarios'!$C$18+2)+('Sensitivity &amp; Scenarios'!$C$6*(1+$E662)^4*$G662+'Sensitivity &amp; Scenarios'!$C$11*'Sensitivity &amp; Scenarios'!$C$6*((1+$E662)^4-(1+$E662)^3))/(1+$C662)^('Sensitivity &amp; Scenarios'!$C$18+3)+('Sensitivity &amp; Scenarios'!$C$6*(1+$E662)^5*$G662+'Sensitivity &amp; Scenarios'!$C$11*'Sensitivity &amp; Scenarios'!$C$6*((1+$E662)^5-(1+$E662)^4))/(1+$C662)^('Sensitivity &amp; Scenarios'!$C$18+4)</f>
        <v>21274.56791067632</v>
      </c>
      <c r="I662" s="209">
        <f>('Sensitivity &amp; Scenarios'!$C$6*(1+$E662)^5*$G662+'Sensitivity &amp; Scenarios'!$C$11*'Sensitivity &amp; Scenarios'!$C$6*((1+$E662)^5-(1+$E662)^4))*(1+$D662)/($C662-$D662)/(1+$C662)^('Sensitivity &amp; Scenarios'!$C$18+4)</f>
        <v>50625.225142078401</v>
      </c>
      <c r="J662" s="209">
        <f>($H662+$I662-'Sensitivity &amp; Scenarios'!$C$15+'Sensitivity &amp; Scenarios'!$C$16)/'Sensitivity &amp; Scenarios'!$C$17</f>
        <v>1799.9638257685235</v>
      </c>
    </row>
    <row r="663" spans="2:10" x14ac:dyDescent="0.3">
      <c r="B663" s="127">
        <v>633</v>
      </c>
      <c r="C663" s="206">
        <f>$D$7+1.082352*$E$7</f>
        <v>0.14837577943997798</v>
      </c>
      <c r="D663" s="206">
        <f>MIN($D$8+-0.541983*$E$8,'Debt &amp; Cost of Capital'!$C$38)</f>
        <v>5.1748101999999997E-2</v>
      </c>
      <c r="E663" s="207">
        <f>$D$9+1.148256*$E$9</f>
        <v>0.20166877770254632</v>
      </c>
      <c r="F663" s="207">
        <f>$D$10+0.542195*$E$10</f>
        <v>0.15150633999999991</v>
      </c>
      <c r="G663" s="208">
        <f>$F663*(1-'Sensitivity &amp; Scenarios'!$C$12)+'Sensitivity &amp; Scenarios'!$C$9*'Sensitivity &amp; Scenarios'!$C$12-'Sensitivity &amp; Scenarios'!$C$10</f>
        <v>8.2567612310464639E-2</v>
      </c>
      <c r="H663" s="209">
        <f>('Sensitivity &amp; Scenarios'!$C$6*(1+$E663)^1*$G663+'Sensitivity &amp; Scenarios'!$C$11*'Sensitivity &amp; Scenarios'!$C$6*((1+$E663)^1-(1+$E663)^0))*'Sensitivity &amp; Scenarios'!$C$18/(1+$C663)^'Sensitivity &amp; Scenarios'!$C$18+('Sensitivity &amp; Scenarios'!$C$6*(1+$E663)^2*$G663+'Sensitivity &amp; Scenarios'!$C$11*'Sensitivity &amp; Scenarios'!$C$6*((1+$E663)^2-(1+$E663)^1))/(1+$C663)^('Sensitivity &amp; Scenarios'!$C$18+1)+('Sensitivity &amp; Scenarios'!$C$6*(1+$E663)^3*$G663+'Sensitivity &amp; Scenarios'!$C$11*'Sensitivity &amp; Scenarios'!$C$6*((1+$E663)^3-(1+$E663)^2))/(1+$C663)^('Sensitivity &amp; Scenarios'!$C$18+2)+('Sensitivity &amp; Scenarios'!$C$6*(1+$E663)^4*$G663+'Sensitivity &amp; Scenarios'!$C$11*'Sensitivity &amp; Scenarios'!$C$6*((1+$E663)^4-(1+$E663)^3))/(1+$C663)^('Sensitivity &amp; Scenarios'!$C$18+3)+('Sensitivity &amp; Scenarios'!$C$6*(1+$E663)^5*$G663+'Sensitivity &amp; Scenarios'!$C$11*'Sensitivity &amp; Scenarios'!$C$6*((1+$E663)^5-(1+$E663)^4))/(1+$C663)^('Sensitivity &amp; Scenarios'!$C$18+4)</f>
        <v>26913.594793428918</v>
      </c>
      <c r="I663" s="209">
        <f>('Sensitivity &amp; Scenarios'!$C$6*(1+$E663)^5*$G663+'Sensitivity &amp; Scenarios'!$C$11*'Sensitivity &amp; Scenarios'!$C$6*((1+$E663)^5-(1+$E663)^4))*(1+$D663)/($C663-$D663)/(1+$C663)^('Sensitivity &amp; Scenarios'!$C$18+4)</f>
        <v>68612.084837979142</v>
      </c>
      <c r="J663" s="209">
        <f>($H663+$I663-'Sensitivity &amp; Scenarios'!$C$15+'Sensitivity &amp; Scenarios'!$C$16)/'Sensitivity &amp; Scenarios'!$C$17</f>
        <v>2297.2598279460894</v>
      </c>
    </row>
    <row r="664" spans="2:10" x14ac:dyDescent="0.3">
      <c r="B664" s="127">
        <v>634</v>
      </c>
      <c r="C664" s="206">
        <f>$D$7+0.244682*$E$7</f>
        <v>0.13999907943997797</v>
      </c>
      <c r="D664" s="206">
        <f>MIN($D$8+0.145515*$E$8,'Debt &amp; Cost of Capital'!$C$38)</f>
        <v>5.587309E-2</v>
      </c>
      <c r="E664" s="207">
        <f>$D$9+-0.174968*$E$9</f>
        <v>0.16197205770254633</v>
      </c>
      <c r="F664" s="207">
        <f>$D$10+1.04564*$E$10</f>
        <v>0.15754767999999991</v>
      </c>
      <c r="G664" s="208">
        <f>$F664*(1-'Sensitivity &amp; Scenarios'!$C$12)+'Sensitivity &amp; Scenarios'!$C$9*'Sensitivity &amp; Scenarios'!$C$12-'Sensitivity &amp; Scenarios'!$C$10</f>
        <v>8.7088347032464639E-2</v>
      </c>
      <c r="H664" s="209">
        <f>('Sensitivity &amp; Scenarios'!$C$6*(1+$E664)^1*$G664+'Sensitivity &amp; Scenarios'!$C$11*'Sensitivity &amp; Scenarios'!$C$6*((1+$E664)^1-(1+$E664)^0))*'Sensitivity &amp; Scenarios'!$C$18/(1+$C664)^'Sensitivity &amp; Scenarios'!$C$18+('Sensitivity &amp; Scenarios'!$C$6*(1+$E664)^2*$G664+'Sensitivity &amp; Scenarios'!$C$11*'Sensitivity &amp; Scenarios'!$C$6*((1+$E664)^2-(1+$E664)^1))/(1+$C664)^('Sensitivity &amp; Scenarios'!$C$18+1)+('Sensitivity &amp; Scenarios'!$C$6*(1+$E664)^3*$G664+'Sensitivity &amp; Scenarios'!$C$11*'Sensitivity &amp; Scenarios'!$C$6*((1+$E664)^3-(1+$E664)^2))/(1+$C664)^('Sensitivity &amp; Scenarios'!$C$18+2)+('Sensitivity &amp; Scenarios'!$C$6*(1+$E664)^4*$G664+'Sensitivity &amp; Scenarios'!$C$11*'Sensitivity &amp; Scenarios'!$C$6*((1+$E664)^4-(1+$E664)^3))/(1+$C664)^('Sensitivity &amp; Scenarios'!$C$18+3)+('Sensitivity &amp; Scenarios'!$C$6*(1+$E664)^5*$G664+'Sensitivity &amp; Scenarios'!$C$11*'Sensitivity &amp; Scenarios'!$C$6*((1+$E664)^5-(1+$E664)^4))/(1+$C664)^('Sensitivity &amp; Scenarios'!$C$18+4)</f>
        <v>25006.361605938422</v>
      </c>
      <c r="I664" s="209">
        <f>('Sensitivity &amp; Scenarios'!$C$6*(1+$E664)^5*$G664+'Sensitivity &amp; Scenarios'!$C$11*'Sensitivity &amp; Scenarios'!$C$6*((1+$E664)^5-(1+$E664)^4))*(1+$D664)/($C664-$D664)/(1+$C664)^('Sensitivity &amp; Scenarios'!$C$18+4)</f>
        <v>70146.499069726706</v>
      </c>
      <c r="J664" s="209">
        <f>($H664+$I664-'Sensitivity &amp; Scenarios'!$C$15+'Sensitivity &amp; Scenarios'!$C$16)/'Sensitivity &amp; Scenarios'!$C$17</f>
        <v>2289.4124451353005</v>
      </c>
    </row>
    <row r="665" spans="2:10" x14ac:dyDescent="0.3">
      <c r="B665" s="127">
        <v>635</v>
      </c>
      <c r="C665" s="206">
        <f>$D$7+-0.865343*$E$7</f>
        <v>0.12889882943997799</v>
      </c>
      <c r="D665" s="206">
        <f>MIN($D$8+-1.621925*$E$8,'Debt &amp; Cost of Capital'!$C$38)</f>
        <v>4.5268450000000002E-2</v>
      </c>
      <c r="E665" s="207">
        <f>$D$9+0.61444*$E$9</f>
        <v>0.18565429770254635</v>
      </c>
      <c r="F665" s="207">
        <f>$D$10+0.631238*$E$10</f>
        <v>0.1525748559999999</v>
      </c>
      <c r="G665" s="208">
        <f>$F665*(1-'Sensitivity &amp; Scenarios'!$C$12)+'Sensitivity &amp; Scenarios'!$C$9*'Sensitivity &amp; Scenarios'!$C$12-'Sensitivity &amp; Scenarios'!$C$10</f>
        <v>8.3367182833264622E-2</v>
      </c>
      <c r="H665" s="209">
        <f>('Sensitivity &amp; Scenarios'!$C$6*(1+$E665)^1*$G665+'Sensitivity &amp; Scenarios'!$C$11*'Sensitivity &amp; Scenarios'!$C$6*((1+$E665)^1-(1+$E665)^0))*'Sensitivity &amp; Scenarios'!$C$18/(1+$C665)^'Sensitivity &amp; Scenarios'!$C$18+('Sensitivity &amp; Scenarios'!$C$6*(1+$E665)^2*$G665+'Sensitivity &amp; Scenarios'!$C$11*'Sensitivity &amp; Scenarios'!$C$6*((1+$E665)^2-(1+$E665)^1))/(1+$C665)^('Sensitivity &amp; Scenarios'!$C$18+1)+('Sensitivity &amp; Scenarios'!$C$6*(1+$E665)^3*$G665+'Sensitivity &amp; Scenarios'!$C$11*'Sensitivity &amp; Scenarios'!$C$6*((1+$E665)^3-(1+$E665)^2))/(1+$C665)^('Sensitivity &amp; Scenarios'!$C$18+2)+('Sensitivity &amp; Scenarios'!$C$6*(1+$E665)^4*$G665+'Sensitivity &amp; Scenarios'!$C$11*'Sensitivity &amp; Scenarios'!$C$6*((1+$E665)^4-(1+$E665)^3))/(1+$C665)^('Sensitivity &amp; Scenarios'!$C$18+3)+('Sensitivity &amp; Scenarios'!$C$6*(1+$E665)^5*$G665+'Sensitivity &amp; Scenarios'!$C$11*'Sensitivity &amp; Scenarios'!$C$6*((1+$E665)^5-(1+$E665)^4))/(1+$C665)^('Sensitivity &amp; Scenarios'!$C$18+4)</f>
        <v>26950.084799646371</v>
      </c>
      <c r="I665" s="209">
        <f>('Sensitivity &amp; Scenarios'!$C$6*(1+$E665)^5*$G665+'Sensitivity &amp; Scenarios'!$C$11*'Sensitivity &amp; Scenarios'!$C$6*((1+$E665)^5-(1+$E665)^4))*(1+$D665)/($C665-$D665)/(1+$C665)^('Sensitivity &amp; Scenarios'!$C$18+4)</f>
        <v>79406.567074301041</v>
      </c>
      <c r="J665" s="209">
        <f>($H665+$I665-'Sensitivity &amp; Scenarios'!$C$15+'Sensitivity &amp; Scenarios'!$C$16)/'Sensitivity &amp; Scenarios'!$C$17</f>
        <v>2525.2385401091119</v>
      </c>
    </row>
    <row r="666" spans="2:10" x14ac:dyDescent="0.3">
      <c r="B666" s="127">
        <v>636</v>
      </c>
      <c r="C666" s="206">
        <f>$D$7+0.480241*$E$7</f>
        <v>0.14235466943997799</v>
      </c>
      <c r="D666" s="206">
        <f>MIN($D$8+0.407728*$E$8,'Debt &amp; Cost of Capital'!$C$38)</f>
        <v>5.7446367999999998E-2</v>
      </c>
      <c r="E666" s="207">
        <f>$D$9+-0.32054*$E$9</f>
        <v>0.15760489770254635</v>
      </c>
      <c r="F666" s="207">
        <f>$D$10+0.787483*$E$10</f>
        <v>0.15444979599999992</v>
      </c>
      <c r="G666" s="208">
        <f>$F666*(1-'Sensitivity &amp; Scenarios'!$C$12)+'Sensitivity &amp; Scenarios'!$C$9*'Sensitivity &amp; Scenarios'!$C$12-'Sensitivity &amp; Scenarios'!$C$10</f>
        <v>8.4770200435264648E-2</v>
      </c>
      <c r="H666" s="209">
        <f>('Sensitivity &amp; Scenarios'!$C$6*(1+$E666)^1*$G666+'Sensitivity &amp; Scenarios'!$C$11*'Sensitivity &amp; Scenarios'!$C$6*((1+$E666)^1-(1+$E666)^0))*'Sensitivity &amp; Scenarios'!$C$18/(1+$C666)^'Sensitivity &amp; Scenarios'!$C$18+('Sensitivity &amp; Scenarios'!$C$6*(1+$E666)^2*$G666+'Sensitivity &amp; Scenarios'!$C$11*'Sensitivity &amp; Scenarios'!$C$6*((1+$E666)^2-(1+$E666)^1))/(1+$C666)^('Sensitivity &amp; Scenarios'!$C$18+1)+('Sensitivity &amp; Scenarios'!$C$6*(1+$E666)^3*$G666+'Sensitivity &amp; Scenarios'!$C$11*'Sensitivity &amp; Scenarios'!$C$6*((1+$E666)^3-(1+$E666)^2))/(1+$C666)^('Sensitivity &amp; Scenarios'!$C$18+2)+('Sensitivity &amp; Scenarios'!$C$6*(1+$E666)^4*$G666+'Sensitivity &amp; Scenarios'!$C$11*'Sensitivity &amp; Scenarios'!$C$6*((1+$E666)^4-(1+$E666)^3))/(1+$C666)^('Sensitivity &amp; Scenarios'!$C$18+3)+('Sensitivity &amp; Scenarios'!$C$6*(1+$E666)^5*$G666+'Sensitivity &amp; Scenarios'!$C$11*'Sensitivity &amp; Scenarios'!$C$6*((1+$E666)^5-(1+$E666)^4))/(1+$C666)^('Sensitivity &amp; Scenarios'!$C$18+4)</f>
        <v>23922.910174652068</v>
      </c>
      <c r="I666" s="209">
        <f>('Sensitivity &amp; Scenarios'!$C$6*(1+$E666)^5*$G666+'Sensitivity &amp; Scenarios'!$C$11*'Sensitivity &amp; Scenarios'!$C$6*((1+$E666)^5-(1+$E666)^4))*(1+$D666)/($C666-$D666)/(1+$C666)^('Sensitivity &amp; Scenarios'!$C$18+4)</f>
        <v>65888.275840411152</v>
      </c>
      <c r="J666" s="209">
        <f>($H666+$I666-'Sensitivity &amp; Scenarios'!$C$15+'Sensitivity &amp; Scenarios'!$C$16)/'Sensitivity &amp; Scenarios'!$C$17</f>
        <v>2176.9767299799314</v>
      </c>
    </row>
    <row r="667" spans="2:10" x14ac:dyDescent="0.3">
      <c r="B667" s="127">
        <v>637</v>
      </c>
      <c r="C667" s="206">
        <f>$D$7+-0.045558*$E$7</f>
        <v>0.13709667943997797</v>
      </c>
      <c r="D667" s="206">
        <f>MIN($D$8+-0.487114*$E$8,'Debt &amp; Cost of Capital'!$C$38)</f>
        <v>5.2077315999999998E-2</v>
      </c>
      <c r="E667" s="207">
        <f>$D$9+-0.311891*$E$9</f>
        <v>0.15786436770254633</v>
      </c>
      <c r="F667" s="207">
        <f>$D$10+2.02064*$E$10</f>
        <v>0.1692476799999999</v>
      </c>
      <c r="G667" s="208">
        <f>$F667*(1-'Sensitivity &amp; Scenarios'!$C$12)+'Sensitivity &amp; Scenarios'!$C$9*'Sensitivity &amp; Scenarios'!$C$12-'Sensitivity &amp; Scenarios'!$C$10</f>
        <v>9.5843457032464635E-2</v>
      </c>
      <c r="H667" s="209">
        <f>('Sensitivity &amp; Scenarios'!$C$6*(1+$E667)^1*$G667+'Sensitivity &amp; Scenarios'!$C$11*'Sensitivity &amp; Scenarios'!$C$6*((1+$E667)^1-(1+$E667)^0))*'Sensitivity &amp; Scenarios'!$C$18/(1+$C667)^'Sensitivity &amp; Scenarios'!$C$18+('Sensitivity &amp; Scenarios'!$C$6*(1+$E667)^2*$G667+'Sensitivity &amp; Scenarios'!$C$11*'Sensitivity &amp; Scenarios'!$C$6*((1+$E667)^2-(1+$E667)^1))/(1+$C667)^('Sensitivity &amp; Scenarios'!$C$18+1)+('Sensitivity &amp; Scenarios'!$C$6*(1+$E667)^3*$G667+'Sensitivity &amp; Scenarios'!$C$11*'Sensitivity &amp; Scenarios'!$C$6*((1+$E667)^3-(1+$E667)^2))/(1+$C667)^('Sensitivity &amp; Scenarios'!$C$18+2)+('Sensitivity &amp; Scenarios'!$C$6*(1+$E667)^4*$G667+'Sensitivity &amp; Scenarios'!$C$11*'Sensitivity &amp; Scenarios'!$C$6*((1+$E667)^4-(1+$E667)^3))/(1+$C667)^('Sensitivity &amp; Scenarios'!$C$18+3)+('Sensitivity &amp; Scenarios'!$C$6*(1+$E667)^5*$G667+'Sensitivity &amp; Scenarios'!$C$11*'Sensitivity &amp; Scenarios'!$C$6*((1+$E667)^5-(1+$E667)^4))/(1+$C667)^('Sensitivity &amp; Scenarios'!$C$18+4)</f>
        <v>26951.125319906379</v>
      </c>
      <c r="I667" s="209">
        <f>('Sensitivity &amp; Scenarios'!$C$6*(1+$E667)^5*$G667+'Sensitivity &amp; Scenarios'!$C$11*'Sensitivity &amp; Scenarios'!$C$6*((1+$E667)^5-(1+$E667)^4))*(1+$D667)/($C667-$D667)/(1+$C667)^('Sensitivity &amp; Scenarios'!$C$18+4)</f>
        <v>74404.931333276196</v>
      </c>
      <c r="J667" s="209">
        <f>($H667+$I667-'Sensitivity &amp; Scenarios'!$C$15+'Sensitivity &amp; Scenarios'!$C$16)/'Sensitivity &amp; Scenarios'!$C$17</f>
        <v>2419.9821297934254</v>
      </c>
    </row>
    <row r="668" spans="2:10" x14ac:dyDescent="0.3">
      <c r="B668" s="127">
        <v>638</v>
      </c>
      <c r="C668" s="206">
        <f>$D$7+-1.734976*$E$7</f>
        <v>0.12020249943997798</v>
      </c>
      <c r="D668" s="206">
        <f>MIN($D$8+0.499788*$E$8,'Debt &amp; Cost of Capital'!$C$38)</f>
        <v>5.7998727999999999E-2</v>
      </c>
      <c r="E668" s="207">
        <f>$D$9+-1.67911*$E$9</f>
        <v>0.11684779770254633</v>
      </c>
      <c r="F668" s="207">
        <f>$D$10+-0.108233*$E$10</f>
        <v>0.14370120399999992</v>
      </c>
      <c r="G668" s="208">
        <f>$F668*(1-'Sensitivity &amp; Scenarios'!$C$12)+'Sensitivity &amp; Scenarios'!$C$9*'Sensitivity &amp; Scenarios'!$C$12-'Sensitivity &amp; Scenarios'!$C$10</f>
        <v>7.6727029041664646E-2</v>
      </c>
      <c r="H668" s="209">
        <f>('Sensitivity &amp; Scenarios'!$C$6*(1+$E668)^1*$G668+'Sensitivity &amp; Scenarios'!$C$11*'Sensitivity &amp; Scenarios'!$C$6*((1+$E668)^1-(1+$E668)^0))*'Sensitivity &amp; Scenarios'!$C$18/(1+$C668)^'Sensitivity &amp; Scenarios'!$C$18+('Sensitivity &amp; Scenarios'!$C$6*(1+$E668)^2*$G668+'Sensitivity &amp; Scenarios'!$C$11*'Sensitivity &amp; Scenarios'!$C$6*((1+$E668)^2-(1+$E668)^1))/(1+$C668)^('Sensitivity &amp; Scenarios'!$C$18+1)+('Sensitivity &amp; Scenarios'!$C$6*(1+$E668)^3*$G668+'Sensitivity &amp; Scenarios'!$C$11*'Sensitivity &amp; Scenarios'!$C$6*((1+$E668)^3-(1+$E668)^2))/(1+$C668)^('Sensitivity &amp; Scenarios'!$C$18+2)+('Sensitivity &amp; Scenarios'!$C$6*(1+$E668)^4*$G668+'Sensitivity &amp; Scenarios'!$C$11*'Sensitivity &amp; Scenarios'!$C$6*((1+$E668)^4-(1+$E668)^3))/(1+$C668)^('Sensitivity &amp; Scenarios'!$C$18+3)+('Sensitivity &amp; Scenarios'!$C$6*(1+$E668)^5*$G668+'Sensitivity &amp; Scenarios'!$C$11*'Sensitivity &amp; Scenarios'!$C$6*((1+$E668)^5-(1+$E668)^4))/(1+$C668)^('Sensitivity &amp; Scenarios'!$C$18+4)</f>
        <v>19955.714838906693</v>
      </c>
      <c r="I668" s="209">
        <f>('Sensitivity &amp; Scenarios'!$C$6*(1+$E668)^5*$G668+'Sensitivity &amp; Scenarios'!$C$11*'Sensitivity &amp; Scenarios'!$C$6*((1+$E668)^5-(1+$E668)^4))*(1+$D668)/($C668-$D668)/(1+$C668)^('Sensitivity &amp; Scenarios'!$C$18+4)</f>
        <v>72858.927050649523</v>
      </c>
      <c r="J668" s="209">
        <f>($H668+$I668-'Sensitivity &amp; Scenarios'!$C$15+'Sensitivity &amp; Scenarios'!$C$16)/'Sensitivity &amp; Scenarios'!$C$17</f>
        <v>2240.1958008973211</v>
      </c>
    </row>
    <row r="669" spans="2:10" x14ac:dyDescent="0.3">
      <c r="B669" s="127">
        <v>639</v>
      </c>
      <c r="C669" s="206">
        <f>$D$7+-0.433627*$E$7</f>
        <v>0.13321598943997798</v>
      </c>
      <c r="D669" s="206">
        <f>MIN($D$8+-2.085028*$E$8,'Debt &amp; Cost of Capital'!$C$38)</f>
        <v>4.2489831999999998E-2</v>
      </c>
      <c r="E669" s="207">
        <f>$D$9+0.389038*$E$9</f>
        <v>0.17889223770254634</v>
      </c>
      <c r="F669" s="207">
        <f>$D$10+-0.380038*$E$10</f>
        <v>0.14043954399999992</v>
      </c>
      <c r="G669" s="208">
        <f>$F669*(1-'Sensitivity &amp; Scenarios'!$C$12)+'Sensitivity &amp; Scenarios'!$C$9*'Sensitivity &amp; Scenarios'!$C$12-'Sensitivity &amp; Scenarios'!$C$10</f>
        <v>7.4286328863664638E-2</v>
      </c>
      <c r="H669" s="209">
        <f>('Sensitivity &amp; Scenarios'!$C$6*(1+$E669)^1*$G669+'Sensitivity &amp; Scenarios'!$C$11*'Sensitivity &amp; Scenarios'!$C$6*((1+$E669)^1-(1+$E669)^0))*'Sensitivity &amp; Scenarios'!$C$18/(1+$C669)^'Sensitivity &amp; Scenarios'!$C$18+('Sensitivity &amp; Scenarios'!$C$6*(1+$E669)^2*$G669+'Sensitivity &amp; Scenarios'!$C$11*'Sensitivity &amp; Scenarios'!$C$6*((1+$E669)^2-(1+$E669)^1))/(1+$C669)^('Sensitivity &amp; Scenarios'!$C$18+1)+('Sensitivity &amp; Scenarios'!$C$6*(1+$E669)^3*$G669+'Sensitivity &amp; Scenarios'!$C$11*'Sensitivity &amp; Scenarios'!$C$6*((1+$E669)^3-(1+$E669)^2))/(1+$C669)^('Sensitivity &amp; Scenarios'!$C$18+2)+('Sensitivity &amp; Scenarios'!$C$6*(1+$E669)^4*$G669+'Sensitivity &amp; Scenarios'!$C$11*'Sensitivity &amp; Scenarios'!$C$6*((1+$E669)^4-(1+$E669)^3))/(1+$C669)^('Sensitivity &amp; Scenarios'!$C$18+3)+('Sensitivity &amp; Scenarios'!$C$6*(1+$E669)^5*$G669+'Sensitivity &amp; Scenarios'!$C$11*'Sensitivity &amp; Scenarios'!$C$6*((1+$E669)^5-(1+$E669)^4))/(1+$C669)^('Sensitivity &amp; Scenarios'!$C$18+4)</f>
        <v>23666.43417134029</v>
      </c>
      <c r="I669" s="209">
        <f>('Sensitivity &amp; Scenarios'!$C$6*(1+$E669)^5*$G669+'Sensitivity &amp; Scenarios'!$C$11*'Sensitivity &amp; Scenarios'!$C$6*((1+$E669)^5-(1+$E669)^4))*(1+$D669)/($C669-$D669)/(1+$C669)^('Sensitivity &amp; Scenarios'!$C$18+4)</f>
        <v>63039.056747553834</v>
      </c>
      <c r="J669" s="209">
        <f>($H669+$I669-'Sensitivity &amp; Scenarios'!$C$15+'Sensitivity &amp; Scenarios'!$C$16)/'Sensitivity &amp; Scenarios'!$C$17</f>
        <v>2111.6056485533904</v>
      </c>
    </row>
    <row r="670" spans="2:10" x14ac:dyDescent="0.3">
      <c r="B670" s="127">
        <v>640</v>
      </c>
      <c r="C670" s="206">
        <f>$D$7+-2.099206*$E$7</f>
        <v>0.11656019943997797</v>
      </c>
      <c r="D670" s="206">
        <f>MIN($D$8+0.839568*$E$8,'Debt &amp; Cost of Capital'!$C$38)</f>
        <v>6.0037408E-2</v>
      </c>
      <c r="E670" s="207">
        <f>$D$9+1.435006*$E$9</f>
        <v>0.21027127770254633</v>
      </c>
      <c r="F670" s="207">
        <f>$D$10+1.490124*$E$10</f>
        <v>0.16288148799999991</v>
      </c>
      <c r="G670" s="208">
        <f>$F670*(1-'Sensitivity &amp; Scenarios'!$C$12)+'Sensitivity &amp; Scenarios'!$C$9*'Sensitivity &amp; Scenarios'!$C$12-'Sensitivity &amp; Scenarios'!$C$10</f>
        <v>9.1079635558864641E-2</v>
      </c>
      <c r="H670" s="209">
        <f>('Sensitivity &amp; Scenarios'!$C$6*(1+$E670)^1*$G670+'Sensitivity &amp; Scenarios'!$C$11*'Sensitivity &amp; Scenarios'!$C$6*((1+$E670)^1-(1+$E670)^0))*'Sensitivity &amp; Scenarios'!$C$18/(1+$C670)^'Sensitivity &amp; Scenarios'!$C$18+('Sensitivity &amp; Scenarios'!$C$6*(1+$E670)^2*$G670+'Sensitivity &amp; Scenarios'!$C$11*'Sensitivity &amp; Scenarios'!$C$6*((1+$E670)^2-(1+$E670)^1))/(1+$C670)^('Sensitivity &amp; Scenarios'!$C$18+1)+('Sensitivity &amp; Scenarios'!$C$6*(1+$E670)^3*$G670+'Sensitivity &amp; Scenarios'!$C$11*'Sensitivity &amp; Scenarios'!$C$6*((1+$E670)^3-(1+$E670)^2))/(1+$C670)^('Sensitivity &amp; Scenarios'!$C$18+2)+('Sensitivity &amp; Scenarios'!$C$6*(1+$E670)^4*$G670+'Sensitivity &amp; Scenarios'!$C$11*'Sensitivity &amp; Scenarios'!$C$6*((1+$E670)^4-(1+$E670)^3))/(1+$C670)^('Sensitivity &amp; Scenarios'!$C$18+3)+('Sensitivity &amp; Scenarios'!$C$6*(1+$E670)^5*$G670+'Sensitivity &amp; Scenarios'!$C$11*'Sensitivity &amp; Scenarios'!$C$6*((1+$E670)^5-(1+$E670)^4))/(1+$C670)^('Sensitivity &amp; Scenarios'!$C$18+4)</f>
        <v>32603.155703549834</v>
      </c>
      <c r="I670" s="209">
        <f>('Sensitivity &amp; Scenarios'!$C$6*(1+$E670)^5*$G670+'Sensitivity &amp; Scenarios'!$C$11*'Sensitivity &amp; Scenarios'!$C$6*((1+$E670)^5-(1+$E670)^4))*(1+$D670)/($C670-$D670)/(1+$C670)^('Sensitivity &amp; Scenarios'!$C$18+4)</f>
        <v>152198.57110706749</v>
      </c>
      <c r="J670" s="209">
        <f>($H670+$I670-'Sensitivity &amp; Scenarios'!$C$15+'Sensitivity &amp; Scenarios'!$C$16)/'Sensitivity &amp; Scenarios'!$C$17</f>
        <v>4176.4113765931643</v>
      </c>
    </row>
    <row r="671" spans="2:10" x14ac:dyDescent="0.3">
      <c r="B671" s="127">
        <v>641</v>
      </c>
      <c r="C671" s="206">
        <f>$D$7+0.358956*$E$7</f>
        <v>0.14114181943997797</v>
      </c>
      <c r="D671" s="206">
        <f>MIN($D$8+0.046058*$E$8,'Debt &amp; Cost of Capital'!$C$38)</f>
        <v>5.5276348000000003E-2</v>
      </c>
      <c r="E671" s="207">
        <f>$D$9+1.328157*$E$9</f>
        <v>0.20706580770254635</v>
      </c>
      <c r="F671" s="207">
        <f>$D$10+1.682384*$E$10</f>
        <v>0.1651886079999999</v>
      </c>
      <c r="G671" s="208">
        <f>$F671*(1-'Sensitivity &amp; Scenarios'!$C$12)+'Sensitivity &amp; Scenarios'!$C$9*'Sensitivity &amp; Scenarios'!$C$12-'Sensitivity &amp; Scenarios'!$C$10</f>
        <v>9.2806053454864645E-2</v>
      </c>
      <c r="H671" s="209">
        <f>('Sensitivity &amp; Scenarios'!$C$6*(1+$E671)^1*$G671+'Sensitivity &amp; Scenarios'!$C$11*'Sensitivity &amp; Scenarios'!$C$6*((1+$E671)^1-(1+$E671)^0))*'Sensitivity &amp; Scenarios'!$C$18/(1+$C671)^'Sensitivity &amp; Scenarios'!$C$18+('Sensitivity &amp; Scenarios'!$C$6*(1+$E671)^2*$G671+'Sensitivity &amp; Scenarios'!$C$11*'Sensitivity &amp; Scenarios'!$C$6*((1+$E671)^2-(1+$E671)^1))/(1+$C671)^('Sensitivity &amp; Scenarios'!$C$18+1)+('Sensitivity &amp; Scenarios'!$C$6*(1+$E671)^3*$G671+'Sensitivity &amp; Scenarios'!$C$11*'Sensitivity &amp; Scenarios'!$C$6*((1+$E671)^3-(1+$E671)^2))/(1+$C671)^('Sensitivity &amp; Scenarios'!$C$18+2)+('Sensitivity &amp; Scenarios'!$C$6*(1+$E671)^4*$G671+'Sensitivity &amp; Scenarios'!$C$11*'Sensitivity &amp; Scenarios'!$C$6*((1+$E671)^4-(1+$E671)^3))/(1+$C671)^('Sensitivity &amp; Scenarios'!$C$18+3)+('Sensitivity &amp; Scenarios'!$C$6*(1+$E671)^5*$G671+'Sensitivity &amp; Scenarios'!$C$11*'Sensitivity &amp; Scenarios'!$C$6*((1+$E671)^5-(1+$E671)^4))/(1+$C671)^('Sensitivity &amp; Scenarios'!$C$18+4)</f>
        <v>30741.631425377647</v>
      </c>
      <c r="I671" s="209">
        <f>('Sensitivity &amp; Scenarios'!$C$6*(1+$E671)^5*$G671+'Sensitivity &amp; Scenarios'!$C$11*'Sensitivity &amp; Scenarios'!$C$6*((1+$E671)^5-(1+$E671)^4))*(1+$D671)/($C671-$D671)/(1+$C671)^('Sensitivity &amp; Scenarios'!$C$18+4)</f>
        <v>90177.948277384989</v>
      </c>
      <c r="J671" s="209">
        <f>($H671+$I671-'Sensitivity &amp; Scenarios'!$C$15+'Sensitivity &amp; Scenarios'!$C$16)/'Sensitivity &amp; Scenarios'!$C$17</f>
        <v>2831.7703506788644</v>
      </c>
    </row>
    <row r="672" spans="2:10" x14ac:dyDescent="0.3">
      <c r="B672" s="127">
        <v>642</v>
      </c>
      <c r="C672" s="206">
        <f>$D$7+1.133569*$E$7</f>
        <v>0.14888794943997799</v>
      </c>
      <c r="D672" s="206">
        <f>MIN($D$8+-0.941538*$E$8,'Debt &amp; Cost of Capital'!$C$38)</f>
        <v>4.9350772000000001E-2</v>
      </c>
      <c r="E672" s="207">
        <f>$D$9+0.201345*$E$9</f>
        <v>0.17326144770254634</v>
      </c>
      <c r="F672" s="207">
        <f>$D$10+0.439516*$E$10</f>
        <v>0.15027419199999992</v>
      </c>
      <c r="G672" s="208">
        <f>$F672*(1-'Sensitivity &amp; Scenarios'!$C$12)+'Sensitivity &amp; Scenarios'!$C$9*'Sensitivity &amp; Scenarios'!$C$12-'Sensitivity &amp; Scenarios'!$C$10</f>
        <v>8.1645595962064638E-2</v>
      </c>
      <c r="H672" s="209">
        <f>('Sensitivity &amp; Scenarios'!$C$6*(1+$E672)^1*$G672+'Sensitivity &amp; Scenarios'!$C$11*'Sensitivity &amp; Scenarios'!$C$6*((1+$E672)^1-(1+$E672)^0))*'Sensitivity &amp; Scenarios'!$C$18/(1+$C672)^'Sensitivity &amp; Scenarios'!$C$18+('Sensitivity &amp; Scenarios'!$C$6*(1+$E672)^2*$G672+'Sensitivity &amp; Scenarios'!$C$11*'Sensitivity &amp; Scenarios'!$C$6*((1+$E672)^2-(1+$E672)^1))/(1+$C672)^('Sensitivity &amp; Scenarios'!$C$18+1)+('Sensitivity &amp; Scenarios'!$C$6*(1+$E672)^3*$G672+'Sensitivity &amp; Scenarios'!$C$11*'Sensitivity &amp; Scenarios'!$C$6*((1+$E672)^3-(1+$E672)^2))/(1+$C672)^('Sensitivity &amp; Scenarios'!$C$18+2)+('Sensitivity &amp; Scenarios'!$C$6*(1+$E672)^4*$G672+'Sensitivity &amp; Scenarios'!$C$11*'Sensitivity &amp; Scenarios'!$C$6*((1+$E672)^4-(1+$E672)^3))/(1+$C672)^('Sensitivity &amp; Scenarios'!$C$18+3)+('Sensitivity &amp; Scenarios'!$C$6*(1+$E672)^5*$G672+'Sensitivity &amp; Scenarios'!$C$11*'Sensitivity &amp; Scenarios'!$C$6*((1+$E672)^5-(1+$E672)^4))/(1+$C672)^('Sensitivity &amp; Scenarios'!$C$18+4)</f>
        <v>24114.225946882791</v>
      </c>
      <c r="I672" s="209">
        <f>('Sensitivity &amp; Scenarios'!$C$6*(1+$E672)^5*$G672+'Sensitivity &amp; Scenarios'!$C$11*'Sensitivity &amp; Scenarios'!$C$6*((1+$E672)^5-(1+$E672)^4))*(1+$D672)/($C672-$D672)/(1+$C672)^('Sensitivity &amp; Scenarios'!$C$18+4)</f>
        <v>57012.962412117173</v>
      </c>
      <c r="J672" s="209">
        <f>($H672+$I672-'Sensitivity &amp; Scenarios'!$C$15+'Sensitivity &amp; Scenarios'!$C$16)/'Sensitivity &amp; Scenarios'!$C$17</f>
        <v>1994.1892056725253</v>
      </c>
    </row>
    <row r="673" spans="2:10" x14ac:dyDescent="0.3">
      <c r="B673" s="127">
        <v>643</v>
      </c>
      <c r="C673" s="206">
        <f>$D$7+-1.809617*$E$7</f>
        <v>0.11945608943997799</v>
      </c>
      <c r="D673" s="206">
        <f>MIN($D$8+0.469361*$E$8,'Debt &amp; Cost of Capital'!$C$38)</f>
        <v>5.7816166000000002E-2</v>
      </c>
      <c r="E673" s="207">
        <f>$D$9+2.272992*$E$9</f>
        <v>0.23541085770254633</v>
      </c>
      <c r="F673" s="207">
        <f>$D$10+0.639936*$E$10</f>
        <v>0.15267923199999991</v>
      </c>
      <c r="G673" s="208">
        <f>$F673*(1-'Sensitivity &amp; Scenarios'!$C$12)+'Sensitivity &amp; Scenarios'!$C$9*'Sensitivity &amp; Scenarios'!$C$12-'Sensitivity &amp; Scenarios'!$C$10</f>
        <v>8.3445287394064635E-2</v>
      </c>
      <c r="H673" s="209">
        <f>('Sensitivity &amp; Scenarios'!$C$6*(1+$E673)^1*$G673+'Sensitivity &amp; Scenarios'!$C$11*'Sensitivity &amp; Scenarios'!$C$6*((1+$E673)^1-(1+$E673)^0))*'Sensitivity &amp; Scenarios'!$C$18/(1+$C673)^'Sensitivity &amp; Scenarios'!$C$18+('Sensitivity &amp; Scenarios'!$C$6*(1+$E673)^2*$G673+'Sensitivity &amp; Scenarios'!$C$11*'Sensitivity &amp; Scenarios'!$C$6*((1+$E673)^2-(1+$E673)^1))/(1+$C673)^('Sensitivity &amp; Scenarios'!$C$18+1)+('Sensitivity &amp; Scenarios'!$C$6*(1+$E673)^3*$G673+'Sensitivity &amp; Scenarios'!$C$11*'Sensitivity &amp; Scenarios'!$C$6*((1+$E673)^3-(1+$E673)^2))/(1+$C673)^('Sensitivity &amp; Scenarios'!$C$18+2)+('Sensitivity &amp; Scenarios'!$C$6*(1+$E673)^4*$G673+'Sensitivity &amp; Scenarios'!$C$11*'Sensitivity &amp; Scenarios'!$C$6*((1+$E673)^4-(1+$E673)^3))/(1+$C673)^('Sensitivity &amp; Scenarios'!$C$18+3)+('Sensitivity &amp; Scenarios'!$C$6*(1+$E673)^5*$G673+'Sensitivity &amp; Scenarios'!$C$11*'Sensitivity &amp; Scenarios'!$C$6*((1+$E673)^5-(1+$E673)^4))/(1+$C673)^('Sensitivity &amp; Scenarios'!$C$18+4)</f>
        <v>32821.574069369402</v>
      </c>
      <c r="I673" s="209">
        <f>('Sensitivity &amp; Scenarios'!$C$6*(1+$E673)^5*$G673+'Sensitivity &amp; Scenarios'!$C$11*'Sensitivity &amp; Scenarios'!$C$6*((1+$E673)^5-(1+$E673)^4))*(1+$D673)/($C673-$D673)/(1+$C673)^('Sensitivity &amp; Scenarios'!$C$18+4)</f>
        <v>144501.6818855349</v>
      </c>
      <c r="J673" s="209">
        <f>($H673+$I673-'Sensitivity &amp; Scenarios'!$C$15+'Sensitivity &amp; Scenarios'!$C$16)/'Sensitivity &amp; Scenarios'!$C$17</f>
        <v>4018.9987162654138</v>
      </c>
    </row>
    <row r="674" spans="2:10" x14ac:dyDescent="0.3">
      <c r="B674" s="127">
        <v>644</v>
      </c>
      <c r="C674" s="206">
        <f>$D$7+1.473413*$E$7</f>
        <v>0.15228638943997799</v>
      </c>
      <c r="D674" s="206">
        <f>MIN($D$8+0.182915*$E$8,'Debt &amp; Cost of Capital'!$C$38)</f>
        <v>5.609749E-2</v>
      </c>
      <c r="E674" s="207">
        <f>$D$9+-0.073218*$E$9</f>
        <v>0.16502455770254634</v>
      </c>
      <c r="F674" s="207">
        <f>$D$10+0.381271*$E$10</f>
        <v>0.14957525199999991</v>
      </c>
      <c r="G674" s="208">
        <f>$F674*(1-'Sensitivity &amp; Scenarios'!$C$12)+'Sensitivity &amp; Scenarios'!$C$9*'Sensitivity &amp; Scenarios'!$C$12-'Sensitivity &amp; Scenarios'!$C$10</f>
        <v>8.1122579160064642E-2</v>
      </c>
      <c r="H674" s="209">
        <f>('Sensitivity &amp; Scenarios'!$C$6*(1+$E674)^1*$G674+'Sensitivity &amp; Scenarios'!$C$11*'Sensitivity &amp; Scenarios'!$C$6*((1+$E674)^1-(1+$E674)^0))*'Sensitivity &amp; Scenarios'!$C$18/(1+$C674)^'Sensitivity &amp; Scenarios'!$C$18+('Sensitivity &amp; Scenarios'!$C$6*(1+$E674)^2*$G674+'Sensitivity &amp; Scenarios'!$C$11*'Sensitivity &amp; Scenarios'!$C$6*((1+$E674)^2-(1+$E674)^1))/(1+$C674)^('Sensitivity &amp; Scenarios'!$C$18+1)+('Sensitivity &amp; Scenarios'!$C$6*(1+$E674)^3*$G674+'Sensitivity &amp; Scenarios'!$C$11*'Sensitivity &amp; Scenarios'!$C$6*((1+$E674)^3-(1+$E674)^2))/(1+$C674)^('Sensitivity &amp; Scenarios'!$C$18+2)+('Sensitivity &amp; Scenarios'!$C$6*(1+$E674)^4*$G674+'Sensitivity &amp; Scenarios'!$C$11*'Sensitivity &amp; Scenarios'!$C$6*((1+$E674)^4-(1+$E674)^3))/(1+$C674)^('Sensitivity &amp; Scenarios'!$C$18+3)+('Sensitivity &amp; Scenarios'!$C$6*(1+$E674)^5*$G674+'Sensitivity &amp; Scenarios'!$C$11*'Sensitivity &amp; Scenarios'!$C$6*((1+$E674)^5-(1+$E674)^4))/(1+$C674)^('Sensitivity &amp; Scenarios'!$C$18+4)</f>
        <v>23099.853212831375</v>
      </c>
      <c r="I674" s="209">
        <f>('Sensitivity &amp; Scenarios'!$C$6*(1+$E674)^5*$G674+'Sensitivity &amp; Scenarios'!$C$11*'Sensitivity &amp; Scenarios'!$C$6*((1+$E674)^5-(1+$E674)^4))*(1+$D674)/($C674-$D674)/(1+$C674)^('Sensitivity &amp; Scenarios'!$C$18+4)</f>
        <v>55857.624479815437</v>
      </c>
      <c r="J674" s="209">
        <f>($H674+$I674-'Sensitivity &amp; Scenarios'!$C$15+'Sensitivity &amp; Scenarios'!$C$16)/'Sensitivity &amp; Scenarios'!$C$17</f>
        <v>1948.5194511569705</v>
      </c>
    </row>
    <row r="675" spans="2:10" x14ac:dyDescent="0.3">
      <c r="B675" s="127">
        <v>645</v>
      </c>
      <c r="C675" s="206">
        <f>$D$7+-0.815827*$E$7</f>
        <v>0.12939398943997799</v>
      </c>
      <c r="D675" s="206">
        <f>MIN($D$8+-0.963775*$E$8,'Debt &amp; Cost of Capital'!$C$38)</f>
        <v>4.921735E-2</v>
      </c>
      <c r="E675" s="207">
        <f>$D$9+1.266305*$E$9</f>
        <v>0.20521024770254634</v>
      </c>
      <c r="F675" s="207">
        <f>$D$10+1.372342*$E$10</f>
        <v>0.16146810399999992</v>
      </c>
      <c r="G675" s="208">
        <f>$F675*(1-'Sensitivity &amp; Scenarios'!$C$12)+'Sensitivity &amp; Scenarios'!$C$9*'Sensitivity &amp; Scenarios'!$C$12-'Sensitivity &amp; Scenarios'!$C$10</f>
        <v>9.0022000311664657E-2</v>
      </c>
      <c r="H675" s="209">
        <f>('Sensitivity &amp; Scenarios'!$C$6*(1+$E675)^1*$G675+'Sensitivity &amp; Scenarios'!$C$11*'Sensitivity &amp; Scenarios'!$C$6*((1+$E675)^1-(1+$E675)^0))*'Sensitivity &amp; Scenarios'!$C$18/(1+$C675)^'Sensitivity &amp; Scenarios'!$C$18+('Sensitivity &amp; Scenarios'!$C$6*(1+$E675)^2*$G675+'Sensitivity &amp; Scenarios'!$C$11*'Sensitivity &amp; Scenarios'!$C$6*((1+$E675)^2-(1+$E675)^1))/(1+$C675)^('Sensitivity &amp; Scenarios'!$C$18+1)+('Sensitivity &amp; Scenarios'!$C$6*(1+$E675)^3*$G675+'Sensitivity &amp; Scenarios'!$C$11*'Sensitivity &amp; Scenarios'!$C$6*((1+$E675)^3-(1+$E675)^2))/(1+$C675)^('Sensitivity &amp; Scenarios'!$C$18+2)+('Sensitivity &amp; Scenarios'!$C$6*(1+$E675)^4*$G675+'Sensitivity &amp; Scenarios'!$C$11*'Sensitivity &amp; Scenarios'!$C$6*((1+$E675)^4-(1+$E675)^3))/(1+$C675)^('Sensitivity &amp; Scenarios'!$C$18+3)+('Sensitivity &amp; Scenarios'!$C$6*(1+$E675)^5*$G675+'Sensitivity &amp; Scenarios'!$C$11*'Sensitivity &amp; Scenarios'!$C$6*((1+$E675)^5-(1+$E675)^4))/(1+$C675)^('Sensitivity &amp; Scenarios'!$C$18+4)</f>
        <v>30694.185638178715</v>
      </c>
      <c r="I675" s="209">
        <f>('Sensitivity &amp; Scenarios'!$C$6*(1+$E675)^5*$G675+'Sensitivity &amp; Scenarios'!$C$11*'Sensitivity &amp; Scenarios'!$C$6*((1+$E675)^5-(1+$E675)^4))*(1+$D675)/($C675-$D675)/(1+$C675)^('Sensitivity &amp; Scenarios'!$C$18+4)</f>
        <v>97347.872740218314</v>
      </c>
      <c r="J675" s="209">
        <f>($H675+$I675-'Sensitivity &amp; Scenarios'!$C$15+'Sensitivity &amp; Scenarios'!$C$16)/'Sensitivity &amp; Scenarios'!$C$17</f>
        <v>2981.6898112331291</v>
      </c>
    </row>
    <row r="676" spans="2:10" x14ac:dyDescent="0.3">
      <c r="B676" s="127">
        <v>646</v>
      </c>
      <c r="C676" s="206">
        <f>$D$7+-0.991106*$E$7</f>
        <v>0.12764119943997798</v>
      </c>
      <c r="D676" s="206">
        <f>MIN($D$8+0.967999*$E$8,'Debt &amp; Cost of Capital'!$C$38)</f>
        <v>6.0807994000000004E-2</v>
      </c>
      <c r="E676" s="207">
        <f>$D$9+-0.08696*$E$9</f>
        <v>0.16461229770254635</v>
      </c>
      <c r="F676" s="207">
        <f>$D$10+0.339809*$E$10</f>
        <v>0.14907770799999992</v>
      </c>
      <c r="G676" s="208">
        <f>$F676*(1-'Sensitivity &amp; Scenarios'!$C$12)+'Sensitivity &amp; Scenarios'!$C$9*'Sensitivity &amp; Scenarios'!$C$12-'Sensitivity &amp; Scenarios'!$C$10</f>
        <v>8.0750266984864649E-2</v>
      </c>
      <c r="H676" s="209">
        <f>('Sensitivity &amp; Scenarios'!$C$6*(1+$E676)^1*$G676+'Sensitivity &amp; Scenarios'!$C$11*'Sensitivity &amp; Scenarios'!$C$6*((1+$E676)^1-(1+$E676)^0))*'Sensitivity &amp; Scenarios'!$C$18/(1+$C676)^'Sensitivity &amp; Scenarios'!$C$18+('Sensitivity &amp; Scenarios'!$C$6*(1+$E676)^2*$G676+'Sensitivity &amp; Scenarios'!$C$11*'Sensitivity &amp; Scenarios'!$C$6*((1+$E676)^2-(1+$E676)^1))/(1+$C676)^('Sensitivity &amp; Scenarios'!$C$18+1)+('Sensitivity &amp; Scenarios'!$C$6*(1+$E676)^3*$G676+'Sensitivity &amp; Scenarios'!$C$11*'Sensitivity &amp; Scenarios'!$C$6*((1+$E676)^3-(1+$E676)^2))/(1+$C676)^('Sensitivity &amp; Scenarios'!$C$18+2)+('Sensitivity &amp; Scenarios'!$C$6*(1+$E676)^4*$G676+'Sensitivity &amp; Scenarios'!$C$11*'Sensitivity &amp; Scenarios'!$C$6*((1+$E676)^4-(1+$E676)^3))/(1+$C676)^('Sensitivity &amp; Scenarios'!$C$18+3)+('Sensitivity &amp; Scenarios'!$C$6*(1+$E676)^5*$G676+'Sensitivity &amp; Scenarios'!$C$11*'Sensitivity &amp; Scenarios'!$C$6*((1+$E676)^5-(1+$E676)^4))/(1+$C676)^('Sensitivity &amp; Scenarios'!$C$18+4)</f>
        <v>24426.961187563877</v>
      </c>
      <c r="I676" s="209">
        <f>('Sensitivity &amp; Scenarios'!$C$6*(1+$E676)^5*$G676+'Sensitivity &amp; Scenarios'!$C$11*'Sensitivity &amp; Scenarios'!$C$6*((1+$E676)^5-(1+$E676)^4))*(1+$D676)/($C676-$D676)/(1+$C676)^('Sensitivity &amp; Scenarios'!$C$18+4)</f>
        <v>88726.584516145158</v>
      </c>
      <c r="J676" s="209">
        <f>($H676+$I676-'Sensitivity &amp; Scenarios'!$C$15+'Sensitivity &amp; Scenarios'!$C$16)/'Sensitivity &amp; Scenarios'!$C$17</f>
        <v>2668.3048380663622</v>
      </c>
    </row>
    <row r="677" spans="2:10" x14ac:dyDescent="0.3">
      <c r="B677" s="127">
        <v>647</v>
      </c>
      <c r="C677" s="206">
        <f>$D$7+0.460219*$E$7</f>
        <v>0.14215444943997799</v>
      </c>
      <c r="D677" s="206">
        <f>MIN($D$8+0.99435*$E$8,'Debt &amp; Cost of Capital'!$C$38)</f>
        <v>6.0966100000000002E-2</v>
      </c>
      <c r="E677" s="207">
        <f>$D$9+0.082718*$E$9</f>
        <v>0.16970263770254634</v>
      </c>
      <c r="F677" s="207">
        <f>$D$10+1.410162*$E$10</f>
        <v>0.1619219439999999</v>
      </c>
      <c r="G677" s="208">
        <f>$F677*(1-'Sensitivity &amp; Scenarios'!$C$12)+'Sensitivity &amp; Scenarios'!$C$9*'Sensitivity &amp; Scenarios'!$C$12-'Sensitivity &amp; Scenarios'!$C$10</f>
        <v>9.0361608783664643E-2</v>
      </c>
      <c r="H677" s="209">
        <f>('Sensitivity &amp; Scenarios'!$C$6*(1+$E677)^1*$G677+'Sensitivity &amp; Scenarios'!$C$11*'Sensitivity &amp; Scenarios'!$C$6*((1+$E677)^1-(1+$E677)^0))*'Sensitivity &amp; Scenarios'!$C$18/(1+$C677)^'Sensitivity &amp; Scenarios'!$C$18+('Sensitivity &amp; Scenarios'!$C$6*(1+$E677)^2*$G677+'Sensitivity &amp; Scenarios'!$C$11*'Sensitivity &amp; Scenarios'!$C$6*((1+$E677)^2-(1+$E677)^1))/(1+$C677)^('Sensitivity &amp; Scenarios'!$C$18+1)+('Sensitivity &amp; Scenarios'!$C$6*(1+$E677)^3*$G677+'Sensitivity &amp; Scenarios'!$C$11*'Sensitivity &amp; Scenarios'!$C$6*((1+$E677)^3-(1+$E677)^2))/(1+$C677)^('Sensitivity &amp; Scenarios'!$C$18+2)+('Sensitivity &amp; Scenarios'!$C$6*(1+$E677)^4*$G677+'Sensitivity &amp; Scenarios'!$C$11*'Sensitivity &amp; Scenarios'!$C$6*((1+$E677)^4-(1+$E677)^3))/(1+$C677)^('Sensitivity &amp; Scenarios'!$C$18+3)+('Sensitivity &amp; Scenarios'!$C$6*(1+$E677)^5*$G677+'Sensitivity &amp; Scenarios'!$C$11*'Sensitivity &amp; Scenarios'!$C$6*((1+$E677)^5-(1+$E677)^4))/(1+$C677)^('Sensitivity &amp; Scenarios'!$C$18+4)</f>
        <v>26373.154168695284</v>
      </c>
      <c r="I677" s="209">
        <f>('Sensitivity &amp; Scenarios'!$C$6*(1+$E677)^5*$G677+'Sensitivity &amp; Scenarios'!$C$11*'Sensitivity &amp; Scenarios'!$C$6*((1+$E677)^5-(1+$E677)^4))*(1+$D677)/($C677-$D677)/(1+$C677)^('Sensitivity &amp; Scenarios'!$C$18+4)</f>
        <v>77688.39877039814</v>
      </c>
      <c r="J677" s="209">
        <f>($H677+$I677-'Sensitivity &amp; Scenarios'!$C$15+'Sensitivity &amp; Scenarios'!$C$16)/'Sensitivity &amp; Scenarios'!$C$17</f>
        <v>2476.9295159755529</v>
      </c>
    </row>
    <row r="678" spans="2:10" x14ac:dyDescent="0.3">
      <c r="B678" s="127">
        <v>648</v>
      </c>
      <c r="C678" s="206">
        <f>$D$7+0.309413*$E$7</f>
        <v>0.14064638943997798</v>
      </c>
      <c r="D678" s="206">
        <f>MIN($D$8+0.624184*$E$8,'Debt &amp; Cost of Capital'!$C$38)</f>
        <v>5.8745103999999999E-2</v>
      </c>
      <c r="E678" s="207">
        <f>$D$9+-0.833263*$E$9</f>
        <v>0.14222320770254634</v>
      </c>
      <c r="F678" s="207">
        <f>$D$10+2.158659*$E$10</f>
        <v>0.17090390799999991</v>
      </c>
      <c r="G678" s="208">
        <f>$F678*(1-'Sensitivity &amp; Scenarios'!$C$12)+'Sensitivity &amp; Scenarios'!$C$9*'Sensitivity &amp; Scenarios'!$C$12-'Sensitivity &amp; Scenarios'!$C$10</f>
        <v>9.7082812444864636E-2</v>
      </c>
      <c r="H678" s="209">
        <f>('Sensitivity &amp; Scenarios'!$C$6*(1+$E678)^1*$G678+'Sensitivity &amp; Scenarios'!$C$11*'Sensitivity &amp; Scenarios'!$C$6*((1+$E678)^1-(1+$E678)^0))*'Sensitivity &amp; Scenarios'!$C$18/(1+$C678)^'Sensitivity &amp; Scenarios'!$C$18+('Sensitivity &amp; Scenarios'!$C$6*(1+$E678)^2*$G678+'Sensitivity &amp; Scenarios'!$C$11*'Sensitivity &amp; Scenarios'!$C$6*((1+$E678)^2-(1+$E678)^1))/(1+$C678)^('Sensitivity &amp; Scenarios'!$C$18+1)+('Sensitivity &amp; Scenarios'!$C$6*(1+$E678)^3*$G678+'Sensitivity &amp; Scenarios'!$C$11*'Sensitivity &amp; Scenarios'!$C$6*((1+$E678)^3-(1+$E678)^2))/(1+$C678)^('Sensitivity &amp; Scenarios'!$C$18+2)+('Sensitivity &amp; Scenarios'!$C$6*(1+$E678)^4*$G678+'Sensitivity &amp; Scenarios'!$C$11*'Sensitivity &amp; Scenarios'!$C$6*((1+$E678)^4-(1+$E678)^3))/(1+$C678)^('Sensitivity &amp; Scenarios'!$C$18+3)+('Sensitivity &amp; Scenarios'!$C$6*(1+$E678)^5*$G678+'Sensitivity &amp; Scenarios'!$C$11*'Sensitivity &amp; Scenarios'!$C$6*((1+$E678)^5-(1+$E678)^4))/(1+$C678)^('Sensitivity &amp; Scenarios'!$C$18+4)</f>
        <v>25572.458868475791</v>
      </c>
      <c r="I678" s="209">
        <f>('Sensitivity &amp; Scenarios'!$C$6*(1+$E678)^5*$G678+'Sensitivity &amp; Scenarios'!$C$11*'Sensitivity &amp; Scenarios'!$C$6*((1+$E678)^5-(1+$E678)^4))*(1+$D678)/($C678-$D678)/(1+$C678)^('Sensitivity &amp; Scenarios'!$C$18+4)</f>
        <v>71536.305267156102</v>
      </c>
      <c r="J678" s="209">
        <f>($H678+$I678-'Sensitivity &amp; Scenarios'!$C$15+'Sensitivity &amp; Scenarios'!$C$16)/'Sensitivity &amp; Scenarios'!$C$17</f>
        <v>2330.5818195860174</v>
      </c>
    </row>
    <row r="679" spans="2:10" x14ac:dyDescent="0.3">
      <c r="B679" s="127">
        <v>649</v>
      </c>
      <c r="C679" s="206">
        <f>$D$7+0.469825*$E$7</f>
        <v>0.14225050943997797</v>
      </c>
      <c r="D679" s="206">
        <f>MIN($D$8+0.712997*$E$8,'Debt &amp; Cost of Capital'!$C$38)</f>
        <v>5.9277982E-2</v>
      </c>
      <c r="E679" s="207">
        <f>$D$9+-1.608186*$E$9</f>
        <v>0.11897551770254634</v>
      </c>
      <c r="F679" s="207">
        <f>$D$10+-0.822702*$E$10</f>
        <v>0.13512757599999992</v>
      </c>
      <c r="G679" s="208">
        <f>$F679*(1-'Sensitivity &amp; Scenarios'!$C$12)+'Sensitivity &amp; Scenarios'!$C$9*'Sensitivity &amp; Scenarios'!$C$12-'Sensitivity &amp; Scenarios'!$C$10</f>
        <v>7.0311383209264638E-2</v>
      </c>
      <c r="H679" s="209">
        <f>('Sensitivity &amp; Scenarios'!$C$6*(1+$E679)^1*$G679+'Sensitivity &amp; Scenarios'!$C$11*'Sensitivity &amp; Scenarios'!$C$6*((1+$E679)^1-(1+$E679)^0))*'Sensitivity &amp; Scenarios'!$C$18/(1+$C679)^'Sensitivity &amp; Scenarios'!$C$18+('Sensitivity &amp; Scenarios'!$C$6*(1+$E679)^2*$G679+'Sensitivity &amp; Scenarios'!$C$11*'Sensitivity &amp; Scenarios'!$C$6*((1+$E679)^2-(1+$E679)^1))/(1+$C679)^('Sensitivity &amp; Scenarios'!$C$18+1)+('Sensitivity &amp; Scenarios'!$C$6*(1+$E679)^3*$G679+'Sensitivity &amp; Scenarios'!$C$11*'Sensitivity &amp; Scenarios'!$C$6*((1+$E679)^3-(1+$E679)^2))/(1+$C679)^('Sensitivity &amp; Scenarios'!$C$18+2)+('Sensitivity &amp; Scenarios'!$C$6*(1+$E679)^4*$G679+'Sensitivity &amp; Scenarios'!$C$11*'Sensitivity &amp; Scenarios'!$C$6*((1+$E679)^4-(1+$E679)^3))/(1+$C679)^('Sensitivity &amp; Scenarios'!$C$18+3)+('Sensitivity &amp; Scenarios'!$C$6*(1+$E679)^5*$G679+'Sensitivity &amp; Scenarios'!$C$11*'Sensitivity &amp; Scenarios'!$C$6*((1+$E679)^5-(1+$E679)^4))/(1+$C679)^('Sensitivity &amp; Scenarios'!$C$18+4)</f>
        <v>17677.536078568413</v>
      </c>
      <c r="I679" s="209">
        <f>('Sensitivity &amp; Scenarios'!$C$6*(1+$E679)^5*$G679+'Sensitivity &amp; Scenarios'!$C$11*'Sensitivity &amp; Scenarios'!$C$6*((1+$E679)^5-(1+$E679)^4))*(1+$D679)/($C679-$D679)/(1+$C679)^('Sensitivity &amp; Scenarios'!$C$18+4)</f>
        <v>46882.930676200565</v>
      </c>
      <c r="J679" s="209">
        <f>($H679+$I679-'Sensitivity &amp; Scenarios'!$C$15+'Sensitivity &amp; Scenarios'!$C$16)/'Sensitivity &amp; Scenarios'!$C$17</f>
        <v>1645.4799881138258</v>
      </c>
    </row>
    <row r="680" spans="2:10" x14ac:dyDescent="0.3">
      <c r="B680" s="127">
        <v>650</v>
      </c>
      <c r="C680" s="206">
        <f>$D$7+1.237884*$E$7</f>
        <v>0.14993109943997798</v>
      </c>
      <c r="D680" s="206">
        <f>MIN($D$8+0.286891*$E$8,'Debt &amp; Cost of Capital'!$C$38)</f>
        <v>5.6721345999999999E-2</v>
      </c>
      <c r="E680" s="207">
        <f>$D$9+-1.91378*$E$9</f>
        <v>0.10980769770254634</v>
      </c>
      <c r="F680" s="207">
        <f>$D$10+1.03829*$E$10</f>
        <v>0.1574594799999999</v>
      </c>
      <c r="G680" s="208">
        <f>$F680*(1-'Sensitivity &amp; Scenarios'!$C$12)+'Sensitivity &amp; Scenarios'!$C$9*'Sensitivity &amp; Scenarios'!$C$12-'Sensitivity &amp; Scenarios'!$C$10</f>
        <v>8.7022346972464637E-2</v>
      </c>
      <c r="H680" s="209">
        <f>('Sensitivity &amp; Scenarios'!$C$6*(1+$E680)^1*$G680+'Sensitivity &amp; Scenarios'!$C$11*'Sensitivity &amp; Scenarios'!$C$6*((1+$E680)^1-(1+$E680)^0))*'Sensitivity &amp; Scenarios'!$C$18/(1+$C680)^'Sensitivity &amp; Scenarios'!$C$18+('Sensitivity &amp; Scenarios'!$C$6*(1+$E680)^2*$G680+'Sensitivity &amp; Scenarios'!$C$11*'Sensitivity &amp; Scenarios'!$C$6*((1+$E680)^2-(1+$E680)^1))/(1+$C680)^('Sensitivity &amp; Scenarios'!$C$18+1)+('Sensitivity &amp; Scenarios'!$C$6*(1+$E680)^3*$G680+'Sensitivity &amp; Scenarios'!$C$11*'Sensitivity &amp; Scenarios'!$C$6*((1+$E680)^3-(1+$E680)^2))/(1+$C680)^('Sensitivity &amp; Scenarios'!$C$18+2)+('Sensitivity &amp; Scenarios'!$C$6*(1+$E680)^4*$G680+'Sensitivity &amp; Scenarios'!$C$11*'Sensitivity &amp; Scenarios'!$C$6*((1+$E680)^4-(1+$E680)^3))/(1+$C680)^('Sensitivity &amp; Scenarios'!$C$18+3)+('Sensitivity &amp; Scenarios'!$C$6*(1+$E680)^5*$G680+'Sensitivity &amp; Scenarios'!$C$11*'Sensitivity &amp; Scenarios'!$C$6*((1+$E680)^5-(1+$E680)^4))/(1+$C680)^('Sensitivity &amp; Scenarios'!$C$18+4)</f>
        <v>20197.676519850294</v>
      </c>
      <c r="I680" s="209">
        <f>('Sensitivity &amp; Scenarios'!$C$6*(1+$E680)^5*$G680+'Sensitivity &amp; Scenarios'!$C$11*'Sensitivity &amp; Scenarios'!$C$6*((1+$E680)^5-(1+$E680)^4))*(1+$D680)/($C680-$D680)/(1+$C680)^('Sensitivity &amp; Scenarios'!$C$18+4)</f>
        <v>46243.210146383171</v>
      </c>
      <c r="J680" s="209">
        <f>($H680+$I680-'Sensitivity &amp; Scenarios'!$C$15+'Sensitivity &amp; Scenarios'!$C$16)/'Sensitivity &amp; Scenarios'!$C$17</f>
        <v>1685.0605262355693</v>
      </c>
    </row>
    <row r="681" spans="2:10" x14ac:dyDescent="0.3">
      <c r="B681" s="127">
        <v>651</v>
      </c>
      <c r="C681" s="206">
        <f>$D$7+-0.543783*$E$7</f>
        <v>0.13211442943997798</v>
      </c>
      <c r="D681" s="206">
        <f>MIN($D$8+1.411317*$E$8,'Debt &amp; Cost of Capital'!$C$38)</f>
        <v>6.3467901999999993E-2</v>
      </c>
      <c r="E681" s="207">
        <f>$D$9+-0.087836*$E$9</f>
        <v>0.16458601770254633</v>
      </c>
      <c r="F681" s="207">
        <f>$D$10+0.204707*$E$10</f>
        <v>0.14745648399999992</v>
      </c>
      <c r="G681" s="208">
        <f>$F681*(1-'Sensitivity &amp; Scenarios'!$C$12)+'Sensitivity &amp; Scenarios'!$C$9*'Sensitivity &amp; Scenarios'!$C$12-'Sensitivity &amp; Scenarios'!$C$10</f>
        <v>7.9537105065664637E-2</v>
      </c>
      <c r="H681" s="209">
        <f>('Sensitivity &amp; Scenarios'!$C$6*(1+$E681)^1*$G681+'Sensitivity &amp; Scenarios'!$C$11*'Sensitivity &amp; Scenarios'!$C$6*((1+$E681)^1-(1+$E681)^0))*'Sensitivity &amp; Scenarios'!$C$18/(1+$C681)^'Sensitivity &amp; Scenarios'!$C$18+('Sensitivity &amp; Scenarios'!$C$6*(1+$E681)^2*$G681+'Sensitivity &amp; Scenarios'!$C$11*'Sensitivity &amp; Scenarios'!$C$6*((1+$E681)^2-(1+$E681)^1))/(1+$C681)^('Sensitivity &amp; Scenarios'!$C$18+1)+('Sensitivity &amp; Scenarios'!$C$6*(1+$E681)^3*$G681+'Sensitivity &amp; Scenarios'!$C$11*'Sensitivity &amp; Scenarios'!$C$6*((1+$E681)^3-(1+$E681)^2))/(1+$C681)^('Sensitivity &amp; Scenarios'!$C$18+2)+('Sensitivity &amp; Scenarios'!$C$6*(1+$E681)^4*$G681+'Sensitivity &amp; Scenarios'!$C$11*'Sensitivity &amp; Scenarios'!$C$6*((1+$E681)^4-(1+$E681)^3))/(1+$C681)^('Sensitivity &amp; Scenarios'!$C$18+3)+('Sensitivity &amp; Scenarios'!$C$6*(1+$E681)^5*$G681+'Sensitivity &amp; Scenarios'!$C$11*'Sensitivity &amp; Scenarios'!$C$6*((1+$E681)^5-(1+$E681)^4))/(1+$C681)^('Sensitivity &amp; Scenarios'!$C$18+4)</f>
        <v>23846.710030993287</v>
      </c>
      <c r="I681" s="209">
        <f>('Sensitivity &amp; Scenarios'!$C$6*(1+$E681)^5*$G681+'Sensitivity &amp; Scenarios'!$C$11*'Sensitivity &amp; Scenarios'!$C$6*((1+$E681)^5-(1+$E681)^4))*(1+$D681)/($C681-$D681)/(1+$C681)^('Sensitivity &amp; Scenarios'!$C$18+4)</f>
        <v>83943.029729600385</v>
      </c>
      <c r="J681" s="209">
        <f>($H681+$I681-'Sensitivity &amp; Scenarios'!$C$15+'Sensitivity &amp; Scenarios'!$C$16)/'Sensitivity &amp; Scenarios'!$C$17</f>
        <v>2555.4032864954838</v>
      </c>
    </row>
    <row r="682" spans="2:10" x14ac:dyDescent="0.3">
      <c r="B682" s="127">
        <v>652</v>
      </c>
      <c r="C682" s="206">
        <f>$D$7+1.178955*$E$7</f>
        <v>0.14934180943997799</v>
      </c>
      <c r="D682" s="206">
        <f>MIN($D$8+-0.897493*$E$8,'Debt &amp; Cost of Capital'!$C$38)</f>
        <v>4.9615041999999998E-2</v>
      </c>
      <c r="E682" s="207">
        <f>$D$9+-0.992847*$E$9</f>
        <v>0.13743568770254633</v>
      </c>
      <c r="F682" s="207">
        <f>$D$10+-0.196498*$E$10</f>
        <v>0.1426420239999999</v>
      </c>
      <c r="G682" s="208">
        <f>$F682*(1-'Sensitivity &amp; Scenarios'!$C$12)+'Sensitivity &amp; Scenarios'!$C$9*'Sensitivity &amp; Scenarios'!$C$12-'Sensitivity &amp; Scenarios'!$C$10</f>
        <v>7.5934444647664634E-2</v>
      </c>
      <c r="H682" s="209">
        <f>('Sensitivity &amp; Scenarios'!$C$6*(1+$E682)^1*$G682+'Sensitivity &amp; Scenarios'!$C$11*'Sensitivity &amp; Scenarios'!$C$6*((1+$E682)^1-(1+$E682)^0))*'Sensitivity &amp; Scenarios'!$C$18/(1+$C682)^'Sensitivity &amp; Scenarios'!$C$18+('Sensitivity &amp; Scenarios'!$C$6*(1+$E682)^2*$G682+'Sensitivity &amp; Scenarios'!$C$11*'Sensitivity &amp; Scenarios'!$C$6*((1+$E682)^2-(1+$E682)^1))/(1+$C682)^('Sensitivity &amp; Scenarios'!$C$18+1)+('Sensitivity &amp; Scenarios'!$C$6*(1+$E682)^3*$G682+'Sensitivity &amp; Scenarios'!$C$11*'Sensitivity &amp; Scenarios'!$C$6*((1+$E682)^3-(1+$E682)^2))/(1+$C682)^('Sensitivity &amp; Scenarios'!$C$18+2)+('Sensitivity &amp; Scenarios'!$C$6*(1+$E682)^4*$G682+'Sensitivity &amp; Scenarios'!$C$11*'Sensitivity &amp; Scenarios'!$C$6*((1+$E682)^4-(1+$E682)^3))/(1+$C682)^('Sensitivity &amp; Scenarios'!$C$18+3)+('Sensitivity &amp; Scenarios'!$C$6*(1+$E682)^5*$G682+'Sensitivity &amp; Scenarios'!$C$11*'Sensitivity &amp; Scenarios'!$C$6*((1+$E682)^5-(1+$E682)^4))/(1+$C682)^('Sensitivity &amp; Scenarios'!$C$18+4)</f>
        <v>19901.119873505719</v>
      </c>
      <c r="I682" s="209">
        <f>('Sensitivity &amp; Scenarios'!$C$6*(1+$E682)^5*$G682+'Sensitivity &amp; Scenarios'!$C$11*'Sensitivity &amp; Scenarios'!$C$6*((1+$E682)^5-(1+$E682)^4))*(1+$D682)/($C682-$D682)/(1+$C682)^('Sensitivity &amp; Scenarios'!$C$18+4)</f>
        <v>44348.027709484915</v>
      </c>
      <c r="J682" s="209">
        <f>($H682+$I682-'Sensitivity &amp; Scenarios'!$C$15+'Sensitivity &amp; Scenarios'!$C$16)/'Sensitivity &amp; Scenarios'!$C$17</f>
        <v>1638.9271005000132</v>
      </c>
    </row>
    <row r="683" spans="2:10" x14ac:dyDescent="0.3">
      <c r="B683" s="127">
        <v>653</v>
      </c>
      <c r="C683" s="206">
        <f>$D$7+0.827173*$E$7</f>
        <v>0.14582398943997799</v>
      </c>
      <c r="D683" s="206">
        <f>MIN($D$8+-1.330877*$E$8,'Debt &amp; Cost of Capital'!$C$38)</f>
        <v>4.7014738E-2</v>
      </c>
      <c r="E683" s="207">
        <f>$D$9+-1.668035*$E$9</f>
        <v>0.11718004770254634</v>
      </c>
      <c r="F683" s="207">
        <f>$D$10+0.823721*$E$10</f>
        <v>0.1548846519999999</v>
      </c>
      <c r="G683" s="208">
        <f>$F683*(1-'Sensitivity &amp; Scenarios'!$C$12)+'Sensitivity &amp; Scenarios'!$C$9*'Sensitivity &amp; Scenarios'!$C$12-'Sensitivity &amp; Scenarios'!$C$10</f>
        <v>8.5095603180064636E-2</v>
      </c>
      <c r="H683" s="209">
        <f>('Sensitivity &amp; Scenarios'!$C$6*(1+$E683)^1*$G683+'Sensitivity &amp; Scenarios'!$C$11*'Sensitivity &amp; Scenarios'!$C$6*((1+$E683)^1-(1+$E683)^0))*'Sensitivity &amp; Scenarios'!$C$18/(1+$C683)^'Sensitivity &amp; Scenarios'!$C$18+('Sensitivity &amp; Scenarios'!$C$6*(1+$E683)^2*$G683+'Sensitivity &amp; Scenarios'!$C$11*'Sensitivity &amp; Scenarios'!$C$6*((1+$E683)^2-(1+$E683)^1))/(1+$C683)^('Sensitivity &amp; Scenarios'!$C$18+1)+('Sensitivity &amp; Scenarios'!$C$6*(1+$E683)^3*$G683+'Sensitivity &amp; Scenarios'!$C$11*'Sensitivity &amp; Scenarios'!$C$6*((1+$E683)^3-(1+$E683)^2))/(1+$C683)^('Sensitivity &amp; Scenarios'!$C$18+2)+('Sensitivity &amp; Scenarios'!$C$6*(1+$E683)^4*$G683+'Sensitivity &amp; Scenarios'!$C$11*'Sensitivity &amp; Scenarios'!$C$6*((1+$E683)^4-(1+$E683)^3))/(1+$C683)^('Sensitivity &amp; Scenarios'!$C$18+3)+('Sensitivity &amp; Scenarios'!$C$6*(1+$E683)^5*$G683+'Sensitivity &amp; Scenarios'!$C$11*'Sensitivity &amp; Scenarios'!$C$6*((1+$E683)^5-(1+$E683)^4))/(1+$C683)^('Sensitivity &amp; Scenarios'!$C$18+4)</f>
        <v>20549.13327355394</v>
      </c>
      <c r="I683" s="209">
        <f>('Sensitivity &amp; Scenarios'!$C$6*(1+$E683)^5*$G683+'Sensitivity &amp; Scenarios'!$C$11*'Sensitivity &amp; Scenarios'!$C$6*((1+$E683)^5-(1+$E683)^4))*(1+$D683)/($C683-$D683)/(1+$C683)^('Sensitivity &amp; Scenarios'!$C$18+4)</f>
        <v>44833.015082922786</v>
      </c>
      <c r="J683" s="209">
        <f>($H683+$I683-'Sensitivity &amp; Scenarios'!$C$15+'Sensitivity &amp; Scenarios'!$C$16)/'Sensitivity &amp; Scenarios'!$C$17</f>
        <v>1662.7753803621456</v>
      </c>
    </row>
    <row r="684" spans="2:10" x14ac:dyDescent="0.3">
      <c r="B684" s="127">
        <v>654</v>
      </c>
      <c r="C684" s="206">
        <f>$D$7+-0.602978*$E$7</f>
        <v>0.13152247943997797</v>
      </c>
      <c r="D684" s="206">
        <f>MIN($D$8+-0.392226*$E$8,'Debt &amp; Cost of Capital'!$C$38)</f>
        <v>5.2646643999999999E-2</v>
      </c>
      <c r="E684" s="207">
        <f>$D$9+-1.85681*$E$9</f>
        <v>0.11151679770254634</v>
      </c>
      <c r="F684" s="207">
        <f>$D$10+-0.678979*$E$10</f>
        <v>0.1368522519999999</v>
      </c>
      <c r="G684" s="208">
        <f>$F684*(1-'Sensitivity &amp; Scenarios'!$C$12)+'Sensitivity &amp; Scenarios'!$C$9*'Sensitivity &amp; Scenarios'!$C$12-'Sensitivity &amp; Scenarios'!$C$10</f>
        <v>7.160195826006463E-2</v>
      </c>
      <c r="H684" s="209">
        <f>('Sensitivity &amp; Scenarios'!$C$6*(1+$E684)^1*$G684+'Sensitivity &amp; Scenarios'!$C$11*'Sensitivity &amp; Scenarios'!$C$6*((1+$E684)^1-(1+$E684)^0))*'Sensitivity &amp; Scenarios'!$C$18/(1+$C684)^'Sensitivity &amp; Scenarios'!$C$18+('Sensitivity &amp; Scenarios'!$C$6*(1+$E684)^2*$G684+'Sensitivity &amp; Scenarios'!$C$11*'Sensitivity &amp; Scenarios'!$C$6*((1+$E684)^2-(1+$E684)^1))/(1+$C684)^('Sensitivity &amp; Scenarios'!$C$18+1)+('Sensitivity &amp; Scenarios'!$C$6*(1+$E684)^3*$G684+'Sensitivity &amp; Scenarios'!$C$11*'Sensitivity &amp; Scenarios'!$C$6*((1+$E684)^3-(1+$E684)^2))/(1+$C684)^('Sensitivity &amp; Scenarios'!$C$18+2)+('Sensitivity &amp; Scenarios'!$C$6*(1+$E684)^4*$G684+'Sensitivity &amp; Scenarios'!$C$11*'Sensitivity &amp; Scenarios'!$C$6*((1+$E684)^4-(1+$E684)^3))/(1+$C684)^('Sensitivity &amp; Scenarios'!$C$18+3)+('Sensitivity &amp; Scenarios'!$C$6*(1+$E684)^5*$G684+'Sensitivity &amp; Scenarios'!$C$11*'Sensitivity &amp; Scenarios'!$C$6*((1+$E684)^5-(1+$E684)^4))/(1+$C684)^('Sensitivity &amp; Scenarios'!$C$18+4)</f>
        <v>17904.984352111296</v>
      </c>
      <c r="I684" s="209">
        <f>('Sensitivity &amp; Scenarios'!$C$6*(1+$E684)^5*$G684+'Sensitivity &amp; Scenarios'!$C$11*'Sensitivity &amp; Scenarios'!$C$6*((1+$E684)^5-(1+$E684)^4))*(1+$D684)/($C684-$D684)/(1+$C684)^('Sensitivity &amp; Scenarios'!$C$18+4)</f>
        <v>49896.461248501066</v>
      </c>
      <c r="J684" s="209">
        <f>($H684+$I684-'Sensitivity &amp; Scenarios'!$C$15+'Sensitivity &amp; Scenarios'!$C$16)/'Sensitivity &amp; Scenarios'!$C$17</f>
        <v>1713.6986269282613</v>
      </c>
    </row>
    <row r="685" spans="2:10" x14ac:dyDescent="0.3">
      <c r="B685" s="127">
        <v>655</v>
      </c>
      <c r="C685" s="206">
        <f>$D$7+-0.007567*$E$7</f>
        <v>0.13747658943997798</v>
      </c>
      <c r="D685" s="206">
        <f>MIN($D$8+0.930378*$E$8,'Debt &amp; Cost of Capital'!$C$38)</f>
        <v>6.0582268000000002E-2</v>
      </c>
      <c r="E685" s="207">
        <f>$D$9+-0.77123*$E$9</f>
        <v>0.14408419770254635</v>
      </c>
      <c r="F685" s="207">
        <f>$D$10+1.657376*$E$10</f>
        <v>0.1648885119999999</v>
      </c>
      <c r="G685" s="208">
        <f>$F685*(1-'Sensitivity &amp; Scenarios'!$C$12)+'Sensitivity &amp; Scenarios'!$C$9*'Sensitivity &amp; Scenarios'!$C$12-'Sensitivity &amp; Scenarios'!$C$10</f>
        <v>9.2581491618064643E-2</v>
      </c>
      <c r="H685" s="209">
        <f>('Sensitivity &amp; Scenarios'!$C$6*(1+$E685)^1*$G685+'Sensitivity &amp; Scenarios'!$C$11*'Sensitivity &amp; Scenarios'!$C$6*((1+$E685)^1-(1+$E685)^0))*'Sensitivity &amp; Scenarios'!$C$18/(1+$C685)^'Sensitivity &amp; Scenarios'!$C$18+('Sensitivity &amp; Scenarios'!$C$6*(1+$E685)^2*$G685+'Sensitivity &amp; Scenarios'!$C$11*'Sensitivity &amp; Scenarios'!$C$6*((1+$E685)^2-(1+$E685)^1))/(1+$C685)^('Sensitivity &amp; Scenarios'!$C$18+1)+('Sensitivity &amp; Scenarios'!$C$6*(1+$E685)^3*$G685+'Sensitivity &amp; Scenarios'!$C$11*'Sensitivity &amp; Scenarios'!$C$6*((1+$E685)^3-(1+$E685)^2))/(1+$C685)^('Sensitivity &amp; Scenarios'!$C$18+2)+('Sensitivity &amp; Scenarios'!$C$6*(1+$E685)^4*$G685+'Sensitivity &amp; Scenarios'!$C$11*'Sensitivity &amp; Scenarios'!$C$6*((1+$E685)^4-(1+$E685)^3))/(1+$C685)^('Sensitivity &amp; Scenarios'!$C$18+3)+('Sensitivity &amp; Scenarios'!$C$6*(1+$E685)^5*$G685+'Sensitivity &amp; Scenarios'!$C$11*'Sensitivity &amp; Scenarios'!$C$6*((1+$E685)^5-(1+$E685)^4))/(1+$C685)^('Sensitivity &amp; Scenarios'!$C$18+4)</f>
        <v>24889.485628783415</v>
      </c>
      <c r="I685" s="209">
        <f>('Sensitivity &amp; Scenarios'!$C$6*(1+$E685)^5*$G685+'Sensitivity &amp; Scenarios'!$C$11*'Sensitivity &amp; Scenarios'!$C$6*((1+$E685)^5-(1+$E685)^4))*(1+$D685)/($C685-$D685)/(1+$C685)^('Sensitivity &amp; Scenarios'!$C$18+4)</f>
        <v>74891.82379782795</v>
      </c>
      <c r="J685" s="209">
        <f>($H685+$I685-'Sensitivity &amp; Scenarios'!$C$15+'Sensitivity &amp; Scenarios'!$C$16)/'Sensitivity &amp; Scenarios'!$C$17</f>
        <v>2386.8356276460036</v>
      </c>
    </row>
    <row r="686" spans="2:10" x14ac:dyDescent="0.3">
      <c r="B686" s="127">
        <v>656</v>
      </c>
      <c r="C686" s="206">
        <f>$D$7+-0.684556*$E$7</f>
        <v>0.13070669943997798</v>
      </c>
      <c r="D686" s="206">
        <f>MIN($D$8+-0.683092*$E$8,'Debt &amp; Cost of Capital'!$C$38)</f>
        <v>5.0901448000000002E-2</v>
      </c>
      <c r="E686" s="207">
        <f>$D$9+1.537358*$E$9</f>
        <v>0.21334183770254633</v>
      </c>
      <c r="F686" s="207">
        <f>$D$10+0.21146*$E$10</f>
        <v>0.14753751999999989</v>
      </c>
      <c r="G686" s="208">
        <f>$F686*(1-'Sensitivity &amp; Scenarios'!$C$12)+'Sensitivity &amp; Scenarios'!$C$9*'Sensitivity &amp; Scenarios'!$C$12-'Sensitivity &amp; Scenarios'!$C$10</f>
        <v>7.9597744304464632E-2</v>
      </c>
      <c r="H686" s="209">
        <f>('Sensitivity &amp; Scenarios'!$C$6*(1+$E686)^1*$G686+'Sensitivity &amp; Scenarios'!$C$11*'Sensitivity &amp; Scenarios'!$C$6*((1+$E686)^1-(1+$E686)^0))*'Sensitivity &amp; Scenarios'!$C$18/(1+$C686)^'Sensitivity &amp; Scenarios'!$C$18+('Sensitivity &amp; Scenarios'!$C$6*(1+$E686)^2*$G686+'Sensitivity &amp; Scenarios'!$C$11*'Sensitivity &amp; Scenarios'!$C$6*((1+$E686)^2-(1+$E686)^1))/(1+$C686)^('Sensitivity &amp; Scenarios'!$C$18+1)+('Sensitivity &amp; Scenarios'!$C$6*(1+$E686)^3*$G686+'Sensitivity &amp; Scenarios'!$C$11*'Sensitivity &amp; Scenarios'!$C$6*((1+$E686)^3-(1+$E686)^2))/(1+$C686)^('Sensitivity &amp; Scenarios'!$C$18+2)+('Sensitivity &amp; Scenarios'!$C$6*(1+$E686)^4*$G686+'Sensitivity &amp; Scenarios'!$C$11*'Sensitivity &amp; Scenarios'!$C$6*((1+$E686)^4-(1+$E686)^3))/(1+$C686)^('Sensitivity &amp; Scenarios'!$C$18+3)+('Sensitivity &amp; Scenarios'!$C$6*(1+$E686)^5*$G686+'Sensitivity &amp; Scenarios'!$C$11*'Sensitivity &amp; Scenarios'!$C$6*((1+$E686)^5-(1+$E686)^4))/(1+$C686)^('Sensitivity &amp; Scenarios'!$C$18+4)</f>
        <v>28451.114921511165</v>
      </c>
      <c r="I686" s="209">
        <f>('Sensitivity &amp; Scenarios'!$C$6*(1+$E686)^5*$G686+'Sensitivity &amp; Scenarios'!$C$11*'Sensitivity &amp; Scenarios'!$C$6*((1+$E686)^5-(1+$E686)^4))*(1+$D686)/($C686-$D686)/(1+$C686)^('Sensitivity &amp; Scenarios'!$C$18+4)</f>
        <v>91671.821977140804</v>
      </c>
      <c r="J686" s="209">
        <f>($H686+$I686-'Sensitivity &amp; Scenarios'!$C$15+'Sensitivity &amp; Scenarios'!$C$16)/'Sensitivity &amp; Scenarios'!$C$17</f>
        <v>2815.0019944807227</v>
      </c>
    </row>
    <row r="687" spans="2:10" x14ac:dyDescent="0.3">
      <c r="B687" s="127">
        <v>657</v>
      </c>
      <c r="C687" s="206">
        <f>$D$7+-0.552025*$E$7</f>
        <v>0.13203200943997798</v>
      </c>
      <c r="D687" s="206">
        <f>MIN($D$8+-0.155133*$E$8,'Debt &amp; Cost of Capital'!$C$38)</f>
        <v>5.4069202000000004E-2</v>
      </c>
      <c r="E687" s="207">
        <f>$D$9+1.353074*$E$9</f>
        <v>0.20781331770254635</v>
      </c>
      <c r="F687" s="207">
        <f>$D$10+1.466203*$E$10</f>
        <v>0.1625944359999999</v>
      </c>
      <c r="G687" s="208">
        <f>$F687*(1-'Sensitivity &amp; Scenarios'!$C$12)+'Sensitivity &amp; Scenarios'!$C$9*'Sensitivity &amp; Scenarios'!$C$12-'Sensitivity &amp; Scenarios'!$C$10</f>
        <v>9.0864834547264628E-2</v>
      </c>
      <c r="H687" s="209">
        <f>('Sensitivity &amp; Scenarios'!$C$6*(1+$E687)^1*$G687+'Sensitivity &amp; Scenarios'!$C$11*'Sensitivity &amp; Scenarios'!$C$6*((1+$E687)^1-(1+$E687)^0))*'Sensitivity &amp; Scenarios'!$C$18/(1+$C687)^'Sensitivity &amp; Scenarios'!$C$18+('Sensitivity &amp; Scenarios'!$C$6*(1+$E687)^2*$G687+'Sensitivity &amp; Scenarios'!$C$11*'Sensitivity &amp; Scenarios'!$C$6*((1+$E687)^2-(1+$E687)^1))/(1+$C687)^('Sensitivity &amp; Scenarios'!$C$18+1)+('Sensitivity &amp; Scenarios'!$C$6*(1+$E687)^3*$G687+'Sensitivity &amp; Scenarios'!$C$11*'Sensitivity &amp; Scenarios'!$C$6*((1+$E687)^3-(1+$E687)^2))/(1+$C687)^('Sensitivity &amp; Scenarios'!$C$18+2)+('Sensitivity &amp; Scenarios'!$C$6*(1+$E687)^4*$G687+'Sensitivity &amp; Scenarios'!$C$11*'Sensitivity &amp; Scenarios'!$C$6*((1+$E687)^4-(1+$E687)^3))/(1+$C687)^('Sensitivity &amp; Scenarios'!$C$18+3)+('Sensitivity &amp; Scenarios'!$C$6*(1+$E687)^5*$G687+'Sensitivity &amp; Scenarios'!$C$11*'Sensitivity &amp; Scenarios'!$C$6*((1+$E687)^5-(1+$E687)^4))/(1+$C687)^('Sensitivity &amp; Scenarios'!$C$18+4)</f>
        <v>30996.310814368968</v>
      </c>
      <c r="I687" s="209">
        <f>('Sensitivity &amp; Scenarios'!$C$6*(1+$E687)^5*$G687+'Sensitivity &amp; Scenarios'!$C$11*'Sensitivity &amp; Scenarios'!$C$6*((1+$E687)^5-(1+$E687)^4))*(1+$D687)/($C687-$D687)/(1+$C687)^('Sensitivity &amp; Scenarios'!$C$18+4)</f>
        <v>101534.33769182669</v>
      </c>
      <c r="J687" s="209">
        <f>($H687+$I687-'Sensitivity &amp; Scenarios'!$C$15+'Sensitivity &amp; Scenarios'!$C$16)/'Sensitivity &amp; Scenarios'!$C$17</f>
        <v>3076.1691408674624</v>
      </c>
    </row>
    <row r="688" spans="2:10" x14ac:dyDescent="0.3">
      <c r="B688" s="127">
        <v>658</v>
      </c>
      <c r="C688" s="206">
        <f>$D$7+-0.816793*$E$7</f>
        <v>0.12938432943997799</v>
      </c>
      <c r="D688" s="206">
        <f>MIN($D$8+-0.042434*$E$8,'Debt &amp; Cost of Capital'!$C$38)</f>
        <v>5.4745396000000002E-2</v>
      </c>
      <c r="E688" s="207">
        <f>$D$9+0.090157*$E$9</f>
        <v>0.16992580770254634</v>
      </c>
      <c r="F688" s="207">
        <f>$D$10+-0.98624*$E$10</f>
        <v>0.13316511999999991</v>
      </c>
      <c r="G688" s="208">
        <f>$F688*(1-'Sensitivity &amp; Scenarios'!$C$12)+'Sensitivity &amp; Scenarios'!$C$9*'Sensitivity &amp; Scenarios'!$C$12-'Sensitivity &amp; Scenarios'!$C$10</f>
        <v>6.8842877384464637E-2</v>
      </c>
      <c r="H688" s="209">
        <f>('Sensitivity &amp; Scenarios'!$C$6*(1+$E688)^1*$G688+'Sensitivity &amp; Scenarios'!$C$11*'Sensitivity &amp; Scenarios'!$C$6*((1+$E688)^1-(1+$E688)^0))*'Sensitivity &amp; Scenarios'!$C$18/(1+$C688)^'Sensitivity &amp; Scenarios'!$C$18+('Sensitivity &amp; Scenarios'!$C$6*(1+$E688)^2*$G688+'Sensitivity &amp; Scenarios'!$C$11*'Sensitivity &amp; Scenarios'!$C$6*((1+$E688)^2-(1+$E688)^1))/(1+$C688)^('Sensitivity &amp; Scenarios'!$C$18+1)+('Sensitivity &amp; Scenarios'!$C$6*(1+$E688)^3*$G688+'Sensitivity &amp; Scenarios'!$C$11*'Sensitivity &amp; Scenarios'!$C$6*((1+$E688)^3-(1+$E688)^2))/(1+$C688)^('Sensitivity &amp; Scenarios'!$C$18+2)+('Sensitivity &amp; Scenarios'!$C$6*(1+$E688)^4*$G688+'Sensitivity &amp; Scenarios'!$C$11*'Sensitivity &amp; Scenarios'!$C$6*((1+$E688)^4-(1+$E688)^3))/(1+$C688)^('Sensitivity &amp; Scenarios'!$C$18+3)+('Sensitivity &amp; Scenarios'!$C$6*(1+$E688)^5*$G688+'Sensitivity &amp; Scenarios'!$C$11*'Sensitivity &amp; Scenarios'!$C$6*((1+$E688)^5-(1+$E688)^4))/(1+$C688)^('Sensitivity &amp; Scenarios'!$C$18+4)</f>
        <v>21737.02123945301</v>
      </c>
      <c r="I688" s="209">
        <f>('Sensitivity &amp; Scenarios'!$C$6*(1+$E688)^5*$G688+'Sensitivity &amp; Scenarios'!$C$11*'Sensitivity &amp; Scenarios'!$C$6*((1+$E688)^5-(1+$E688)^4))*(1+$D688)/($C688-$D688)/(1+$C688)^('Sensitivity &amp; Scenarios'!$C$18+4)</f>
        <v>70672.007340282886</v>
      </c>
      <c r="J688" s="209">
        <f>($H688+$I688-'Sensitivity &amp; Scenarios'!$C$15+'Sensitivity &amp; Scenarios'!$C$16)/'Sensitivity &amp; Scenarios'!$C$17</f>
        <v>2231.6581370626905</v>
      </c>
    </row>
    <row r="689" spans="2:10" x14ac:dyDescent="0.3">
      <c r="B689" s="127">
        <v>659</v>
      </c>
      <c r="C689" s="206">
        <f>$D$7+-0.055685*$E$7</f>
        <v>0.13699540943997798</v>
      </c>
      <c r="D689" s="206">
        <f>MIN($D$8+0.005323*$E$8,'Debt &amp; Cost of Capital'!$C$38)</f>
        <v>5.5031938000000002E-2</v>
      </c>
      <c r="E689" s="207">
        <f>$D$9+1.140209*$E$9</f>
        <v>0.20142736770254632</v>
      </c>
      <c r="F689" s="207">
        <f>$D$10+1.207425*$E$10</f>
        <v>0.15948909999999991</v>
      </c>
      <c r="G689" s="208">
        <f>$F689*(1-'Sensitivity &amp; Scenarios'!$C$12)+'Sensitivity &amp; Scenarios'!$C$9*'Sensitivity &amp; Scenarios'!$C$12-'Sensitivity &amp; Scenarios'!$C$10</f>
        <v>8.8541111618464632E-2</v>
      </c>
      <c r="H689" s="209">
        <f>('Sensitivity &amp; Scenarios'!$C$6*(1+$E689)^1*$G689+'Sensitivity &amp; Scenarios'!$C$11*'Sensitivity &amp; Scenarios'!$C$6*((1+$E689)^1-(1+$E689)^0))*'Sensitivity &amp; Scenarios'!$C$18/(1+$C689)^'Sensitivity &amp; Scenarios'!$C$18+('Sensitivity &amp; Scenarios'!$C$6*(1+$E689)^2*$G689+'Sensitivity &amp; Scenarios'!$C$11*'Sensitivity &amp; Scenarios'!$C$6*((1+$E689)^2-(1+$E689)^1))/(1+$C689)^('Sensitivity &amp; Scenarios'!$C$18+1)+('Sensitivity &amp; Scenarios'!$C$6*(1+$E689)^3*$G689+'Sensitivity &amp; Scenarios'!$C$11*'Sensitivity &amp; Scenarios'!$C$6*((1+$E689)^3-(1+$E689)^2))/(1+$C689)^('Sensitivity &amp; Scenarios'!$C$18+2)+('Sensitivity &amp; Scenarios'!$C$6*(1+$E689)^4*$G689+'Sensitivity &amp; Scenarios'!$C$11*'Sensitivity &amp; Scenarios'!$C$6*((1+$E689)^4-(1+$E689)^3))/(1+$C689)^('Sensitivity &amp; Scenarios'!$C$18+3)+('Sensitivity &amp; Scenarios'!$C$6*(1+$E689)^5*$G689+'Sensitivity &amp; Scenarios'!$C$11*'Sensitivity &amp; Scenarios'!$C$6*((1+$E689)^5-(1+$E689)^4))/(1+$C689)^('Sensitivity &amp; Scenarios'!$C$18+4)</f>
        <v>29310.833519639946</v>
      </c>
      <c r="I689" s="209">
        <f>('Sensitivity &amp; Scenarios'!$C$6*(1+$E689)^5*$G689+'Sensitivity &amp; Scenarios'!$C$11*'Sensitivity &amp; Scenarios'!$C$6*((1+$E689)^5-(1+$E689)^4))*(1+$D689)/($C689-$D689)/(1+$C689)^('Sensitivity &amp; Scenarios'!$C$18+4)</f>
        <v>89890.009911509027</v>
      </c>
      <c r="J689" s="209">
        <f>($H689+$I689-'Sensitivity &amp; Scenarios'!$C$15+'Sensitivity &amp; Scenarios'!$C$16)/'Sensitivity &amp; Scenarios'!$C$17</f>
        <v>2795.593055328462</v>
      </c>
    </row>
    <row r="690" spans="2:10" x14ac:dyDescent="0.3">
      <c r="B690" s="127">
        <v>660</v>
      </c>
      <c r="C690" s="206">
        <f>$D$7+-0.329209*$E$7</f>
        <v>0.13426016943997798</v>
      </c>
      <c r="D690" s="206">
        <f>MIN($D$8+-0.213953*$E$8,'Debt &amp; Cost of Capital'!$C$38)</f>
        <v>5.3716281999999997E-2</v>
      </c>
      <c r="E690" s="207">
        <f>$D$9+0.664292*$E$9</f>
        <v>0.18714985770254633</v>
      </c>
      <c r="F690" s="207">
        <f>$D$10+-0.585188*$E$10</f>
        <v>0.1379777439999999</v>
      </c>
      <c r="G690" s="208">
        <f>$F690*(1-'Sensitivity &amp; Scenarios'!$C$12)+'Sensitivity &amp; Scenarios'!$C$9*'Sensitivity &amp; Scenarios'!$C$12-'Sensitivity &amp; Scenarios'!$C$10</f>
        <v>7.2444163923664637E-2</v>
      </c>
      <c r="H690" s="209">
        <f>('Sensitivity &amp; Scenarios'!$C$6*(1+$E690)^1*$G690+'Sensitivity &amp; Scenarios'!$C$11*'Sensitivity &amp; Scenarios'!$C$6*((1+$E690)^1-(1+$E690)^0))*'Sensitivity &amp; Scenarios'!$C$18/(1+$C690)^'Sensitivity &amp; Scenarios'!$C$18+('Sensitivity &amp; Scenarios'!$C$6*(1+$E690)^2*$G690+'Sensitivity &amp; Scenarios'!$C$11*'Sensitivity &amp; Scenarios'!$C$6*((1+$E690)^2-(1+$E690)^1))/(1+$C690)^('Sensitivity &amp; Scenarios'!$C$18+1)+('Sensitivity &amp; Scenarios'!$C$6*(1+$E690)^3*$G690+'Sensitivity &amp; Scenarios'!$C$11*'Sensitivity &amp; Scenarios'!$C$6*((1+$E690)^3-(1+$E690)^2))/(1+$C690)^('Sensitivity &amp; Scenarios'!$C$18+2)+('Sensitivity &amp; Scenarios'!$C$6*(1+$E690)^4*$G690+'Sensitivity &amp; Scenarios'!$C$11*'Sensitivity &amp; Scenarios'!$C$6*((1+$E690)^4-(1+$E690)^3))/(1+$C690)^('Sensitivity &amp; Scenarios'!$C$18+3)+('Sensitivity &amp; Scenarios'!$C$6*(1+$E690)^5*$G690+'Sensitivity &amp; Scenarios'!$C$11*'Sensitivity &amp; Scenarios'!$C$6*((1+$E690)^5-(1+$E690)^4))/(1+$C690)^('Sensitivity &amp; Scenarios'!$C$18+4)</f>
        <v>23826.515177888294</v>
      </c>
      <c r="I690" s="209">
        <f>('Sensitivity &amp; Scenarios'!$C$6*(1+$E690)^5*$G690+'Sensitivity &amp; Scenarios'!$C$11*'Sensitivity &amp; Scenarios'!$C$6*((1+$E690)^5-(1+$E690)^4))*(1+$D690)/($C690-$D690)/(1+$C690)^('Sensitivity &amp; Scenarios'!$C$18+4)</f>
        <v>73035.227186828328</v>
      </c>
      <c r="J690" s="209">
        <f>($H690+$I690-'Sensitivity &amp; Scenarios'!$C$15+'Sensitivity &amp; Scenarios'!$C$16)/'Sensitivity &amp; Scenarios'!$C$17</f>
        <v>2325.3823135815328</v>
      </c>
    </row>
    <row r="691" spans="2:10" x14ac:dyDescent="0.3">
      <c r="B691" s="127">
        <v>661</v>
      </c>
      <c r="C691" s="206">
        <f>$D$7+0.58864*$E$7</f>
        <v>0.14343865943997799</v>
      </c>
      <c r="D691" s="206">
        <f>MIN($D$8+-0.087906*$E$8,'Debt &amp; Cost of Capital'!$C$38)</f>
        <v>5.4472564000000001E-2</v>
      </c>
      <c r="E691" s="207">
        <f>$D$9+-0.969399*$E$9</f>
        <v>0.13813912770254633</v>
      </c>
      <c r="F691" s="207">
        <f>$D$10+-0.956837*$E$10</f>
        <v>0.13351795599999991</v>
      </c>
      <c r="G691" s="208">
        <f>$F691*(1-'Sensitivity &amp; Scenarios'!$C$12)+'Sensitivity &amp; Scenarios'!$C$9*'Sensitivity &amp; Scenarios'!$C$12-'Sensitivity &amp; Scenarios'!$C$10</f>
        <v>6.910690456326464E-2</v>
      </c>
      <c r="H691" s="209">
        <f>('Sensitivity &amp; Scenarios'!$C$6*(1+$E691)^1*$G691+'Sensitivity &amp; Scenarios'!$C$11*'Sensitivity &amp; Scenarios'!$C$6*((1+$E691)^1-(1+$E691)^0))*'Sensitivity &amp; Scenarios'!$C$18/(1+$C691)^'Sensitivity &amp; Scenarios'!$C$18+('Sensitivity &amp; Scenarios'!$C$6*(1+$E691)^2*$G691+'Sensitivity &amp; Scenarios'!$C$11*'Sensitivity &amp; Scenarios'!$C$6*((1+$E691)^2-(1+$E691)^1))/(1+$C691)^('Sensitivity &amp; Scenarios'!$C$18+1)+('Sensitivity &amp; Scenarios'!$C$6*(1+$E691)^3*$G691+'Sensitivity &amp; Scenarios'!$C$11*'Sensitivity &amp; Scenarios'!$C$6*((1+$E691)^3-(1+$E691)^2))/(1+$C691)^('Sensitivity &amp; Scenarios'!$C$18+2)+('Sensitivity &amp; Scenarios'!$C$6*(1+$E691)^4*$G691+'Sensitivity &amp; Scenarios'!$C$11*'Sensitivity &amp; Scenarios'!$C$6*((1+$E691)^4-(1+$E691)^3))/(1+$C691)^('Sensitivity &amp; Scenarios'!$C$18+3)+('Sensitivity &amp; Scenarios'!$C$6*(1+$E691)^5*$G691+'Sensitivity &amp; Scenarios'!$C$11*'Sensitivity &amp; Scenarios'!$C$6*((1+$E691)^5-(1+$E691)^4))/(1+$C691)^('Sensitivity &amp; Scenarios'!$C$18+4)</f>
        <v>18692.87891398586</v>
      </c>
      <c r="I691" s="209">
        <f>('Sensitivity &amp; Scenarios'!$C$6*(1+$E691)^5*$G691+'Sensitivity &amp; Scenarios'!$C$11*'Sensitivity &amp; Scenarios'!$C$6*((1+$E691)^5-(1+$E691)^4))*(1+$D691)/($C691-$D691)/(1+$C691)^('Sensitivity &amp; Scenarios'!$C$18+4)</f>
        <v>47414.634091715772</v>
      </c>
      <c r="J691" s="209">
        <f>($H691+$I691-'Sensitivity &amp; Scenarios'!$C$15+'Sensitivity &amp; Scenarios'!$C$16)/'Sensitivity &amp; Scenarios'!$C$17</f>
        <v>1678.0434186209259</v>
      </c>
    </row>
    <row r="692" spans="2:10" x14ac:dyDescent="0.3">
      <c r="B692" s="127">
        <v>662</v>
      </c>
      <c r="C692" s="206">
        <f>$D$7+1.447059*$E$7</f>
        <v>0.15202284943997799</v>
      </c>
      <c r="D692" s="206">
        <f>MIN($D$8+-0.156421*$E$8,'Debt &amp; Cost of Capital'!$C$38)</f>
        <v>5.4061473999999998E-2</v>
      </c>
      <c r="E692" s="207">
        <f>$D$9+1.640354*$E$9</f>
        <v>0.21643171770254635</v>
      </c>
      <c r="F692" s="207">
        <f>$D$10+-0.513636*$E$10</f>
        <v>0.1388363679999999</v>
      </c>
      <c r="G692" s="208">
        <f>$F692*(1-'Sensitivity &amp; Scenarios'!$C$12)+'Sensitivity &amp; Scenarios'!$C$9*'Sensitivity &amp; Scenarios'!$C$12-'Sensitivity &amp; Scenarios'!$C$10</f>
        <v>7.3086672262864638E-2</v>
      </c>
      <c r="H692" s="209">
        <f>('Sensitivity &amp; Scenarios'!$C$6*(1+$E692)^1*$G692+'Sensitivity &amp; Scenarios'!$C$11*'Sensitivity &amp; Scenarios'!$C$6*((1+$E692)^1-(1+$E692)^0))*'Sensitivity &amp; Scenarios'!$C$18/(1+$C692)^'Sensitivity &amp; Scenarios'!$C$18+('Sensitivity &amp; Scenarios'!$C$6*(1+$E692)^2*$G692+'Sensitivity &amp; Scenarios'!$C$11*'Sensitivity &amp; Scenarios'!$C$6*((1+$E692)^2-(1+$E692)^1))/(1+$C692)^('Sensitivity &amp; Scenarios'!$C$18+1)+('Sensitivity &amp; Scenarios'!$C$6*(1+$E692)^3*$G692+'Sensitivity &amp; Scenarios'!$C$11*'Sensitivity &amp; Scenarios'!$C$6*((1+$E692)^3-(1+$E692)^2))/(1+$C692)^('Sensitivity &amp; Scenarios'!$C$18+2)+('Sensitivity &amp; Scenarios'!$C$6*(1+$E692)^4*$G692+'Sensitivity &amp; Scenarios'!$C$11*'Sensitivity &amp; Scenarios'!$C$6*((1+$E692)^4-(1+$E692)^3))/(1+$C692)^('Sensitivity &amp; Scenarios'!$C$18+3)+('Sensitivity &amp; Scenarios'!$C$6*(1+$E692)^5*$G692+'Sensitivity &amp; Scenarios'!$C$11*'Sensitivity &amp; Scenarios'!$C$6*((1+$E692)^5-(1+$E692)^4))/(1+$C692)^('Sensitivity &amp; Scenarios'!$C$18+4)</f>
        <v>25449.113923048168</v>
      </c>
      <c r="I692" s="209">
        <f>('Sensitivity &amp; Scenarios'!$C$6*(1+$E692)^5*$G692+'Sensitivity &amp; Scenarios'!$C$11*'Sensitivity &amp; Scenarios'!$C$6*((1+$E692)^5-(1+$E692)^4))*(1+$D692)/($C692-$D692)/(1+$C692)^('Sensitivity &amp; Scenarios'!$C$18+4)</f>
        <v>65159.50506951334</v>
      </c>
      <c r="J692" s="209">
        <f>($H692+$I692-'Sensitivity &amp; Scenarios'!$C$15+'Sensitivity &amp; Scenarios'!$C$16)/'Sensitivity &amp; Scenarios'!$C$17</f>
        <v>2193.7617183609705</v>
      </c>
    </row>
    <row r="693" spans="2:10" x14ac:dyDescent="0.3">
      <c r="B693" s="127">
        <v>663</v>
      </c>
      <c r="C693" s="206">
        <f>$D$7+0.291205*$E$7</f>
        <v>0.14046430943997798</v>
      </c>
      <c r="D693" s="206">
        <f>MIN($D$8+2.392677*$E$8,'Debt &amp; Cost of Capital'!$C$38)</f>
        <v>6.7799999999999999E-2</v>
      </c>
      <c r="E693" s="207">
        <f>$D$9+-1.057387*$E$9</f>
        <v>0.13549948770254633</v>
      </c>
      <c r="F693" s="207">
        <f>$D$10+-1.897814*$E$10</f>
        <v>0.12222623199999991</v>
      </c>
      <c r="G693" s="208">
        <f>$F693*(1-'Sensitivity &amp; Scenarios'!$C$12)+'Sensitivity &amp; Scenarios'!$C$9*'Sensitivity &amp; Scenarios'!$C$12-'Sensitivity &amp; Scenarios'!$C$10</f>
        <v>6.065730749406463E-2</v>
      </c>
      <c r="H693" s="209">
        <f>('Sensitivity &amp; Scenarios'!$C$6*(1+$E693)^1*$G693+'Sensitivity &amp; Scenarios'!$C$11*'Sensitivity &amp; Scenarios'!$C$6*((1+$E693)^1-(1+$E693)^0))*'Sensitivity &amp; Scenarios'!$C$18/(1+$C693)^'Sensitivity &amp; Scenarios'!$C$18+('Sensitivity &amp; Scenarios'!$C$6*(1+$E693)^2*$G693+'Sensitivity &amp; Scenarios'!$C$11*'Sensitivity &amp; Scenarios'!$C$6*((1+$E693)^2-(1+$E693)^1))/(1+$C693)^('Sensitivity &amp; Scenarios'!$C$18+1)+('Sensitivity &amp; Scenarios'!$C$6*(1+$E693)^3*$G693+'Sensitivity &amp; Scenarios'!$C$11*'Sensitivity &amp; Scenarios'!$C$6*((1+$E693)^3-(1+$E693)^2))/(1+$C693)^('Sensitivity &amp; Scenarios'!$C$18+2)+('Sensitivity &amp; Scenarios'!$C$6*(1+$E693)^4*$G693+'Sensitivity &amp; Scenarios'!$C$11*'Sensitivity &amp; Scenarios'!$C$6*((1+$E693)^4-(1+$E693)^3))/(1+$C693)^('Sensitivity &amp; Scenarios'!$C$18+3)+('Sensitivity &amp; Scenarios'!$C$6*(1+$E693)^5*$G693+'Sensitivity &amp; Scenarios'!$C$11*'Sensitivity &amp; Scenarios'!$C$6*((1+$E693)^5-(1+$E693)^4))/(1+$C693)^('Sensitivity &amp; Scenarios'!$C$18+4)</f>
        <v>16725.356762505649</v>
      </c>
      <c r="I693" s="209">
        <f>('Sensitivity &amp; Scenarios'!$C$6*(1+$E693)^5*$G693+'Sensitivity &amp; Scenarios'!$C$11*'Sensitivity &amp; Scenarios'!$C$6*((1+$E693)^5-(1+$E693)^4))*(1+$D693)/($C693-$D693)/(1+$C693)^('Sensitivity &amp; Scenarios'!$C$18+4)</f>
        <v>52625.554444309651</v>
      </c>
      <c r="J693" s="209">
        <f>($H693+$I693-'Sensitivity &amp; Scenarios'!$C$15+'Sensitivity &amp; Scenarios'!$C$16)/'Sensitivity &amp; Scenarios'!$C$17</f>
        <v>1746.312981903307</v>
      </c>
    </row>
    <row r="694" spans="2:10" x14ac:dyDescent="0.3">
      <c r="B694" s="127">
        <v>664</v>
      </c>
      <c r="C694" s="206">
        <f>$D$7+1.28659*$E$7</f>
        <v>0.15041815943997799</v>
      </c>
      <c r="D694" s="206">
        <f>MIN($D$8+-0.826809*$E$8,'Debt &amp; Cost of Capital'!$C$38)</f>
        <v>5.0039146E-2</v>
      </c>
      <c r="E694" s="207">
        <f>$D$9+-0.020706*$E$9</f>
        <v>0.16659991770254634</v>
      </c>
      <c r="F694" s="207">
        <f>$D$10+-0.585918*$E$10</f>
        <v>0.13796898399999991</v>
      </c>
      <c r="G694" s="208">
        <f>$F694*(1-'Sensitivity &amp; Scenarios'!$C$12)+'Sensitivity &amp; Scenarios'!$C$9*'Sensitivity &amp; Scenarios'!$C$12-'Sensitivity &amp; Scenarios'!$C$10</f>
        <v>7.2437608815664634E-2</v>
      </c>
      <c r="H694" s="209">
        <f>('Sensitivity &amp; Scenarios'!$C$6*(1+$E694)^1*$G694+'Sensitivity &amp; Scenarios'!$C$11*'Sensitivity &amp; Scenarios'!$C$6*((1+$E694)^1-(1+$E694)^0))*'Sensitivity &amp; Scenarios'!$C$18/(1+$C694)^'Sensitivity &amp; Scenarios'!$C$18+('Sensitivity &amp; Scenarios'!$C$6*(1+$E694)^2*$G694+'Sensitivity &amp; Scenarios'!$C$11*'Sensitivity &amp; Scenarios'!$C$6*((1+$E694)^2-(1+$E694)^1))/(1+$C694)^('Sensitivity &amp; Scenarios'!$C$18+1)+('Sensitivity &amp; Scenarios'!$C$6*(1+$E694)^3*$G694+'Sensitivity &amp; Scenarios'!$C$11*'Sensitivity &amp; Scenarios'!$C$6*((1+$E694)^3-(1+$E694)^2))/(1+$C694)^('Sensitivity &amp; Scenarios'!$C$18+2)+('Sensitivity &amp; Scenarios'!$C$6*(1+$E694)^4*$G694+'Sensitivity &amp; Scenarios'!$C$11*'Sensitivity &amp; Scenarios'!$C$6*((1+$E694)^4-(1+$E694)^3))/(1+$C694)^('Sensitivity &amp; Scenarios'!$C$18+3)+('Sensitivity &amp; Scenarios'!$C$6*(1+$E694)^5*$G694+'Sensitivity &amp; Scenarios'!$C$11*'Sensitivity &amp; Scenarios'!$C$6*((1+$E694)^5-(1+$E694)^4))/(1+$C694)^('Sensitivity &amp; Scenarios'!$C$18+4)</f>
        <v>21243.199463142904</v>
      </c>
      <c r="I694" s="209">
        <f>('Sensitivity &amp; Scenarios'!$C$6*(1+$E694)^5*$G694+'Sensitivity &amp; Scenarios'!$C$11*'Sensitivity &amp; Scenarios'!$C$6*((1+$E694)^5-(1+$E694)^4))*(1+$D694)/($C694-$D694)/(1+$C694)^('Sensitivity &amp; Scenarios'!$C$18+4)</f>
        <v>49206.883632646357</v>
      </c>
      <c r="J694" s="209">
        <f>($H694+$I694-'Sensitivity &amp; Scenarios'!$C$15+'Sensitivity &amp; Scenarios'!$C$16)/'Sensitivity &amp; Scenarios'!$C$17</f>
        <v>1769.4492051418706</v>
      </c>
    </row>
    <row r="695" spans="2:10" x14ac:dyDescent="0.3">
      <c r="B695" s="127">
        <v>665</v>
      </c>
      <c r="C695" s="206">
        <f>$D$7+0.268163*$E$7</f>
        <v>0.14023388943997797</v>
      </c>
      <c r="D695" s="206">
        <f>MIN($D$8+-0.950536*$E$8,'Debt &amp; Cost of Capital'!$C$38)</f>
        <v>4.9296783999999996E-2</v>
      </c>
      <c r="E695" s="207">
        <f>$D$9+-0.17994*$E$9</f>
        <v>0.16182289770254635</v>
      </c>
      <c r="F695" s="207">
        <f>$D$10+0.449815*$E$10</f>
        <v>0.1503977799999999</v>
      </c>
      <c r="G695" s="208">
        <f>$F695*(1-'Sensitivity &amp; Scenarios'!$C$12)+'Sensitivity &amp; Scenarios'!$C$9*'Sensitivity &amp; Scenarios'!$C$12-'Sensitivity &amp; Scenarios'!$C$10</f>
        <v>8.1738076862464634E-2</v>
      </c>
      <c r="H695" s="209">
        <f>('Sensitivity &amp; Scenarios'!$C$6*(1+$E695)^1*$G695+'Sensitivity &amp; Scenarios'!$C$11*'Sensitivity &amp; Scenarios'!$C$6*((1+$E695)^1-(1+$E695)^0))*'Sensitivity &amp; Scenarios'!$C$18/(1+$C695)^'Sensitivity &amp; Scenarios'!$C$18+('Sensitivity &amp; Scenarios'!$C$6*(1+$E695)^2*$G695+'Sensitivity &amp; Scenarios'!$C$11*'Sensitivity &amp; Scenarios'!$C$6*((1+$E695)^2-(1+$E695)^1))/(1+$C695)^('Sensitivity &amp; Scenarios'!$C$18+1)+('Sensitivity &amp; Scenarios'!$C$6*(1+$E695)^3*$G695+'Sensitivity &amp; Scenarios'!$C$11*'Sensitivity &amp; Scenarios'!$C$6*((1+$E695)^3-(1+$E695)^2))/(1+$C695)^('Sensitivity &amp; Scenarios'!$C$18+2)+('Sensitivity &amp; Scenarios'!$C$6*(1+$E695)^4*$G695+'Sensitivity &amp; Scenarios'!$C$11*'Sensitivity &amp; Scenarios'!$C$6*((1+$E695)^4-(1+$E695)^3))/(1+$C695)^('Sensitivity &amp; Scenarios'!$C$18+3)+('Sensitivity &amp; Scenarios'!$C$6*(1+$E695)^5*$G695+'Sensitivity &amp; Scenarios'!$C$11*'Sensitivity &amp; Scenarios'!$C$6*((1+$E695)^5-(1+$E695)^4))/(1+$C695)^('Sensitivity &amp; Scenarios'!$C$18+4)</f>
        <v>23673.628285071052</v>
      </c>
      <c r="I695" s="209">
        <f>('Sensitivity &amp; Scenarios'!$C$6*(1+$E695)^5*$G695+'Sensitivity &amp; Scenarios'!$C$11*'Sensitivity &amp; Scenarios'!$C$6*((1+$E695)^5-(1+$E695)^4))*(1+$D695)/($C695-$D695)/(1+$C695)^('Sensitivity &amp; Scenarios'!$C$18+4)</f>
        <v>61014.576130479414</v>
      </c>
      <c r="J695" s="209">
        <f>($H695+$I695-'Sensitivity &amp; Scenarios'!$C$15+'Sensitivity &amp; Scenarios'!$C$16)/'Sensitivity &amp; Scenarios'!$C$17</f>
        <v>2069.1442361522163</v>
      </c>
    </row>
    <row r="696" spans="2:10" x14ac:dyDescent="0.3">
      <c r="B696" s="127">
        <v>666</v>
      </c>
      <c r="C696" s="206">
        <f>$D$7+-1.008309*$E$7</f>
        <v>0.12746916943997799</v>
      </c>
      <c r="D696" s="206">
        <f>MIN($D$8+-0.700084*$E$8,'Debt &amp; Cost of Capital'!$C$38)</f>
        <v>5.0799496E-2</v>
      </c>
      <c r="E696" s="207">
        <f>$D$9+-0.347383*$E$9</f>
        <v>0.15679960770254633</v>
      </c>
      <c r="F696" s="207">
        <f>$D$10+-1.428815*$E$10</f>
        <v>0.12785421999999991</v>
      </c>
      <c r="G696" s="208">
        <f>$F696*(1-'Sensitivity &amp; Scenarios'!$C$12)+'Sensitivity &amp; Scenarios'!$C$9*'Sensitivity &amp; Scenarios'!$C$12-'Sensitivity &amp; Scenarios'!$C$10</f>
        <v>6.4868730914464642E-2</v>
      </c>
      <c r="H696" s="209">
        <f>('Sensitivity &amp; Scenarios'!$C$6*(1+$E696)^1*$G696+'Sensitivity &amp; Scenarios'!$C$11*'Sensitivity &amp; Scenarios'!$C$6*((1+$E696)^1-(1+$E696)^0))*'Sensitivity &amp; Scenarios'!$C$18/(1+$C696)^'Sensitivity &amp; Scenarios'!$C$18+('Sensitivity &amp; Scenarios'!$C$6*(1+$E696)^2*$G696+'Sensitivity &amp; Scenarios'!$C$11*'Sensitivity &amp; Scenarios'!$C$6*((1+$E696)^2-(1+$E696)^1))/(1+$C696)^('Sensitivity &amp; Scenarios'!$C$18+1)+('Sensitivity &amp; Scenarios'!$C$6*(1+$E696)^3*$G696+'Sensitivity &amp; Scenarios'!$C$11*'Sensitivity &amp; Scenarios'!$C$6*((1+$E696)^3-(1+$E696)^2))/(1+$C696)^('Sensitivity &amp; Scenarios'!$C$18+2)+('Sensitivity &amp; Scenarios'!$C$6*(1+$E696)^4*$G696+'Sensitivity &amp; Scenarios'!$C$11*'Sensitivity &amp; Scenarios'!$C$6*((1+$E696)^4-(1+$E696)^3))/(1+$C696)^('Sensitivity &amp; Scenarios'!$C$18+3)+('Sensitivity &amp; Scenarios'!$C$6*(1+$E696)^5*$G696+'Sensitivity &amp; Scenarios'!$C$11*'Sensitivity &amp; Scenarios'!$C$6*((1+$E696)^5-(1+$E696)^4))/(1+$C696)^('Sensitivity &amp; Scenarios'!$C$18+4)</f>
        <v>19812.556978639663</v>
      </c>
      <c r="I696" s="209">
        <f>('Sensitivity &amp; Scenarios'!$C$6*(1+$E696)^5*$G696+'Sensitivity &amp; Scenarios'!$C$11*'Sensitivity &amp; Scenarios'!$C$6*((1+$E696)^5-(1+$E696)^4))*(1+$D696)/($C696-$D696)/(1+$C696)^('Sensitivity &amp; Scenarios'!$C$18+4)</f>
        <v>61413.726099800646</v>
      </c>
      <c r="J696" s="209">
        <f>($H696+$I696-'Sensitivity &amp; Scenarios'!$C$15+'Sensitivity &amp; Scenarios'!$C$16)/'Sensitivity &amp; Scenarios'!$C$17</f>
        <v>1996.2750282574482</v>
      </c>
    </row>
    <row r="697" spans="2:10" x14ac:dyDescent="0.3">
      <c r="B697" s="127">
        <v>667</v>
      </c>
      <c r="C697" s="206">
        <f>$D$7+-0.422561*$E$7</f>
        <v>0.13332664943997799</v>
      </c>
      <c r="D697" s="206">
        <f>MIN($D$8+0.118797*$E$8,'Debt &amp; Cost of Capital'!$C$38)</f>
        <v>5.5712782000000002E-2</v>
      </c>
      <c r="E697" s="207">
        <f>$D$9+-0.399549*$E$9</f>
        <v>0.15523462770254634</v>
      </c>
      <c r="F697" s="207">
        <f>$D$10+-0.271376*$E$10</f>
        <v>0.14174348799999992</v>
      </c>
      <c r="G697" s="208">
        <f>$F697*(1-'Sensitivity &amp; Scenarios'!$C$12)+'Sensitivity &amp; Scenarios'!$C$9*'Sensitivity &amp; Scenarios'!$C$12-'Sensitivity &amp; Scenarios'!$C$10</f>
        <v>7.5262070158864644E-2</v>
      </c>
      <c r="H697" s="209">
        <f>('Sensitivity &amp; Scenarios'!$C$6*(1+$E697)^1*$G697+'Sensitivity &amp; Scenarios'!$C$11*'Sensitivity &amp; Scenarios'!$C$6*((1+$E697)^1-(1+$E697)^0))*'Sensitivity &amp; Scenarios'!$C$18/(1+$C697)^'Sensitivity &amp; Scenarios'!$C$18+('Sensitivity &amp; Scenarios'!$C$6*(1+$E697)^2*$G697+'Sensitivity &amp; Scenarios'!$C$11*'Sensitivity &amp; Scenarios'!$C$6*((1+$E697)^2-(1+$E697)^1))/(1+$C697)^('Sensitivity &amp; Scenarios'!$C$18+1)+('Sensitivity &amp; Scenarios'!$C$6*(1+$E697)^3*$G697+'Sensitivity &amp; Scenarios'!$C$11*'Sensitivity &amp; Scenarios'!$C$6*((1+$E697)^3-(1+$E697)^2))/(1+$C697)^('Sensitivity &amp; Scenarios'!$C$18+2)+('Sensitivity &amp; Scenarios'!$C$6*(1+$E697)^4*$G697+'Sensitivity &amp; Scenarios'!$C$11*'Sensitivity &amp; Scenarios'!$C$6*((1+$E697)^4-(1+$E697)^3))/(1+$C697)^('Sensitivity &amp; Scenarios'!$C$18+3)+('Sensitivity &amp; Scenarios'!$C$6*(1+$E697)^5*$G697+'Sensitivity &amp; Scenarios'!$C$11*'Sensitivity &amp; Scenarios'!$C$6*((1+$E697)^5-(1+$E697)^4))/(1+$C697)^('Sensitivity &amp; Scenarios'!$C$18+4)</f>
        <v>21940.697797041874</v>
      </c>
      <c r="I697" s="209">
        <f>('Sensitivity &amp; Scenarios'!$C$6*(1+$E697)^5*$G697+'Sensitivity &amp; Scenarios'!$C$11*'Sensitivity &amp; Scenarios'!$C$6*((1+$E697)^5-(1+$E697)^4))*(1+$D697)/($C697-$D697)/(1+$C697)^('Sensitivity &amp; Scenarios'!$C$18+4)</f>
        <v>66707.406405178641</v>
      </c>
      <c r="J697" s="209">
        <f>($H697+$I697-'Sensitivity &amp; Scenarios'!$C$15+'Sensitivity &amp; Scenarios'!$C$16)/'Sensitivity &amp; Scenarios'!$C$17</f>
        <v>2152.4952810486257</v>
      </c>
    </row>
    <row r="698" spans="2:10" x14ac:dyDescent="0.3">
      <c r="B698" s="127">
        <v>668</v>
      </c>
      <c r="C698" s="206">
        <f>$D$7+-0.019902*$E$7</f>
        <v>0.13735323943997799</v>
      </c>
      <c r="D698" s="206">
        <f>MIN($D$8+-0.655743*$E$8,'Debt &amp; Cost of Capital'!$C$38)</f>
        <v>5.1065541999999998E-2</v>
      </c>
      <c r="E698" s="207">
        <f>$D$9+0.691063*$E$9</f>
        <v>0.18795298770254634</v>
      </c>
      <c r="F698" s="207">
        <f>$D$10+1.435978*$E$10</f>
        <v>0.1622317359999999</v>
      </c>
      <c r="G698" s="208">
        <f>$F698*(1-'Sensitivity &amp; Scenarios'!$C$12)+'Sensitivity &amp; Scenarios'!$C$9*'Sensitivity &amp; Scenarios'!$C$12-'Sensitivity &amp; Scenarios'!$C$10</f>
        <v>9.0593426137264649E-2</v>
      </c>
      <c r="H698" s="209">
        <f>('Sensitivity &amp; Scenarios'!$C$6*(1+$E698)^1*$G698+'Sensitivity &amp; Scenarios'!$C$11*'Sensitivity &amp; Scenarios'!$C$6*((1+$E698)^1-(1+$E698)^0))*'Sensitivity &amp; Scenarios'!$C$18/(1+$C698)^'Sensitivity &amp; Scenarios'!$C$18+('Sensitivity &amp; Scenarios'!$C$6*(1+$E698)^2*$G698+'Sensitivity &amp; Scenarios'!$C$11*'Sensitivity &amp; Scenarios'!$C$6*((1+$E698)^2-(1+$E698)^1))/(1+$C698)^('Sensitivity &amp; Scenarios'!$C$18+1)+('Sensitivity &amp; Scenarios'!$C$6*(1+$E698)^3*$G698+'Sensitivity &amp; Scenarios'!$C$11*'Sensitivity &amp; Scenarios'!$C$6*((1+$E698)^3-(1+$E698)^2))/(1+$C698)^('Sensitivity &amp; Scenarios'!$C$18+2)+('Sensitivity &amp; Scenarios'!$C$6*(1+$E698)^4*$G698+'Sensitivity &amp; Scenarios'!$C$11*'Sensitivity &amp; Scenarios'!$C$6*((1+$E698)^4-(1+$E698)^3))/(1+$C698)^('Sensitivity &amp; Scenarios'!$C$18+3)+('Sensitivity &amp; Scenarios'!$C$6*(1+$E698)^5*$G698+'Sensitivity &amp; Scenarios'!$C$11*'Sensitivity &amp; Scenarios'!$C$6*((1+$E698)^5-(1+$E698)^4))/(1+$C698)^('Sensitivity &amp; Scenarios'!$C$18+4)</f>
        <v>28498.534240755984</v>
      </c>
      <c r="I698" s="209">
        <f>('Sensitivity &amp; Scenarios'!$C$6*(1+$E698)^5*$G698+'Sensitivity &amp; Scenarios'!$C$11*'Sensitivity &amp; Scenarios'!$C$6*((1+$E698)^5-(1+$E698)^4))*(1+$D698)/($C698-$D698)/(1+$C698)^('Sensitivity &amp; Scenarios'!$C$18+4)</f>
        <v>81043.616076179882</v>
      </c>
      <c r="J698" s="209">
        <f>($H698+$I698-'Sensitivity &amp; Scenarios'!$C$15+'Sensitivity &amp; Scenarios'!$C$16)/'Sensitivity &amp; Scenarios'!$C$17</f>
        <v>2592.2893843331894</v>
      </c>
    </row>
    <row r="699" spans="2:10" x14ac:dyDescent="0.3">
      <c r="B699" s="127">
        <v>669</v>
      </c>
      <c r="C699" s="206">
        <f>$D$7+-0.46438*$E$7</f>
        <v>0.13290845943997798</v>
      </c>
      <c r="D699" s="206">
        <f>MIN($D$8+0.485198*$E$8,'Debt &amp; Cost of Capital'!$C$38)</f>
        <v>5.7911188000000002E-2</v>
      </c>
      <c r="E699" s="207">
        <f>$D$9+-0.239617*$E$9</f>
        <v>0.16003258770254633</v>
      </c>
      <c r="F699" s="207">
        <f>$D$10+0.365487*$E$10</f>
        <v>0.14938584399999991</v>
      </c>
      <c r="G699" s="208">
        <f>$F699*(1-'Sensitivity &amp; Scenarios'!$C$12)+'Sensitivity &amp; Scenarios'!$C$9*'Sensitivity &amp; Scenarios'!$C$12-'Sensitivity &amp; Scenarios'!$C$10</f>
        <v>8.0980845153664632E-2</v>
      </c>
      <c r="H699" s="209">
        <f>('Sensitivity &amp; Scenarios'!$C$6*(1+$E699)^1*$G699+'Sensitivity &amp; Scenarios'!$C$11*'Sensitivity &amp; Scenarios'!$C$6*((1+$E699)^1-(1+$E699)^0))*'Sensitivity &amp; Scenarios'!$C$18/(1+$C699)^'Sensitivity &amp; Scenarios'!$C$18+('Sensitivity &amp; Scenarios'!$C$6*(1+$E699)^2*$G699+'Sensitivity &amp; Scenarios'!$C$11*'Sensitivity &amp; Scenarios'!$C$6*((1+$E699)^2-(1+$E699)^1))/(1+$C699)^('Sensitivity &amp; Scenarios'!$C$18+1)+('Sensitivity &amp; Scenarios'!$C$6*(1+$E699)^3*$G699+'Sensitivity &amp; Scenarios'!$C$11*'Sensitivity &amp; Scenarios'!$C$6*((1+$E699)^3-(1+$E699)^2))/(1+$C699)^('Sensitivity &amp; Scenarios'!$C$18+2)+('Sensitivity &amp; Scenarios'!$C$6*(1+$E699)^4*$G699+'Sensitivity &amp; Scenarios'!$C$11*'Sensitivity &amp; Scenarios'!$C$6*((1+$E699)^4-(1+$E699)^3))/(1+$C699)^('Sensitivity &amp; Scenarios'!$C$18+3)+('Sensitivity &amp; Scenarios'!$C$6*(1+$E699)^5*$G699+'Sensitivity &amp; Scenarios'!$C$11*'Sensitivity &amp; Scenarios'!$C$6*((1+$E699)^5-(1+$E699)^4))/(1+$C699)^('Sensitivity &amp; Scenarios'!$C$18+4)</f>
        <v>23767.512386706461</v>
      </c>
      <c r="I699" s="209">
        <f>('Sensitivity &amp; Scenarios'!$C$6*(1+$E699)^5*$G699+'Sensitivity &amp; Scenarios'!$C$11*'Sensitivity &amp; Scenarios'!$C$6*((1+$E699)^5-(1+$E699)^4))*(1+$D699)/($C699-$D699)/(1+$C699)^('Sensitivity &amp; Scenarios'!$C$18+4)</f>
        <v>75550.687310663037</v>
      </c>
      <c r="J699" s="209">
        <f>($H699+$I699-'Sensitivity &amp; Scenarios'!$C$15+'Sensitivity &amp; Scenarios'!$C$16)/'Sensitivity &amp; Scenarios'!$C$17</f>
        <v>2377.0877345392287</v>
      </c>
    </row>
    <row r="700" spans="2:10" x14ac:dyDescent="0.3">
      <c r="B700" s="127">
        <v>670</v>
      </c>
      <c r="C700" s="206">
        <f>$D$7+1.56578*$E$7</f>
        <v>0.15321005943997798</v>
      </c>
      <c r="D700" s="206">
        <f>MIN($D$8+0.50866*$E$8,'Debt &amp; Cost of Capital'!$C$38)</f>
        <v>5.805196E-2</v>
      </c>
      <c r="E700" s="207">
        <f>$D$9+-1.773415*$E$9</f>
        <v>0.11401864770254634</v>
      </c>
      <c r="F700" s="207">
        <f>$D$10+0.453996*$E$10</f>
        <v>0.15044795199999991</v>
      </c>
      <c r="G700" s="208">
        <f>$F700*(1-'Sensitivity &amp; Scenarios'!$C$12)+'Sensitivity &amp; Scenarios'!$C$9*'Sensitivity &amp; Scenarios'!$C$12-'Sensitivity &amp; Scenarios'!$C$10</f>
        <v>8.1775620570064642E-2</v>
      </c>
      <c r="H700" s="209">
        <f>('Sensitivity &amp; Scenarios'!$C$6*(1+$E700)^1*$G700+'Sensitivity &amp; Scenarios'!$C$11*'Sensitivity &amp; Scenarios'!$C$6*((1+$E700)^1-(1+$E700)^0))*'Sensitivity &amp; Scenarios'!$C$18/(1+$C700)^'Sensitivity &amp; Scenarios'!$C$18+('Sensitivity &amp; Scenarios'!$C$6*(1+$E700)^2*$G700+'Sensitivity &amp; Scenarios'!$C$11*'Sensitivity &amp; Scenarios'!$C$6*((1+$E700)^2-(1+$E700)^1))/(1+$C700)^('Sensitivity &amp; Scenarios'!$C$18+1)+('Sensitivity &amp; Scenarios'!$C$6*(1+$E700)^3*$G700+'Sensitivity &amp; Scenarios'!$C$11*'Sensitivity &amp; Scenarios'!$C$6*((1+$E700)^3-(1+$E700)^2))/(1+$C700)^('Sensitivity &amp; Scenarios'!$C$18+2)+('Sensitivity &amp; Scenarios'!$C$6*(1+$E700)^4*$G700+'Sensitivity &amp; Scenarios'!$C$11*'Sensitivity &amp; Scenarios'!$C$6*((1+$E700)^4-(1+$E700)^3))/(1+$C700)^('Sensitivity &amp; Scenarios'!$C$18+3)+('Sensitivity &amp; Scenarios'!$C$6*(1+$E700)^5*$G700+'Sensitivity &amp; Scenarios'!$C$11*'Sensitivity &amp; Scenarios'!$C$6*((1+$E700)^5-(1+$E700)^4))/(1+$C700)^('Sensitivity &amp; Scenarios'!$C$18+4)</f>
        <v>19268.615207593302</v>
      </c>
      <c r="I700" s="209">
        <f>('Sensitivity &amp; Scenarios'!$C$6*(1+$E700)^5*$G700+'Sensitivity &amp; Scenarios'!$C$11*'Sensitivity &amp; Scenarios'!$C$6*((1+$E700)^5-(1+$E700)^4))*(1+$D700)/($C700-$D700)/(1+$C700)^('Sensitivity &amp; Scenarios'!$C$18+4)</f>
        <v>43344.777366914059</v>
      </c>
      <c r="J700" s="209">
        <f>($H700+$I700-'Sensitivity &amp; Scenarios'!$C$15+'Sensitivity &amp; Scenarios'!$C$16)/'Sensitivity &amp; Scenarios'!$C$17</f>
        <v>1604.4964591967725</v>
      </c>
    </row>
    <row r="701" spans="2:10" x14ac:dyDescent="0.3">
      <c r="B701" s="127">
        <v>671</v>
      </c>
      <c r="C701" s="206">
        <f>$D$7+1.232864*$E$7</f>
        <v>0.14988089943997798</v>
      </c>
      <c r="D701" s="206">
        <f>MIN($D$8+-0.221596*$E$8,'Debt &amp; Cost of Capital'!$C$38)</f>
        <v>5.3670424000000001E-2</v>
      </c>
      <c r="E701" s="207">
        <f>$D$9+0.995635*$E$9</f>
        <v>0.19709014770254635</v>
      </c>
      <c r="F701" s="207">
        <f>$D$10+-0.690116*$E$10</f>
        <v>0.13671860799999991</v>
      </c>
      <c r="G701" s="208">
        <f>$F701*(1-'Sensitivity &amp; Scenarios'!$C$12)+'Sensitivity &amp; Scenarios'!$C$9*'Sensitivity &amp; Scenarios'!$C$12-'Sensitivity &amp; Scenarios'!$C$10</f>
        <v>7.150195245486464E-2</v>
      </c>
      <c r="H701" s="209">
        <f>('Sensitivity &amp; Scenarios'!$C$6*(1+$E701)^1*$G701+'Sensitivity &amp; Scenarios'!$C$11*'Sensitivity &amp; Scenarios'!$C$6*((1+$E701)^1-(1+$E701)^0))*'Sensitivity &amp; Scenarios'!$C$18/(1+$C701)^'Sensitivity &amp; Scenarios'!$C$18+('Sensitivity &amp; Scenarios'!$C$6*(1+$E701)^2*$G701+'Sensitivity &amp; Scenarios'!$C$11*'Sensitivity &amp; Scenarios'!$C$6*((1+$E701)^2-(1+$E701)^1))/(1+$C701)^('Sensitivity &amp; Scenarios'!$C$18+1)+('Sensitivity &amp; Scenarios'!$C$6*(1+$E701)^3*$G701+'Sensitivity &amp; Scenarios'!$C$11*'Sensitivity &amp; Scenarios'!$C$6*((1+$E701)^3-(1+$E701)^2))/(1+$C701)^('Sensitivity &amp; Scenarios'!$C$18+2)+('Sensitivity &amp; Scenarios'!$C$6*(1+$E701)^4*$G701+'Sensitivity &amp; Scenarios'!$C$11*'Sensitivity &amp; Scenarios'!$C$6*((1+$E701)^4-(1+$E701)^3))/(1+$C701)^('Sensitivity &amp; Scenarios'!$C$18+3)+('Sensitivity &amp; Scenarios'!$C$6*(1+$E701)^5*$G701+'Sensitivity &amp; Scenarios'!$C$11*'Sensitivity &amp; Scenarios'!$C$6*((1+$E701)^5-(1+$E701)^4))/(1+$C701)^('Sensitivity &amp; Scenarios'!$C$18+4)</f>
        <v>23490.943644858631</v>
      </c>
      <c r="I701" s="209">
        <f>('Sensitivity &amp; Scenarios'!$C$6*(1+$E701)^5*$G701+'Sensitivity &amp; Scenarios'!$C$11*'Sensitivity &amp; Scenarios'!$C$6*((1+$E701)^5-(1+$E701)^4))*(1+$D701)/($C701-$D701)/(1+$C701)^('Sensitivity &amp; Scenarios'!$C$18+4)</f>
        <v>59713.635837823291</v>
      </c>
      <c r="J701" s="209">
        <f>($H701+$I701-'Sensitivity &amp; Scenarios'!$C$15+'Sensitivity &amp; Scenarios'!$C$16)/'Sensitivity &amp; Scenarios'!$C$17</f>
        <v>2037.9157467835628</v>
      </c>
    </row>
    <row r="702" spans="2:10" x14ac:dyDescent="0.3">
      <c r="B702" s="127">
        <v>672</v>
      </c>
      <c r="C702" s="206">
        <f>$D$7+-1.485539*$E$7</f>
        <v>0.12269686943997798</v>
      </c>
      <c r="D702" s="206">
        <f>MIN($D$8+0.141169*$E$8,'Debt &amp; Cost of Capital'!$C$38)</f>
        <v>5.5847014E-2</v>
      </c>
      <c r="E702" s="207">
        <f>$D$9+-1.756477*$E$9</f>
        <v>0.11452678770254635</v>
      </c>
      <c r="F702" s="207">
        <f>$D$10+-0.239771*$E$10</f>
        <v>0.14212274799999991</v>
      </c>
      <c r="G702" s="208">
        <f>$F702*(1-'Sensitivity &amp; Scenarios'!$C$12)+'Sensitivity &amp; Scenarios'!$C$9*'Sensitivity &amp; Scenarios'!$C$12-'Sensitivity &amp; Scenarios'!$C$10</f>
        <v>7.5545870416864641E-2</v>
      </c>
      <c r="H702" s="209">
        <f>('Sensitivity &amp; Scenarios'!$C$6*(1+$E702)^1*$G702+'Sensitivity &amp; Scenarios'!$C$11*'Sensitivity &amp; Scenarios'!$C$6*((1+$E702)^1-(1+$E702)^0))*'Sensitivity &amp; Scenarios'!$C$18/(1+$C702)^'Sensitivity &amp; Scenarios'!$C$18+('Sensitivity &amp; Scenarios'!$C$6*(1+$E702)^2*$G702+'Sensitivity &amp; Scenarios'!$C$11*'Sensitivity &amp; Scenarios'!$C$6*((1+$E702)^2-(1+$E702)^1))/(1+$C702)^('Sensitivity &amp; Scenarios'!$C$18+1)+('Sensitivity &amp; Scenarios'!$C$6*(1+$E702)^3*$G702+'Sensitivity &amp; Scenarios'!$C$11*'Sensitivity &amp; Scenarios'!$C$6*((1+$E702)^3-(1+$E702)^2))/(1+$C702)^('Sensitivity &amp; Scenarios'!$C$18+2)+('Sensitivity &amp; Scenarios'!$C$6*(1+$E702)^4*$G702+'Sensitivity &amp; Scenarios'!$C$11*'Sensitivity &amp; Scenarios'!$C$6*((1+$E702)^4-(1+$E702)^3))/(1+$C702)^('Sensitivity &amp; Scenarios'!$C$18+3)+('Sensitivity &amp; Scenarios'!$C$6*(1+$E702)^5*$G702+'Sensitivity &amp; Scenarios'!$C$11*'Sensitivity &amp; Scenarios'!$C$6*((1+$E702)^5-(1+$E702)^4))/(1+$C702)^('Sensitivity &amp; Scenarios'!$C$18+4)</f>
        <v>19393.554137355168</v>
      </c>
      <c r="I702" s="209">
        <f>('Sensitivity &amp; Scenarios'!$C$6*(1+$E702)^5*$G702+'Sensitivity &amp; Scenarios'!$C$11*'Sensitivity &amp; Scenarios'!$C$6*((1+$E702)^5-(1+$E702)^4))*(1+$D702)/($C702-$D702)/(1+$C702)^('Sensitivity &amp; Scenarios'!$C$18+4)</f>
        <v>65229.621310734125</v>
      </c>
      <c r="J702" s="209">
        <f>($H702+$I702-'Sensitivity &amp; Scenarios'!$C$15+'Sensitivity &amp; Scenarios'!$C$16)/'Sensitivity &amp; Scenarios'!$C$17</f>
        <v>2067.7754559611949</v>
      </c>
    </row>
    <row r="703" spans="2:10" x14ac:dyDescent="0.3">
      <c r="B703" s="127">
        <v>673</v>
      </c>
      <c r="C703" s="206">
        <f>$D$7+1.286842*$E$7</f>
        <v>0.15042067943997797</v>
      </c>
      <c r="D703" s="206">
        <f>MIN($D$8+-1.909763*$E$8,'Debt &amp; Cost of Capital'!$C$38)</f>
        <v>4.3541421999999996E-2</v>
      </c>
      <c r="E703" s="207">
        <f>$D$9+-1.279497*$E$9</f>
        <v>0.12883618770254635</v>
      </c>
      <c r="F703" s="207">
        <f>$D$10+-1.032032*$E$10</f>
        <v>0.13261561599999991</v>
      </c>
      <c r="G703" s="208">
        <f>$F703*(1-'Sensitivity &amp; Scenarios'!$C$12)+'Sensitivity &amp; Scenarios'!$C$9*'Sensitivity &amp; Scenarios'!$C$12-'Sensitivity &amp; Scenarios'!$C$10</f>
        <v>6.8431683541264637E-2</v>
      </c>
      <c r="H703" s="209">
        <f>('Sensitivity &amp; Scenarios'!$C$6*(1+$E703)^1*$G703+'Sensitivity &amp; Scenarios'!$C$11*'Sensitivity &amp; Scenarios'!$C$6*((1+$E703)^1-(1+$E703)^0))*'Sensitivity &amp; Scenarios'!$C$18/(1+$C703)^'Sensitivity &amp; Scenarios'!$C$18+('Sensitivity &amp; Scenarios'!$C$6*(1+$E703)^2*$G703+'Sensitivity &amp; Scenarios'!$C$11*'Sensitivity &amp; Scenarios'!$C$6*((1+$E703)^2-(1+$E703)^1))/(1+$C703)^('Sensitivity &amp; Scenarios'!$C$18+1)+('Sensitivity &amp; Scenarios'!$C$6*(1+$E703)^3*$G703+'Sensitivity &amp; Scenarios'!$C$11*'Sensitivity &amp; Scenarios'!$C$6*((1+$E703)^3-(1+$E703)^2))/(1+$C703)^('Sensitivity &amp; Scenarios'!$C$18+2)+('Sensitivity &amp; Scenarios'!$C$6*(1+$E703)^4*$G703+'Sensitivity &amp; Scenarios'!$C$11*'Sensitivity &amp; Scenarios'!$C$6*((1+$E703)^4-(1+$E703)^3))/(1+$C703)^('Sensitivity &amp; Scenarios'!$C$18+3)+('Sensitivity &amp; Scenarios'!$C$6*(1+$E703)^5*$G703+'Sensitivity &amp; Scenarios'!$C$11*'Sensitivity &amp; Scenarios'!$C$6*((1+$E703)^5-(1+$E703)^4))/(1+$C703)^('Sensitivity &amp; Scenarios'!$C$18+4)</f>
        <v>17593.404210904089</v>
      </c>
      <c r="I703" s="209">
        <f>('Sensitivity &amp; Scenarios'!$C$6*(1+$E703)^5*$G703+'Sensitivity &amp; Scenarios'!$C$11*'Sensitivity &amp; Scenarios'!$C$6*((1+$E703)^5-(1+$E703)^4))*(1+$D703)/($C703-$D703)/(1+$C703)^('Sensitivity &amp; Scenarios'!$C$18+4)</f>
        <v>35795.295719643436</v>
      </c>
      <c r="J703" s="209">
        <f>($H703+$I703-'Sensitivity &amp; Scenarios'!$C$15+'Sensitivity &amp; Scenarios'!$C$16)/'Sensitivity &amp; Scenarios'!$C$17</f>
        <v>1410.3279670267104</v>
      </c>
    </row>
    <row r="704" spans="2:10" x14ac:dyDescent="0.3">
      <c r="B704" s="127">
        <v>674</v>
      </c>
      <c r="C704" s="206">
        <f>$D$7+-0.06332*$E$7</f>
        <v>0.13691905943997798</v>
      </c>
      <c r="D704" s="206">
        <f>MIN($D$8+-0.365717*$E$8,'Debt &amp; Cost of Capital'!$C$38)</f>
        <v>5.2805697999999998E-2</v>
      </c>
      <c r="E704" s="207">
        <f>$D$9+1.399136*$E$9</f>
        <v>0.20919517770254634</v>
      </c>
      <c r="F704" s="207">
        <f>$D$10+0.954348*$E$10</f>
        <v>0.15645217599999992</v>
      </c>
      <c r="G704" s="208">
        <f>$F704*(1-'Sensitivity &amp; Scenarios'!$C$12)+'Sensitivity &amp; Scenarios'!$C$9*'Sensitivity &amp; Scenarios'!$C$12-'Sensitivity &amp; Scenarios'!$C$10</f>
        <v>8.6268581389264645E-2</v>
      </c>
      <c r="H704" s="209">
        <f>('Sensitivity &amp; Scenarios'!$C$6*(1+$E704)^1*$G704+'Sensitivity &amp; Scenarios'!$C$11*'Sensitivity &amp; Scenarios'!$C$6*((1+$E704)^1-(1+$E704)^0))*'Sensitivity &amp; Scenarios'!$C$18/(1+$C704)^'Sensitivity &amp; Scenarios'!$C$18+('Sensitivity &amp; Scenarios'!$C$6*(1+$E704)^2*$G704+'Sensitivity &amp; Scenarios'!$C$11*'Sensitivity &amp; Scenarios'!$C$6*((1+$E704)^2-(1+$E704)^1))/(1+$C704)^('Sensitivity &amp; Scenarios'!$C$18+1)+('Sensitivity &amp; Scenarios'!$C$6*(1+$E704)^3*$G704+'Sensitivity &amp; Scenarios'!$C$11*'Sensitivity &amp; Scenarios'!$C$6*((1+$E704)^3-(1+$E704)^2))/(1+$C704)^('Sensitivity &amp; Scenarios'!$C$18+2)+('Sensitivity &amp; Scenarios'!$C$6*(1+$E704)^4*$G704+'Sensitivity &amp; Scenarios'!$C$11*'Sensitivity &amp; Scenarios'!$C$6*((1+$E704)^4-(1+$E704)^3))/(1+$C704)^('Sensitivity &amp; Scenarios'!$C$18+3)+('Sensitivity &amp; Scenarios'!$C$6*(1+$E704)^5*$G704+'Sensitivity &amp; Scenarios'!$C$11*'Sensitivity &amp; Scenarios'!$C$6*((1+$E704)^5-(1+$E704)^4))/(1+$C704)^('Sensitivity &amp; Scenarios'!$C$18+4)</f>
        <v>29468.374379994868</v>
      </c>
      <c r="I704" s="209">
        <f>('Sensitivity &amp; Scenarios'!$C$6*(1+$E704)^5*$G704+'Sensitivity &amp; Scenarios'!$C$11*'Sensitivity &amp; Scenarios'!$C$6*((1+$E704)^5-(1+$E704)^4))*(1+$D704)/($C704-$D704)/(1+$C704)^('Sensitivity &amp; Scenarios'!$C$18+4)</f>
        <v>88876.496670687222</v>
      </c>
      <c r="J704" s="209">
        <f>($H704+$I704-'Sensitivity &amp; Scenarios'!$C$15+'Sensitivity &amp; Scenarios'!$C$16)/'Sensitivity &amp; Scenarios'!$C$17</f>
        <v>2777.575884147881</v>
      </c>
    </row>
    <row r="705" spans="2:10" x14ac:dyDescent="0.3">
      <c r="B705" s="127">
        <v>675</v>
      </c>
      <c r="C705" s="206">
        <f>$D$7+0.495273*$E$7</f>
        <v>0.14250498943997797</v>
      </c>
      <c r="D705" s="206">
        <f>MIN($D$8+0.14563*$E$8,'Debt &amp; Cost of Capital'!$C$38)</f>
        <v>5.5873779999999998E-2</v>
      </c>
      <c r="E705" s="207">
        <f>$D$9+0.39323*$E$9</f>
        <v>0.17901799770254634</v>
      </c>
      <c r="F705" s="207">
        <f>$D$10+-0.861982*$E$10</f>
        <v>0.13465621599999991</v>
      </c>
      <c r="G705" s="208">
        <f>$F705*(1-'Sensitivity &amp; Scenarios'!$C$12)+'Sensitivity &amp; Scenarios'!$C$9*'Sensitivity &amp; Scenarios'!$C$12-'Sensitivity &amp; Scenarios'!$C$10</f>
        <v>6.9958664521264646E-2</v>
      </c>
      <c r="H705" s="209">
        <f>('Sensitivity &amp; Scenarios'!$C$6*(1+$E705)^1*$G705+'Sensitivity &amp; Scenarios'!$C$11*'Sensitivity &amp; Scenarios'!$C$6*((1+$E705)^1-(1+$E705)^0))*'Sensitivity &amp; Scenarios'!$C$18/(1+$C705)^'Sensitivity &amp; Scenarios'!$C$18+('Sensitivity &amp; Scenarios'!$C$6*(1+$E705)^2*$G705+'Sensitivity &amp; Scenarios'!$C$11*'Sensitivity &amp; Scenarios'!$C$6*((1+$E705)^2-(1+$E705)^1))/(1+$C705)^('Sensitivity &amp; Scenarios'!$C$18+1)+('Sensitivity &amp; Scenarios'!$C$6*(1+$E705)^3*$G705+'Sensitivity &amp; Scenarios'!$C$11*'Sensitivity &amp; Scenarios'!$C$6*((1+$E705)^3-(1+$E705)^2))/(1+$C705)^('Sensitivity &amp; Scenarios'!$C$18+2)+('Sensitivity &amp; Scenarios'!$C$6*(1+$E705)^4*$G705+'Sensitivity &amp; Scenarios'!$C$11*'Sensitivity &amp; Scenarios'!$C$6*((1+$E705)^4-(1+$E705)^3))/(1+$C705)^('Sensitivity &amp; Scenarios'!$C$18+3)+('Sensitivity &amp; Scenarios'!$C$6*(1+$E705)^5*$G705+'Sensitivity &amp; Scenarios'!$C$11*'Sensitivity &amp; Scenarios'!$C$6*((1+$E705)^5-(1+$E705)^4))/(1+$C705)^('Sensitivity &amp; Scenarios'!$C$18+4)</f>
        <v>22031.37137952392</v>
      </c>
      <c r="I705" s="209">
        <f>('Sensitivity &amp; Scenarios'!$C$6*(1+$E705)^5*$G705+'Sensitivity &amp; Scenarios'!$C$11*'Sensitivity &amp; Scenarios'!$C$6*((1+$E705)^5-(1+$E705)^4))*(1+$D705)/($C705-$D705)/(1+$C705)^('Sensitivity &amp; Scenarios'!$C$18+4)</f>
        <v>61361.792720289472</v>
      </c>
      <c r="J705" s="209">
        <f>($H705+$I705-'Sensitivity &amp; Scenarios'!$C$15+'Sensitivity &amp; Scenarios'!$C$16)/'Sensitivity &amp; Scenarios'!$C$17</f>
        <v>2041.8852222087264</v>
      </c>
    </row>
    <row r="706" spans="2:10" x14ac:dyDescent="0.3">
      <c r="B706" s="127">
        <v>676</v>
      </c>
      <c r="C706" s="206">
        <f>$D$7+0.85721*$E$7</f>
        <v>0.14612435943997798</v>
      </c>
      <c r="D706" s="206">
        <f>MIN($D$8+-1.112044*$E$8,'Debt &amp; Cost of Capital'!$C$38)</f>
        <v>4.8327735999999996E-2</v>
      </c>
      <c r="E706" s="207">
        <f>$D$9+0.835377*$E$9</f>
        <v>0.19228240770254634</v>
      </c>
      <c r="F706" s="207">
        <f>$D$10+1.186143*$E$10</f>
        <v>0.15923371599999991</v>
      </c>
      <c r="G706" s="208">
        <f>$F706*(1-'Sensitivity &amp; Scenarios'!$C$12)+'Sensitivity &amp; Scenarios'!$C$9*'Sensitivity &amp; Scenarios'!$C$12-'Sensitivity &amp; Scenarios'!$C$10</f>
        <v>8.8350007771264644E-2</v>
      </c>
      <c r="H706" s="209">
        <f>('Sensitivity &amp; Scenarios'!$C$6*(1+$E706)^1*$G706+'Sensitivity &amp; Scenarios'!$C$11*'Sensitivity &amp; Scenarios'!$C$6*((1+$E706)^1-(1+$E706)^0))*'Sensitivity &amp; Scenarios'!$C$18/(1+$C706)^'Sensitivity &amp; Scenarios'!$C$18+('Sensitivity &amp; Scenarios'!$C$6*(1+$E706)^2*$G706+'Sensitivity &amp; Scenarios'!$C$11*'Sensitivity &amp; Scenarios'!$C$6*((1+$E706)^2-(1+$E706)^1))/(1+$C706)^('Sensitivity &amp; Scenarios'!$C$18+1)+('Sensitivity &amp; Scenarios'!$C$6*(1+$E706)^3*$G706+'Sensitivity &amp; Scenarios'!$C$11*'Sensitivity &amp; Scenarios'!$C$6*((1+$E706)^3-(1+$E706)^2))/(1+$C706)^('Sensitivity &amp; Scenarios'!$C$18+2)+('Sensitivity &amp; Scenarios'!$C$6*(1+$E706)^4*$G706+'Sensitivity &amp; Scenarios'!$C$11*'Sensitivity &amp; Scenarios'!$C$6*((1+$E706)^4-(1+$E706)^3))/(1+$C706)^('Sensitivity &amp; Scenarios'!$C$18+3)+('Sensitivity &amp; Scenarios'!$C$6*(1+$E706)^5*$G706+'Sensitivity &amp; Scenarios'!$C$11*'Sensitivity &amp; Scenarios'!$C$6*((1+$E706)^5-(1+$E706)^4))/(1+$C706)^('Sensitivity &amp; Scenarios'!$C$18+4)</f>
        <v>27709.555805209133</v>
      </c>
      <c r="I706" s="209">
        <f>('Sensitivity &amp; Scenarios'!$C$6*(1+$E706)^5*$G706+'Sensitivity &amp; Scenarios'!$C$11*'Sensitivity &amp; Scenarios'!$C$6*((1+$E706)^5-(1+$E706)^4))*(1+$D706)/($C706-$D706)/(1+$C706)^('Sensitivity &amp; Scenarios'!$C$18+4)</f>
        <v>68851.836700650209</v>
      </c>
      <c r="J706" s="209">
        <f>($H706+$I706-'Sensitivity &amp; Scenarios'!$C$15+'Sensitivity &amp; Scenarios'!$C$16)/'Sensitivity &amp; Scenarios'!$C$17</f>
        <v>2319.0603165818825</v>
      </c>
    </row>
    <row r="707" spans="2:10" x14ac:dyDescent="0.3">
      <c r="B707" s="127">
        <v>677</v>
      </c>
      <c r="C707" s="206">
        <f>$D$7+0.210865*$E$7</f>
        <v>0.13966090943997797</v>
      </c>
      <c r="D707" s="206">
        <f>MIN($D$8+-0.176213*$E$8,'Debt &amp; Cost of Capital'!$C$38)</f>
        <v>5.3942721999999999E-2</v>
      </c>
      <c r="E707" s="207">
        <f>$D$9+0.40031*$E$9</f>
        <v>0.17923039770254634</v>
      </c>
      <c r="F707" s="207">
        <f>$D$10+-2.861518*$E$10</f>
        <v>0.1106617839999999</v>
      </c>
      <c r="G707" s="208">
        <f>$F707*(1-'Sensitivity &amp; Scenarios'!$C$12)+'Sensitivity &amp; Scenarios'!$C$9*'Sensitivity &amp; Scenarios'!$C$12-'Sensitivity &amp; Scenarios'!$C$10</f>
        <v>5.2003631055664634E-2</v>
      </c>
      <c r="H707" s="209">
        <f>('Sensitivity &amp; Scenarios'!$C$6*(1+$E707)^1*$G707+'Sensitivity &amp; Scenarios'!$C$11*'Sensitivity &amp; Scenarios'!$C$6*((1+$E707)^1-(1+$E707)^0))*'Sensitivity &amp; Scenarios'!$C$18/(1+$C707)^'Sensitivity &amp; Scenarios'!$C$18+('Sensitivity &amp; Scenarios'!$C$6*(1+$E707)^2*$G707+'Sensitivity &amp; Scenarios'!$C$11*'Sensitivity &amp; Scenarios'!$C$6*((1+$E707)^2-(1+$E707)^1))/(1+$C707)^('Sensitivity &amp; Scenarios'!$C$18+1)+('Sensitivity &amp; Scenarios'!$C$6*(1+$E707)^3*$G707+'Sensitivity &amp; Scenarios'!$C$11*'Sensitivity &amp; Scenarios'!$C$6*((1+$E707)^3-(1+$E707)^2))/(1+$C707)^('Sensitivity &amp; Scenarios'!$C$18+2)+('Sensitivity &amp; Scenarios'!$C$6*(1+$E707)^4*$G707+'Sensitivity &amp; Scenarios'!$C$11*'Sensitivity &amp; Scenarios'!$C$6*((1+$E707)^4-(1+$E707)^3))/(1+$C707)^('Sensitivity &amp; Scenarios'!$C$18+3)+('Sensitivity &amp; Scenarios'!$C$6*(1+$E707)^5*$G707+'Sensitivity &amp; Scenarios'!$C$11*'Sensitivity &amp; Scenarios'!$C$6*((1+$E707)^5-(1+$E707)^4))/(1+$C707)^('Sensitivity &amp; Scenarios'!$C$18+4)</f>
        <v>17605.79587157095</v>
      </c>
      <c r="I707" s="209">
        <f>('Sensitivity &amp; Scenarios'!$C$6*(1+$E707)^5*$G707+'Sensitivity &amp; Scenarios'!$C$11*'Sensitivity &amp; Scenarios'!$C$6*((1+$E707)^5-(1+$E707)^4))*(1+$D707)/($C707-$D707)/(1+$C707)^('Sensitivity &amp; Scenarios'!$C$18+4)</f>
        <v>49703.505631063927</v>
      </c>
      <c r="J707" s="209">
        <f>($H707+$I707-'Sensitivity &amp; Scenarios'!$C$15+'Sensitivity &amp; Scenarios'!$C$16)/'Sensitivity &amp; Scenarios'!$C$17</f>
        <v>1703.3395958881047</v>
      </c>
    </row>
    <row r="708" spans="2:10" x14ac:dyDescent="0.3">
      <c r="B708" s="127">
        <v>678</v>
      </c>
      <c r="C708" s="206">
        <f>$D$7+0.302258*$E$7</f>
        <v>0.14057483943997798</v>
      </c>
      <c r="D708" s="206">
        <f>MIN($D$8+-0.113354*$E$8,'Debt &amp; Cost of Capital'!$C$38)</f>
        <v>5.4319876000000003E-2</v>
      </c>
      <c r="E708" s="207">
        <f>$D$9+-0.050628*$E$9</f>
        <v>0.16570225770254635</v>
      </c>
      <c r="F708" s="207">
        <f>$D$10+0.706533*$E$10</f>
        <v>0.15347839599999991</v>
      </c>
      <c r="G708" s="208">
        <f>$F708*(1-'Sensitivity &amp; Scenarios'!$C$12)+'Sensitivity &amp; Scenarios'!$C$9*'Sensitivity &amp; Scenarios'!$C$12-'Sensitivity &amp; Scenarios'!$C$10</f>
        <v>8.4043301815264634E-2</v>
      </c>
      <c r="H708" s="209">
        <f>('Sensitivity &amp; Scenarios'!$C$6*(1+$E708)^1*$G708+'Sensitivity &amp; Scenarios'!$C$11*'Sensitivity &amp; Scenarios'!$C$6*((1+$E708)^1-(1+$E708)^0))*'Sensitivity &amp; Scenarios'!$C$18/(1+$C708)^'Sensitivity &amp; Scenarios'!$C$18+('Sensitivity &amp; Scenarios'!$C$6*(1+$E708)^2*$G708+'Sensitivity &amp; Scenarios'!$C$11*'Sensitivity &amp; Scenarios'!$C$6*((1+$E708)^2-(1+$E708)^1))/(1+$C708)^('Sensitivity &amp; Scenarios'!$C$18+1)+('Sensitivity &amp; Scenarios'!$C$6*(1+$E708)^3*$G708+'Sensitivity &amp; Scenarios'!$C$11*'Sensitivity &amp; Scenarios'!$C$6*((1+$E708)^3-(1+$E708)^2))/(1+$C708)^('Sensitivity &amp; Scenarios'!$C$18+2)+('Sensitivity &amp; Scenarios'!$C$6*(1+$E708)^4*$G708+'Sensitivity &amp; Scenarios'!$C$11*'Sensitivity &amp; Scenarios'!$C$6*((1+$E708)^4-(1+$E708)^3))/(1+$C708)^('Sensitivity &amp; Scenarios'!$C$18+3)+('Sensitivity &amp; Scenarios'!$C$6*(1+$E708)^5*$G708+'Sensitivity &amp; Scenarios'!$C$11*'Sensitivity &amp; Scenarios'!$C$6*((1+$E708)^5-(1+$E708)^4))/(1+$C708)^('Sensitivity &amp; Scenarios'!$C$18+4)</f>
        <v>24552.322365858265</v>
      </c>
      <c r="I708" s="209">
        <f>('Sensitivity &amp; Scenarios'!$C$6*(1+$E708)^5*$G708+'Sensitivity &amp; Scenarios'!$C$11*'Sensitivity &amp; Scenarios'!$C$6*((1+$E708)^5-(1+$E708)^4))*(1+$D708)/($C708-$D708)/(1+$C708)^('Sensitivity &amp; Scenarios'!$C$18+4)</f>
        <v>67401.698219312268</v>
      </c>
      <c r="J708" s="209">
        <f>($H708+$I708-'Sensitivity &amp; Scenarios'!$C$15+'Sensitivity &amp; Scenarios'!$C$16)/'Sensitivity &amp; Scenarios'!$C$17</f>
        <v>2222.0807755570008</v>
      </c>
    </row>
    <row r="709" spans="2:10" x14ac:dyDescent="0.3">
      <c r="B709" s="127">
        <v>679</v>
      </c>
      <c r="C709" s="206">
        <f>$D$7+-0.074769*$E$7</f>
        <v>0.13680456943997799</v>
      </c>
      <c r="D709" s="206">
        <f>MIN($D$8+-1.140207*$E$8,'Debt &amp; Cost of Capital'!$C$38)</f>
        <v>4.8158758000000003E-2</v>
      </c>
      <c r="E709" s="207">
        <f>$D$9+-0.141403*$E$9</f>
        <v>0.16297900770254634</v>
      </c>
      <c r="F709" s="207">
        <f>$D$10+0.067555*$E$10</f>
        <v>0.1458106599999999</v>
      </c>
      <c r="G709" s="208">
        <f>$F709*(1-'Sensitivity &amp; Scenarios'!$C$12)+'Sensitivity &amp; Scenarios'!$C$9*'Sensitivity &amp; Scenarios'!$C$12-'Sensitivity &amp; Scenarios'!$C$10</f>
        <v>7.8305534966464627E-2</v>
      </c>
      <c r="H709" s="209">
        <f>('Sensitivity &amp; Scenarios'!$C$6*(1+$E709)^1*$G709+'Sensitivity &amp; Scenarios'!$C$11*'Sensitivity &amp; Scenarios'!$C$6*((1+$E709)^1-(1+$E709)^0))*'Sensitivity &amp; Scenarios'!$C$18/(1+$C709)^'Sensitivity &amp; Scenarios'!$C$18+('Sensitivity &amp; Scenarios'!$C$6*(1+$E709)^2*$G709+'Sensitivity &amp; Scenarios'!$C$11*'Sensitivity &amp; Scenarios'!$C$6*((1+$E709)^2-(1+$E709)^1))/(1+$C709)^('Sensitivity &amp; Scenarios'!$C$18+1)+('Sensitivity &amp; Scenarios'!$C$6*(1+$E709)^3*$G709+'Sensitivity &amp; Scenarios'!$C$11*'Sensitivity &amp; Scenarios'!$C$6*((1+$E709)^3-(1+$E709)^2))/(1+$C709)^('Sensitivity &amp; Scenarios'!$C$18+2)+('Sensitivity &amp; Scenarios'!$C$6*(1+$E709)^4*$G709+'Sensitivity &amp; Scenarios'!$C$11*'Sensitivity &amp; Scenarios'!$C$6*((1+$E709)^4-(1+$E709)^3))/(1+$C709)^('Sensitivity &amp; Scenarios'!$C$18+3)+('Sensitivity &amp; Scenarios'!$C$6*(1+$E709)^5*$G709+'Sensitivity &amp; Scenarios'!$C$11*'Sensitivity &amp; Scenarios'!$C$6*((1+$E709)^5-(1+$E709)^4))/(1+$C709)^('Sensitivity &amp; Scenarios'!$C$18+4)</f>
        <v>23128.384398732222</v>
      </c>
      <c r="I709" s="209">
        <f>('Sensitivity &amp; Scenarios'!$C$6*(1+$E709)^5*$G709+'Sensitivity &amp; Scenarios'!$C$11*'Sensitivity &amp; Scenarios'!$C$6*((1+$E709)^5-(1+$E709)^4))*(1+$D709)/($C709-$D709)/(1+$C709)^('Sensitivity &amp; Scenarios'!$C$18+4)</f>
        <v>61526.833398455201</v>
      </c>
      <c r="J709" s="209">
        <f>($H709+$I709-'Sensitivity &amp; Scenarios'!$C$15+'Sensitivity &amp; Scenarios'!$C$16)/'Sensitivity &amp; Scenarios'!$C$17</f>
        <v>2068.4499082004299</v>
      </c>
    </row>
    <row r="710" spans="2:10" x14ac:dyDescent="0.3">
      <c r="B710" s="127">
        <v>680</v>
      </c>
      <c r="C710" s="206">
        <f>$D$7+0.114934*$E$7</f>
        <v>0.13870159943997798</v>
      </c>
      <c r="D710" s="206">
        <f>MIN($D$8+0.161919*$E$8,'Debt &amp; Cost of Capital'!$C$38)</f>
        <v>5.5971514E-2</v>
      </c>
      <c r="E710" s="207">
        <f>$D$9+1.039369*$E$9</f>
        <v>0.19840216770254634</v>
      </c>
      <c r="F710" s="207">
        <f>$D$10+-1.086035*$E$10</f>
        <v>0.13196757999999992</v>
      </c>
      <c r="G710" s="208">
        <f>$F710*(1-'Sensitivity &amp; Scenarios'!$C$12)+'Sensitivity &amp; Scenarios'!$C$9*'Sensitivity &amp; Scenarios'!$C$12-'Sensitivity &amp; Scenarios'!$C$10</f>
        <v>6.7946758202464638E-2</v>
      </c>
      <c r="H710" s="209">
        <f>('Sensitivity &amp; Scenarios'!$C$6*(1+$E710)^1*$G710+'Sensitivity &amp; Scenarios'!$C$11*'Sensitivity &amp; Scenarios'!$C$6*((1+$E710)^1-(1+$E710)^0))*'Sensitivity &amp; Scenarios'!$C$18/(1+$C710)^'Sensitivity &amp; Scenarios'!$C$18+('Sensitivity &amp; Scenarios'!$C$6*(1+$E710)^2*$G710+'Sensitivity &amp; Scenarios'!$C$11*'Sensitivity &amp; Scenarios'!$C$6*((1+$E710)^2-(1+$E710)^1))/(1+$C710)^('Sensitivity &amp; Scenarios'!$C$18+1)+('Sensitivity &amp; Scenarios'!$C$6*(1+$E710)^3*$G710+'Sensitivity &amp; Scenarios'!$C$11*'Sensitivity &amp; Scenarios'!$C$6*((1+$E710)^3-(1+$E710)^2))/(1+$C710)^('Sensitivity &amp; Scenarios'!$C$18+2)+('Sensitivity &amp; Scenarios'!$C$6*(1+$E710)^4*$G710+'Sensitivity &amp; Scenarios'!$C$11*'Sensitivity &amp; Scenarios'!$C$6*((1+$E710)^4-(1+$E710)^3))/(1+$C710)^('Sensitivity &amp; Scenarios'!$C$18+3)+('Sensitivity &amp; Scenarios'!$C$6*(1+$E710)^5*$G710+'Sensitivity &amp; Scenarios'!$C$11*'Sensitivity &amp; Scenarios'!$C$6*((1+$E710)^5-(1+$E710)^4))/(1+$C710)^('Sensitivity &amp; Scenarios'!$C$18+4)</f>
        <v>23311.118268374132</v>
      </c>
      <c r="I710" s="209">
        <f>('Sensitivity &amp; Scenarios'!$C$6*(1+$E710)^5*$G710+'Sensitivity &amp; Scenarios'!$C$11*'Sensitivity &amp; Scenarios'!$C$6*((1+$E710)^5-(1+$E710)^4))*(1+$D710)/($C710-$D710)/(1+$C710)^('Sensitivity &amp; Scenarios'!$C$18+4)</f>
        <v>70395.025789699081</v>
      </c>
      <c r="J710" s="209">
        <f>($H710+$I710-'Sensitivity &amp; Scenarios'!$C$15+'Sensitivity &amp; Scenarios'!$C$16)/'Sensitivity &amp; Scenarios'!$C$17</f>
        <v>2258.9608306395994</v>
      </c>
    </row>
    <row r="711" spans="2:10" x14ac:dyDescent="0.3">
      <c r="B711" s="127">
        <v>681</v>
      </c>
      <c r="C711" s="206">
        <f>$D$7+0.1757*$E$7</f>
        <v>0.13930925943997799</v>
      </c>
      <c r="D711" s="206">
        <f>MIN($D$8+1.28993*$E$8,'Debt &amp; Cost of Capital'!$C$38)</f>
        <v>6.2739580000000003E-2</v>
      </c>
      <c r="E711" s="207">
        <f>$D$9+-1.734611*$E$9</f>
        <v>0.11518276770254635</v>
      </c>
      <c r="F711" s="207">
        <f>$D$10+0.179647*$E$10</f>
        <v>0.14715576399999991</v>
      </c>
      <c r="G711" s="208">
        <f>$F711*(1-'Sensitivity &amp; Scenarios'!$C$12)+'Sensitivity &amp; Scenarios'!$C$9*'Sensitivity &amp; Scenarios'!$C$12-'Sensitivity &amp; Scenarios'!$C$10</f>
        <v>7.9312076289664635E-2</v>
      </c>
      <c r="H711" s="209">
        <f>('Sensitivity &amp; Scenarios'!$C$6*(1+$E711)^1*$G711+'Sensitivity &amp; Scenarios'!$C$11*'Sensitivity &amp; Scenarios'!$C$6*((1+$E711)^1-(1+$E711)^0))*'Sensitivity &amp; Scenarios'!$C$18/(1+$C711)^'Sensitivity &amp; Scenarios'!$C$18+('Sensitivity &amp; Scenarios'!$C$6*(1+$E711)^2*$G711+'Sensitivity &amp; Scenarios'!$C$11*'Sensitivity &amp; Scenarios'!$C$6*((1+$E711)^2-(1+$E711)^1))/(1+$C711)^('Sensitivity &amp; Scenarios'!$C$18+1)+('Sensitivity &amp; Scenarios'!$C$6*(1+$E711)^3*$G711+'Sensitivity &amp; Scenarios'!$C$11*'Sensitivity &amp; Scenarios'!$C$6*((1+$E711)^3-(1+$E711)^2))/(1+$C711)^('Sensitivity &amp; Scenarios'!$C$18+2)+('Sensitivity &amp; Scenarios'!$C$6*(1+$E711)^4*$G711+'Sensitivity &amp; Scenarios'!$C$11*'Sensitivity &amp; Scenarios'!$C$6*((1+$E711)^4-(1+$E711)^3))/(1+$C711)^('Sensitivity &amp; Scenarios'!$C$18+3)+('Sensitivity &amp; Scenarios'!$C$6*(1+$E711)^5*$G711+'Sensitivity &amp; Scenarios'!$C$11*'Sensitivity &amp; Scenarios'!$C$6*((1+$E711)^5-(1+$E711)^4))/(1+$C711)^('Sensitivity &amp; Scenarios'!$C$18+4)</f>
        <v>19477.457053196493</v>
      </c>
      <c r="I711" s="209">
        <f>('Sensitivity &amp; Scenarios'!$C$6*(1+$E711)^5*$G711+'Sensitivity &amp; Scenarios'!$C$11*'Sensitivity &amp; Scenarios'!$C$6*((1+$E711)^5-(1+$E711)^4))*(1+$D711)/($C711-$D711)/(1+$C711)^('Sensitivity &amp; Scenarios'!$C$18+4)</f>
        <v>56072.866396854217</v>
      </c>
      <c r="J711" s="209">
        <f>($H711+$I711-'Sensitivity &amp; Scenarios'!$C$15+'Sensitivity &amp; Scenarios'!$C$16)/'Sensitivity &amp; Scenarios'!$C$17</f>
        <v>1876.8030235848389</v>
      </c>
    </row>
    <row r="712" spans="2:10" x14ac:dyDescent="0.3">
      <c r="B712" s="127">
        <v>682</v>
      </c>
      <c r="C712" s="206">
        <f>$D$7+-0.585379*$E$7</f>
        <v>0.13169846943997798</v>
      </c>
      <c r="D712" s="206">
        <f>MIN($D$8+-0.37071*$E$8,'Debt &amp; Cost of Capital'!$C$38)</f>
        <v>5.2775740000000002E-2</v>
      </c>
      <c r="E712" s="207">
        <f>$D$9+-0.904808*$E$9</f>
        <v>0.14007685770254635</v>
      </c>
      <c r="F712" s="207">
        <f>$D$10+-0.169551*$E$10</f>
        <v>0.14296538799999992</v>
      </c>
      <c r="G712" s="208">
        <f>$F712*(1-'Sensitivity &amp; Scenarios'!$C$12)+'Sensitivity &amp; Scenarios'!$C$9*'Sensitivity &amp; Scenarios'!$C$12-'Sensitivity &amp; Scenarios'!$C$10</f>
        <v>7.6176417928864648E-2</v>
      </c>
      <c r="H712" s="209">
        <f>('Sensitivity &amp; Scenarios'!$C$6*(1+$E712)^1*$G712+'Sensitivity &amp; Scenarios'!$C$11*'Sensitivity &amp; Scenarios'!$C$6*((1+$E712)^1-(1+$E712)^0))*'Sensitivity &amp; Scenarios'!$C$18/(1+$C712)^'Sensitivity &amp; Scenarios'!$C$18+('Sensitivity &amp; Scenarios'!$C$6*(1+$E712)^2*$G712+'Sensitivity &amp; Scenarios'!$C$11*'Sensitivity &amp; Scenarios'!$C$6*((1+$E712)^2-(1+$E712)^1))/(1+$C712)^('Sensitivity &amp; Scenarios'!$C$18+1)+('Sensitivity &amp; Scenarios'!$C$6*(1+$E712)^3*$G712+'Sensitivity &amp; Scenarios'!$C$11*'Sensitivity &amp; Scenarios'!$C$6*((1+$E712)^3-(1+$E712)^2))/(1+$C712)^('Sensitivity &amp; Scenarios'!$C$18+2)+('Sensitivity &amp; Scenarios'!$C$6*(1+$E712)^4*$G712+'Sensitivity &amp; Scenarios'!$C$11*'Sensitivity &amp; Scenarios'!$C$6*((1+$E712)^4-(1+$E712)^3))/(1+$C712)^('Sensitivity &amp; Scenarios'!$C$18+3)+('Sensitivity &amp; Scenarios'!$C$6*(1+$E712)^5*$G712+'Sensitivity &amp; Scenarios'!$C$11*'Sensitivity &amp; Scenarios'!$C$6*((1+$E712)^5-(1+$E712)^4))/(1+$C712)^('Sensitivity &amp; Scenarios'!$C$18+4)</f>
        <v>21040.387267685783</v>
      </c>
      <c r="I712" s="209">
        <f>('Sensitivity &amp; Scenarios'!$C$6*(1+$E712)^5*$G712+'Sensitivity &amp; Scenarios'!$C$11*'Sensitivity &amp; Scenarios'!$C$6*((1+$E712)^5-(1+$E712)^4))*(1+$D712)/($C712-$D712)/(1+$C712)^('Sensitivity &amp; Scenarios'!$C$18+4)</f>
        <v>61406.509854146221</v>
      </c>
      <c r="J712" s="209">
        <f>($H712+$I712-'Sensitivity &amp; Scenarios'!$C$15+'Sensitivity &amp; Scenarios'!$C$16)/'Sensitivity &amp; Scenarios'!$C$17</f>
        <v>2021.9674602413106</v>
      </c>
    </row>
    <row r="713" spans="2:10" x14ac:dyDescent="0.3">
      <c r="B713" s="127">
        <v>683</v>
      </c>
      <c r="C713" s="206">
        <f>$D$7+1.841256*$E$7</f>
        <v>0.15596481943997798</v>
      </c>
      <c r="D713" s="206">
        <f>MIN($D$8+-1.26443*$E$8,'Debt &amp; Cost of Capital'!$C$38)</f>
        <v>4.7413419999999998E-2</v>
      </c>
      <c r="E713" s="207">
        <f>$D$9+-1.16961*$E$9</f>
        <v>0.13213279770254632</v>
      </c>
      <c r="F713" s="207">
        <f>$D$10+-1.301935*$E$10</f>
        <v>0.12937677999999991</v>
      </c>
      <c r="G713" s="208">
        <f>$F713*(1-'Sensitivity &amp; Scenarios'!$C$12)+'Sensitivity &amp; Scenarios'!$C$9*'Sensitivity &amp; Scenarios'!$C$12-'Sensitivity &amp; Scenarios'!$C$10</f>
        <v>6.6008062562464637E-2</v>
      </c>
      <c r="H713" s="209">
        <f>('Sensitivity &amp; Scenarios'!$C$6*(1+$E713)^1*$G713+'Sensitivity &amp; Scenarios'!$C$11*'Sensitivity &amp; Scenarios'!$C$6*((1+$E713)^1-(1+$E713)^0))*'Sensitivity &amp; Scenarios'!$C$18/(1+$C713)^'Sensitivity &amp; Scenarios'!$C$18+('Sensitivity &amp; Scenarios'!$C$6*(1+$E713)^2*$G713+'Sensitivity &amp; Scenarios'!$C$11*'Sensitivity &amp; Scenarios'!$C$6*((1+$E713)^2-(1+$E713)^1))/(1+$C713)^('Sensitivity &amp; Scenarios'!$C$18+1)+('Sensitivity &amp; Scenarios'!$C$6*(1+$E713)^3*$G713+'Sensitivity &amp; Scenarios'!$C$11*'Sensitivity &amp; Scenarios'!$C$6*((1+$E713)^3-(1+$E713)^2))/(1+$C713)^('Sensitivity &amp; Scenarios'!$C$18+2)+('Sensitivity &amp; Scenarios'!$C$6*(1+$E713)^4*$G713+'Sensitivity &amp; Scenarios'!$C$11*'Sensitivity &amp; Scenarios'!$C$6*((1+$E713)^4-(1+$E713)^3))/(1+$C713)^('Sensitivity &amp; Scenarios'!$C$18+3)+('Sensitivity &amp; Scenarios'!$C$6*(1+$E713)^5*$G713+'Sensitivity &amp; Scenarios'!$C$11*'Sensitivity &amp; Scenarios'!$C$6*((1+$E713)^5-(1+$E713)^4))/(1+$C713)^('Sensitivity &amp; Scenarios'!$C$18+4)</f>
        <v>17057.756031943565</v>
      </c>
      <c r="I713" s="209">
        <f>('Sensitivity &amp; Scenarios'!$C$6*(1+$E713)^5*$G713+'Sensitivity &amp; Scenarios'!$C$11*'Sensitivity &amp; Scenarios'!$C$6*((1+$E713)^5-(1+$E713)^4))*(1+$D713)/($C713-$D713)/(1+$C713)^('Sensitivity &amp; Scenarios'!$C$18+4)</f>
        <v>34176.054651443716</v>
      </c>
      <c r="J713" s="209">
        <f>($H713+$I713-'Sensitivity &amp; Scenarios'!$C$15+'Sensitivity &amp; Scenarios'!$C$16)/'Sensitivity &amp; Scenarios'!$C$17</f>
        <v>1364.9701852486307</v>
      </c>
    </row>
    <row r="714" spans="2:10" x14ac:dyDescent="0.3">
      <c r="B714" s="127">
        <v>684</v>
      </c>
      <c r="C714" s="206">
        <f>$D$7+1.727418*$E$7</f>
        <v>0.15482643943997798</v>
      </c>
      <c r="D714" s="206">
        <f>MIN($D$8+-0.46234*$E$8,'Debt &amp; Cost of Capital'!$C$38)</f>
        <v>5.2225960000000002E-2</v>
      </c>
      <c r="E714" s="207">
        <f>$D$9+-0.025639*$E$9</f>
        <v>0.16645192770254633</v>
      </c>
      <c r="F714" s="207">
        <f>$D$10+-0.402783*$E$10</f>
        <v>0.14016660399999992</v>
      </c>
      <c r="G714" s="208">
        <f>$F714*(1-'Sensitivity &amp; Scenarios'!$C$12)+'Sensitivity &amp; Scenarios'!$C$9*'Sensitivity &amp; Scenarios'!$C$12-'Sensitivity &amp; Scenarios'!$C$10</f>
        <v>7.4082087861664647E-2</v>
      </c>
      <c r="H714" s="209">
        <f>('Sensitivity &amp; Scenarios'!$C$6*(1+$E714)^1*$G714+'Sensitivity &amp; Scenarios'!$C$11*'Sensitivity &amp; Scenarios'!$C$6*((1+$E714)^1-(1+$E714)^0))*'Sensitivity &amp; Scenarios'!$C$18/(1+$C714)^'Sensitivity &amp; Scenarios'!$C$18+('Sensitivity &amp; Scenarios'!$C$6*(1+$E714)^2*$G714+'Sensitivity &amp; Scenarios'!$C$11*'Sensitivity &amp; Scenarios'!$C$6*((1+$E714)^2-(1+$E714)^1))/(1+$C714)^('Sensitivity &amp; Scenarios'!$C$18+1)+('Sensitivity &amp; Scenarios'!$C$6*(1+$E714)^3*$G714+'Sensitivity &amp; Scenarios'!$C$11*'Sensitivity &amp; Scenarios'!$C$6*((1+$E714)^3-(1+$E714)^2))/(1+$C714)^('Sensitivity &amp; Scenarios'!$C$18+2)+('Sensitivity &amp; Scenarios'!$C$6*(1+$E714)^4*$G714+'Sensitivity &amp; Scenarios'!$C$11*'Sensitivity &amp; Scenarios'!$C$6*((1+$E714)^4-(1+$E714)^3))/(1+$C714)^('Sensitivity &amp; Scenarios'!$C$18+3)+('Sensitivity &amp; Scenarios'!$C$6*(1+$E714)^5*$G714+'Sensitivity &amp; Scenarios'!$C$11*'Sensitivity &amp; Scenarios'!$C$6*((1+$E714)^5-(1+$E714)^4))/(1+$C714)^('Sensitivity &amp; Scenarios'!$C$18+4)</f>
        <v>21396.45871107405</v>
      </c>
      <c r="I714" s="209">
        <f>('Sensitivity &amp; Scenarios'!$C$6*(1+$E714)^5*$G714+'Sensitivity &amp; Scenarios'!$C$11*'Sensitivity &amp; Scenarios'!$C$6*((1+$E714)^5-(1+$E714)^4))*(1+$D714)/($C714-$D714)/(1+$C714)^('Sensitivity &amp; Scenarios'!$C$18+4)</f>
        <v>48241.637676952254</v>
      </c>
      <c r="J714" s="209">
        <f>($H714+$I714-'Sensitivity &amp; Scenarios'!$C$15+'Sensitivity &amp; Scenarios'!$C$16)/'Sensitivity &amp; Scenarios'!$C$17</f>
        <v>1752.3578785477318</v>
      </c>
    </row>
    <row r="715" spans="2:10" x14ac:dyDescent="0.3">
      <c r="B715" s="127">
        <v>685</v>
      </c>
      <c r="C715" s="206">
        <f>$D$7+-0.944423*$E$7</f>
        <v>0.12810802943997798</v>
      </c>
      <c r="D715" s="206">
        <f>MIN($D$8+-0.235151*$E$8,'Debt &amp; Cost of Capital'!$C$38)</f>
        <v>5.3589094000000004E-2</v>
      </c>
      <c r="E715" s="207">
        <f>$D$9+2.458244*$E$9</f>
        <v>0.24096841770254634</v>
      </c>
      <c r="F715" s="207">
        <f>$D$10+1.392071*$E$10</f>
        <v>0.1617048519999999</v>
      </c>
      <c r="G715" s="208">
        <f>$F715*(1-'Sensitivity &amp; Scenarios'!$C$12)+'Sensitivity &amp; Scenarios'!$C$9*'Sensitivity &amp; Scenarios'!$C$12-'Sensitivity &amp; Scenarios'!$C$10</f>
        <v>9.019915884006463E-2</v>
      </c>
      <c r="H715" s="209">
        <f>('Sensitivity &amp; Scenarios'!$C$6*(1+$E715)^1*$G715+'Sensitivity &amp; Scenarios'!$C$11*'Sensitivity &amp; Scenarios'!$C$6*((1+$E715)^1-(1+$E715)^0))*'Sensitivity &amp; Scenarios'!$C$18/(1+$C715)^'Sensitivity &amp; Scenarios'!$C$18+('Sensitivity &amp; Scenarios'!$C$6*(1+$E715)^2*$G715+'Sensitivity &amp; Scenarios'!$C$11*'Sensitivity &amp; Scenarios'!$C$6*((1+$E715)^2-(1+$E715)^1))/(1+$C715)^('Sensitivity &amp; Scenarios'!$C$18+1)+('Sensitivity &amp; Scenarios'!$C$6*(1+$E715)^3*$G715+'Sensitivity &amp; Scenarios'!$C$11*'Sensitivity &amp; Scenarios'!$C$6*((1+$E715)^3-(1+$E715)^2))/(1+$C715)^('Sensitivity &amp; Scenarios'!$C$18+2)+('Sensitivity &amp; Scenarios'!$C$6*(1+$E715)^4*$G715+'Sensitivity &amp; Scenarios'!$C$11*'Sensitivity &amp; Scenarios'!$C$6*((1+$E715)^4-(1+$E715)^3))/(1+$C715)^('Sensitivity &amp; Scenarios'!$C$18+3)+('Sensitivity &amp; Scenarios'!$C$6*(1+$E715)^5*$G715+'Sensitivity &amp; Scenarios'!$C$11*'Sensitivity &amp; Scenarios'!$C$6*((1+$E715)^5-(1+$E715)^4))/(1+$C715)^('Sensitivity &amp; Scenarios'!$C$18+4)</f>
        <v>34795.051979385069</v>
      </c>
      <c r="I715" s="209">
        <f>('Sensitivity &amp; Scenarios'!$C$6*(1+$E715)^5*$G715+'Sensitivity &amp; Scenarios'!$C$11*'Sensitivity &amp; Scenarios'!$C$6*((1+$E715)^5-(1+$E715)^4))*(1+$D715)/($C715-$D715)/(1+$C715)^('Sensitivity &amp; Scenarios'!$C$18+4)</f>
        <v>125534.48730836295</v>
      </c>
      <c r="J715" s="209">
        <f>($H715+$I715-'Sensitivity &amp; Scenarios'!$C$15+'Sensitivity &amp; Scenarios'!$C$16)/'Sensitivity &amp; Scenarios'!$C$17</f>
        <v>3661.3017751334464</v>
      </c>
    </row>
    <row r="716" spans="2:10" x14ac:dyDescent="0.3">
      <c r="B716" s="127">
        <v>686</v>
      </c>
      <c r="C716" s="206">
        <f>$D$7+-0.852938*$E$7</f>
        <v>0.12902287943997798</v>
      </c>
      <c r="D716" s="206">
        <f>MIN($D$8+0.647574*$E$8,'Debt &amp; Cost of Capital'!$C$38)</f>
        <v>5.8885444000000002E-2</v>
      </c>
      <c r="E716" s="207">
        <f>$D$9+-0.831523*$E$9</f>
        <v>0.14227540770254635</v>
      </c>
      <c r="F716" s="207">
        <f>$D$10+-1.776368*$E$10</f>
        <v>0.1236835839999999</v>
      </c>
      <c r="G716" s="208">
        <f>$F716*(1-'Sensitivity &amp; Scenarios'!$C$12)+'Sensitivity &amp; Scenarios'!$C$9*'Sensitivity &amp; Scenarios'!$C$12-'Sensitivity &amp; Scenarios'!$C$10</f>
        <v>6.1747843995664631E-2</v>
      </c>
      <c r="H716" s="209">
        <f>('Sensitivity &amp; Scenarios'!$C$6*(1+$E716)^1*$G716+'Sensitivity &amp; Scenarios'!$C$11*'Sensitivity &amp; Scenarios'!$C$6*((1+$E716)^1-(1+$E716)^0))*'Sensitivity &amp; Scenarios'!$C$18/(1+$C716)^'Sensitivity &amp; Scenarios'!$C$18+('Sensitivity &amp; Scenarios'!$C$6*(1+$E716)^2*$G716+'Sensitivity &amp; Scenarios'!$C$11*'Sensitivity &amp; Scenarios'!$C$6*((1+$E716)^2-(1+$E716)^1))/(1+$C716)^('Sensitivity &amp; Scenarios'!$C$18+1)+('Sensitivity &amp; Scenarios'!$C$6*(1+$E716)^3*$G716+'Sensitivity &amp; Scenarios'!$C$11*'Sensitivity &amp; Scenarios'!$C$6*((1+$E716)^3-(1+$E716)^2))/(1+$C716)^('Sensitivity &amp; Scenarios'!$C$18+2)+('Sensitivity &amp; Scenarios'!$C$6*(1+$E716)^4*$G716+'Sensitivity &amp; Scenarios'!$C$11*'Sensitivity &amp; Scenarios'!$C$6*((1+$E716)^4-(1+$E716)^3))/(1+$C716)^('Sensitivity &amp; Scenarios'!$C$18+3)+('Sensitivity &amp; Scenarios'!$C$6*(1+$E716)^5*$G716+'Sensitivity &amp; Scenarios'!$C$11*'Sensitivity &amp; Scenarios'!$C$6*((1+$E716)^5-(1+$E716)^4))/(1+$C716)^('Sensitivity &amp; Scenarios'!$C$18+4)</f>
        <v>17926.61925088679</v>
      </c>
      <c r="I716" s="209">
        <f>('Sensitivity &amp; Scenarios'!$C$6*(1+$E716)^5*$G716+'Sensitivity &amp; Scenarios'!$C$11*'Sensitivity &amp; Scenarios'!$C$6*((1+$E716)^5-(1+$E716)^4))*(1+$D716)/($C716-$D716)/(1+$C716)^('Sensitivity &amp; Scenarios'!$C$18+4)</f>
        <v>59679.614530836996</v>
      </c>
      <c r="J716" s="209">
        <f>($H716+$I716-'Sensitivity &amp; Scenarios'!$C$15+'Sensitivity &amp; Scenarios'!$C$16)/'Sensitivity &amp; Scenarios'!$C$17</f>
        <v>1920.0774203095036</v>
      </c>
    </row>
    <row r="717" spans="2:10" x14ac:dyDescent="0.3">
      <c r="B717" s="127">
        <v>687</v>
      </c>
      <c r="C717" s="206">
        <f>$D$7+1.019511*$E$7</f>
        <v>0.14774736943997799</v>
      </c>
      <c r="D717" s="206">
        <f>MIN($D$8+1.160093*$E$8,'Debt &amp; Cost of Capital'!$C$38)</f>
        <v>6.1960557999999999E-2</v>
      </c>
      <c r="E717" s="207">
        <f>$D$9+1.046052*$E$9</f>
        <v>0.19860265770254634</v>
      </c>
      <c r="F717" s="207">
        <f>$D$10+-0.469865*$E$10</f>
        <v>0.13936161999999991</v>
      </c>
      <c r="G717" s="208">
        <f>$F717*(1-'Sensitivity &amp; Scenarios'!$C$12)+'Sensitivity &amp; Scenarios'!$C$9*'Sensitivity &amp; Scenarios'!$C$12-'Sensitivity &amp; Scenarios'!$C$10</f>
        <v>7.3479718334464636E-2</v>
      </c>
      <c r="H717" s="209">
        <f>('Sensitivity &amp; Scenarios'!$C$6*(1+$E717)^1*$G717+'Sensitivity &amp; Scenarios'!$C$11*'Sensitivity &amp; Scenarios'!$C$6*((1+$E717)^1-(1+$E717)^0))*'Sensitivity &amp; Scenarios'!$C$18/(1+$C717)^'Sensitivity &amp; Scenarios'!$C$18+('Sensitivity &amp; Scenarios'!$C$6*(1+$E717)^2*$G717+'Sensitivity &amp; Scenarios'!$C$11*'Sensitivity &amp; Scenarios'!$C$6*((1+$E717)^2-(1+$E717)^1))/(1+$C717)^('Sensitivity &amp; Scenarios'!$C$18+1)+('Sensitivity &amp; Scenarios'!$C$6*(1+$E717)^3*$G717+'Sensitivity &amp; Scenarios'!$C$11*'Sensitivity &amp; Scenarios'!$C$6*((1+$E717)^3-(1+$E717)^2))/(1+$C717)^('Sensitivity &amp; Scenarios'!$C$18+2)+('Sensitivity &amp; Scenarios'!$C$6*(1+$E717)^4*$G717+'Sensitivity &amp; Scenarios'!$C$11*'Sensitivity &amp; Scenarios'!$C$6*((1+$E717)^4-(1+$E717)^3))/(1+$C717)^('Sensitivity &amp; Scenarios'!$C$18+3)+('Sensitivity &amp; Scenarios'!$C$6*(1+$E717)^5*$G717+'Sensitivity &amp; Scenarios'!$C$11*'Sensitivity &amp; Scenarios'!$C$6*((1+$E717)^5-(1+$E717)^4))/(1+$C717)^('Sensitivity &amp; Scenarios'!$C$18+4)</f>
        <v>24267.029898081884</v>
      </c>
      <c r="I717" s="209">
        <f>('Sensitivity &amp; Scenarios'!$C$6*(1+$E717)^5*$G717+'Sensitivity &amp; Scenarios'!$C$11*'Sensitivity &amp; Scenarios'!$C$6*((1+$E717)^5-(1+$E717)^4))*(1+$D717)/($C717-$D717)/(1+$C717)^('Sensitivity &amp; Scenarios'!$C$18+4)</f>
        <v>70111.251286505911</v>
      </c>
      <c r="J717" s="209">
        <f>($H717+$I717-'Sensitivity &amp; Scenarios'!$C$15+'Sensitivity &amp; Scenarios'!$C$16)/'Sensitivity &amp; Scenarios'!$C$17</f>
        <v>2273.108494678283</v>
      </c>
    </row>
    <row r="718" spans="2:10" x14ac:dyDescent="0.3">
      <c r="B718" s="127">
        <v>688</v>
      </c>
      <c r="C718" s="206">
        <f>$D$7+-0.166776*$E$7</f>
        <v>0.13588449943997799</v>
      </c>
      <c r="D718" s="206">
        <f>MIN($D$8+0.749766*$E$8,'Debt &amp; Cost of Capital'!$C$38)</f>
        <v>5.9498596000000001E-2</v>
      </c>
      <c r="E718" s="207">
        <f>$D$9+0.391496*$E$9</f>
        <v>0.17896597770254635</v>
      </c>
      <c r="F718" s="207">
        <f>$D$10+-0.393637*$E$10</f>
        <v>0.14027635599999991</v>
      </c>
      <c r="G718" s="208">
        <f>$F718*(1-'Sensitivity &amp; Scenarios'!$C$12)+'Sensitivity &amp; Scenarios'!$C$9*'Sensitivity &amp; Scenarios'!$C$12-'Sensitivity &amp; Scenarios'!$C$10</f>
        <v>7.416421528326464E-2</v>
      </c>
      <c r="H718" s="209">
        <f>('Sensitivity &amp; Scenarios'!$C$6*(1+$E718)^1*$G718+'Sensitivity &amp; Scenarios'!$C$11*'Sensitivity &amp; Scenarios'!$C$6*((1+$E718)^1-(1+$E718)^0))*'Sensitivity &amp; Scenarios'!$C$18/(1+$C718)^'Sensitivity &amp; Scenarios'!$C$18+('Sensitivity &amp; Scenarios'!$C$6*(1+$E718)^2*$G718+'Sensitivity &amp; Scenarios'!$C$11*'Sensitivity &amp; Scenarios'!$C$6*((1+$E718)^2-(1+$E718)^1))/(1+$C718)^('Sensitivity &amp; Scenarios'!$C$18+1)+('Sensitivity &amp; Scenarios'!$C$6*(1+$E718)^3*$G718+'Sensitivity &amp; Scenarios'!$C$11*'Sensitivity &amp; Scenarios'!$C$6*((1+$E718)^3-(1+$E718)^2))/(1+$C718)^('Sensitivity &amp; Scenarios'!$C$18+2)+('Sensitivity &amp; Scenarios'!$C$6*(1+$E718)^4*$G718+'Sensitivity &amp; Scenarios'!$C$11*'Sensitivity &amp; Scenarios'!$C$6*((1+$E718)^4-(1+$E718)^3))/(1+$C718)^('Sensitivity &amp; Scenarios'!$C$18+3)+('Sensitivity &amp; Scenarios'!$C$6*(1+$E718)^5*$G718+'Sensitivity &amp; Scenarios'!$C$11*'Sensitivity &amp; Scenarios'!$C$6*((1+$E718)^5-(1+$E718)^4))/(1+$C718)^('Sensitivity &amp; Scenarios'!$C$18+4)</f>
        <v>23482.417020775109</v>
      </c>
      <c r="I718" s="209">
        <f>('Sensitivity &amp; Scenarios'!$C$6*(1+$E718)^5*$G718+'Sensitivity &amp; Scenarios'!$C$11*'Sensitivity &amp; Scenarios'!$C$6*((1+$E718)^5-(1+$E718)^4))*(1+$D718)/($C718-$D718)/(1+$C718)^('Sensitivity &amp; Scenarios'!$C$18+4)</f>
        <v>75197.876757252991</v>
      </c>
      <c r="J718" s="209">
        <f>($H718+$I718-'Sensitivity &amp; Scenarios'!$C$15+'Sensitivity &amp; Scenarios'!$C$16)/'Sensitivity &amp; Scenarios'!$C$17</f>
        <v>2363.6605955238188</v>
      </c>
    </row>
    <row r="719" spans="2:10" x14ac:dyDescent="0.3">
      <c r="B719" s="127">
        <v>689</v>
      </c>
      <c r="C719" s="206">
        <f>$D$7+-1.619072*$E$7</f>
        <v>0.12136153943997798</v>
      </c>
      <c r="D719" s="206">
        <f>MIN($D$8+0.113875*$E$8,'Debt &amp; Cost of Capital'!$C$38)</f>
        <v>5.5683250000000004E-2</v>
      </c>
      <c r="E719" s="207">
        <f>$D$9+1.07901*$E$9</f>
        <v>0.19959139770254633</v>
      </c>
      <c r="F719" s="207">
        <f>$D$10+-1.197588*$E$10</f>
        <v>0.13062894399999991</v>
      </c>
      <c r="G719" s="208">
        <f>$F719*(1-'Sensitivity &amp; Scenarios'!$C$12)+'Sensitivity &amp; Scenarios'!$C$9*'Sensitivity &amp; Scenarios'!$C$12-'Sensitivity &amp; Scenarios'!$C$10</f>
        <v>6.6945056883664644E-2</v>
      </c>
      <c r="H719" s="209">
        <f>('Sensitivity &amp; Scenarios'!$C$6*(1+$E719)^1*$G719+'Sensitivity &amp; Scenarios'!$C$11*'Sensitivity &amp; Scenarios'!$C$6*((1+$E719)^1-(1+$E719)^0))*'Sensitivity &amp; Scenarios'!$C$18/(1+$C719)^'Sensitivity &amp; Scenarios'!$C$18+('Sensitivity &amp; Scenarios'!$C$6*(1+$E719)^2*$G719+'Sensitivity &amp; Scenarios'!$C$11*'Sensitivity &amp; Scenarios'!$C$6*((1+$E719)^2-(1+$E719)^1))/(1+$C719)^('Sensitivity &amp; Scenarios'!$C$18+1)+('Sensitivity &amp; Scenarios'!$C$6*(1+$E719)^3*$G719+'Sensitivity &amp; Scenarios'!$C$11*'Sensitivity &amp; Scenarios'!$C$6*((1+$E719)^3-(1+$E719)^2))/(1+$C719)^('Sensitivity &amp; Scenarios'!$C$18+2)+('Sensitivity &amp; Scenarios'!$C$6*(1+$E719)^4*$G719+'Sensitivity &amp; Scenarios'!$C$11*'Sensitivity &amp; Scenarios'!$C$6*((1+$E719)^4-(1+$E719)^3))/(1+$C719)^('Sensitivity &amp; Scenarios'!$C$18+3)+('Sensitivity &amp; Scenarios'!$C$6*(1+$E719)^5*$G719+'Sensitivity &amp; Scenarios'!$C$11*'Sensitivity &amp; Scenarios'!$C$6*((1+$E719)^5-(1+$E719)^4))/(1+$C719)^('Sensitivity &amp; Scenarios'!$C$18+4)</f>
        <v>24191.954303684623</v>
      </c>
      <c r="I719" s="209">
        <f>('Sensitivity &amp; Scenarios'!$C$6*(1+$E719)^5*$G719+'Sensitivity &amp; Scenarios'!$C$11*'Sensitivity &amp; Scenarios'!$C$6*((1+$E719)^5-(1+$E719)^4))*(1+$D719)/($C719-$D719)/(1+$C719)^('Sensitivity &amp; Scenarios'!$C$18+4)</f>
        <v>94640.837455333021</v>
      </c>
      <c r="J719" s="209">
        <f>($H719+$I719-'Sensitivity &amp; Scenarios'!$C$15+'Sensitivity &amp; Scenarios'!$C$16)/'Sensitivity &amp; Scenarios'!$C$17</f>
        <v>2787.8460180041129</v>
      </c>
    </row>
    <row r="720" spans="2:10" x14ac:dyDescent="0.3">
      <c r="B720" s="127">
        <v>690</v>
      </c>
      <c r="C720" s="206">
        <f>$D$7+0.638759*$E$7</f>
        <v>0.14393984943997798</v>
      </c>
      <c r="D720" s="206">
        <f>MIN($D$8+0.331542*$E$8,'Debt &amp; Cost of Capital'!$C$38)</f>
        <v>5.6989251999999997E-2</v>
      </c>
      <c r="E720" s="207">
        <f>$D$9+0.750148*$E$9</f>
        <v>0.18972553770254635</v>
      </c>
      <c r="F720" s="207">
        <f>$D$10+0.871975*$E$10</f>
        <v>0.1554636999999999</v>
      </c>
      <c r="G720" s="208">
        <f>$F720*(1-'Sensitivity &amp; Scenarios'!$C$12)+'Sensitivity &amp; Scenarios'!$C$9*'Sensitivity &amp; Scenarios'!$C$12-'Sensitivity &amp; Scenarios'!$C$10</f>
        <v>8.5528904798464631E-2</v>
      </c>
      <c r="H720" s="209">
        <f>('Sensitivity &amp; Scenarios'!$C$6*(1+$E720)^1*$G720+'Sensitivity &amp; Scenarios'!$C$11*'Sensitivity &amp; Scenarios'!$C$6*((1+$E720)^1-(1+$E720)^0))*'Sensitivity &amp; Scenarios'!$C$18/(1+$C720)^'Sensitivity &amp; Scenarios'!$C$18+('Sensitivity &amp; Scenarios'!$C$6*(1+$E720)^2*$G720+'Sensitivity &amp; Scenarios'!$C$11*'Sensitivity &amp; Scenarios'!$C$6*((1+$E720)^2-(1+$E720)^1))/(1+$C720)^('Sensitivity &amp; Scenarios'!$C$18+1)+('Sensitivity &amp; Scenarios'!$C$6*(1+$E720)^3*$G720+'Sensitivity &amp; Scenarios'!$C$11*'Sensitivity &amp; Scenarios'!$C$6*((1+$E720)^3-(1+$E720)^2))/(1+$C720)^('Sensitivity &amp; Scenarios'!$C$18+2)+('Sensitivity &amp; Scenarios'!$C$6*(1+$E720)^4*$G720+'Sensitivity &amp; Scenarios'!$C$11*'Sensitivity &amp; Scenarios'!$C$6*((1+$E720)^4-(1+$E720)^3))/(1+$C720)^('Sensitivity &amp; Scenarios'!$C$18+3)+('Sensitivity &amp; Scenarios'!$C$6*(1+$E720)^5*$G720+'Sensitivity &amp; Scenarios'!$C$11*'Sensitivity &amp; Scenarios'!$C$6*((1+$E720)^5-(1+$E720)^4))/(1+$C720)^('Sensitivity &amp; Scenarios'!$C$18+4)</f>
        <v>26881.318764894175</v>
      </c>
      <c r="I720" s="209">
        <f>('Sensitivity &amp; Scenarios'!$C$6*(1+$E720)^5*$G720+'Sensitivity &amp; Scenarios'!$C$11*'Sensitivity &amp; Scenarios'!$C$6*((1+$E720)^5-(1+$E720)^4))*(1+$D720)/($C720-$D720)/(1+$C720)^('Sensitivity &amp; Scenarios'!$C$18+4)</f>
        <v>75714.241354658297</v>
      </c>
      <c r="J720" s="209">
        <f>($H720+$I720-'Sensitivity &amp; Scenarios'!$C$15+'Sensitivity &amp; Scenarios'!$C$16)/'Sensitivity &amp; Scenarios'!$C$17</f>
        <v>2446.0721610165469</v>
      </c>
    </row>
    <row r="721" spans="2:10" x14ac:dyDescent="0.3">
      <c r="B721" s="127">
        <v>691</v>
      </c>
      <c r="C721" s="206">
        <f>$D$7+-0.694465*$E$7</f>
        <v>0.13060760943997798</v>
      </c>
      <c r="D721" s="206">
        <f>MIN($D$8+-1.616959*$E$8,'Debt &amp; Cost of Capital'!$C$38)</f>
        <v>4.5298246E-2</v>
      </c>
      <c r="E721" s="207">
        <f>$D$9+-0.53352*$E$9</f>
        <v>0.15121549770254633</v>
      </c>
      <c r="F721" s="207">
        <f>$D$10+0.889127*$E$10</f>
        <v>0.15566952399999989</v>
      </c>
      <c r="G721" s="208">
        <f>$F721*(1-'Sensitivity &amp; Scenarios'!$C$12)+'Sensitivity &amp; Scenarios'!$C$9*'Sensitivity &amp; Scenarios'!$C$12-'Sensitivity &amp; Scenarios'!$C$10</f>
        <v>8.5682922897664632E-2</v>
      </c>
      <c r="H721" s="209">
        <f>('Sensitivity &amp; Scenarios'!$C$6*(1+$E721)^1*$G721+'Sensitivity &amp; Scenarios'!$C$11*'Sensitivity &amp; Scenarios'!$C$6*((1+$E721)^1-(1+$E721)^0))*'Sensitivity &amp; Scenarios'!$C$18/(1+$C721)^'Sensitivity &amp; Scenarios'!$C$18+('Sensitivity &amp; Scenarios'!$C$6*(1+$E721)^2*$G721+'Sensitivity &amp; Scenarios'!$C$11*'Sensitivity &amp; Scenarios'!$C$6*((1+$E721)^2-(1+$E721)^1))/(1+$C721)^('Sensitivity &amp; Scenarios'!$C$18+1)+('Sensitivity &amp; Scenarios'!$C$6*(1+$E721)^3*$G721+'Sensitivity &amp; Scenarios'!$C$11*'Sensitivity &amp; Scenarios'!$C$6*((1+$E721)^3-(1+$E721)^2))/(1+$C721)^('Sensitivity &amp; Scenarios'!$C$18+2)+('Sensitivity &amp; Scenarios'!$C$6*(1+$E721)^4*$G721+'Sensitivity &amp; Scenarios'!$C$11*'Sensitivity &amp; Scenarios'!$C$6*((1+$E721)^4-(1+$E721)^3))/(1+$C721)^('Sensitivity &amp; Scenarios'!$C$18+3)+('Sensitivity &amp; Scenarios'!$C$6*(1+$E721)^5*$G721+'Sensitivity &amp; Scenarios'!$C$11*'Sensitivity &amp; Scenarios'!$C$6*((1+$E721)^5-(1+$E721)^4))/(1+$C721)^('Sensitivity &amp; Scenarios'!$C$18+4)</f>
        <v>24293.282139664672</v>
      </c>
      <c r="I721" s="209">
        <f>('Sensitivity &amp; Scenarios'!$C$6*(1+$E721)^5*$G721+'Sensitivity &amp; Scenarios'!$C$11*'Sensitivity &amp; Scenarios'!$C$6*((1+$E721)^5-(1+$E721)^4))*(1+$D721)/($C721-$D721)/(1+$C721)^('Sensitivity &amp; Scenarios'!$C$18+4)</f>
        <v>66404.353608406775</v>
      </c>
      <c r="J721" s="209">
        <f>($H721+$I721-'Sensitivity &amp; Scenarios'!$C$15+'Sensitivity &amp; Scenarios'!$C$16)/'Sensitivity &amp; Scenarios'!$C$17</f>
        <v>2195.6354121372674</v>
      </c>
    </row>
    <row r="722" spans="2:10" x14ac:dyDescent="0.3">
      <c r="B722" s="127">
        <v>692</v>
      </c>
      <c r="C722" s="206">
        <f>$D$7+-0.542004*$E$7</f>
        <v>0.13213221943997799</v>
      </c>
      <c r="D722" s="206">
        <f>MIN($D$8+-0.694043*$E$8,'Debt &amp; Cost of Capital'!$C$38)</f>
        <v>5.0835742000000003E-2</v>
      </c>
      <c r="E722" s="207">
        <f>$D$9+-1.82135*$E$9</f>
        <v>0.11258059770254633</v>
      </c>
      <c r="F722" s="207">
        <f>$D$10+1.752648*$E$10</f>
        <v>0.16603177599999991</v>
      </c>
      <c r="G722" s="208">
        <f>$F722*(1-'Sensitivity &amp; Scenarios'!$C$12)+'Sensitivity &amp; Scenarios'!$C$9*'Sensitivity &amp; Scenarios'!$C$12-'Sensitivity &amp; Scenarios'!$C$10</f>
        <v>9.3436996069264644E-2</v>
      </c>
      <c r="H722" s="209">
        <f>('Sensitivity &amp; Scenarios'!$C$6*(1+$E722)^1*$G722+'Sensitivity &amp; Scenarios'!$C$11*'Sensitivity &amp; Scenarios'!$C$6*((1+$E722)^1-(1+$E722)^0))*'Sensitivity &amp; Scenarios'!$C$18/(1+$C722)^'Sensitivity &amp; Scenarios'!$C$18+('Sensitivity &amp; Scenarios'!$C$6*(1+$E722)^2*$G722+'Sensitivity &amp; Scenarios'!$C$11*'Sensitivity &amp; Scenarios'!$C$6*((1+$E722)^2-(1+$E722)^1))/(1+$C722)^('Sensitivity &amp; Scenarios'!$C$18+1)+('Sensitivity &amp; Scenarios'!$C$6*(1+$E722)^3*$G722+'Sensitivity &amp; Scenarios'!$C$11*'Sensitivity &amp; Scenarios'!$C$6*((1+$E722)^3-(1+$E722)^2))/(1+$C722)^('Sensitivity &amp; Scenarios'!$C$18+2)+('Sensitivity &amp; Scenarios'!$C$6*(1+$E722)^4*$G722+'Sensitivity &amp; Scenarios'!$C$11*'Sensitivity &amp; Scenarios'!$C$6*((1+$E722)^4-(1+$E722)^3))/(1+$C722)^('Sensitivity &amp; Scenarios'!$C$18+3)+('Sensitivity &amp; Scenarios'!$C$6*(1+$E722)^5*$G722+'Sensitivity &amp; Scenarios'!$C$11*'Sensitivity &amp; Scenarios'!$C$6*((1+$E722)^5-(1+$E722)^4))/(1+$C722)^('Sensitivity &amp; Scenarios'!$C$18+4)</f>
        <v>22690.535743306064</v>
      </c>
      <c r="I722" s="209">
        <f>('Sensitivity &amp; Scenarios'!$C$6*(1+$E722)^5*$G722+'Sensitivity &amp; Scenarios'!$C$11*'Sensitivity &amp; Scenarios'!$C$6*((1+$E722)^5-(1+$E722)^4))*(1+$D722)/($C722-$D722)/(1+$C722)^('Sensitivity &amp; Scenarios'!$C$18+4)</f>
        <v>61292.177388128701</v>
      </c>
      <c r="J722" s="209">
        <f>($H722+$I722-'Sensitivity &amp; Scenarios'!$C$15+'Sensitivity &amp; Scenarios'!$C$16)/'Sensitivity &amp; Scenarios'!$C$17</f>
        <v>2054.294507910532</v>
      </c>
    </row>
    <row r="723" spans="2:10" x14ac:dyDescent="0.3">
      <c r="B723" s="127">
        <v>693</v>
      </c>
      <c r="C723" s="206">
        <f>$D$7+0.825714*$E$7</f>
        <v>0.14580939943997798</v>
      </c>
      <c r="D723" s="206">
        <f>MIN($D$8+0.769896*$E$8,'Debt &amp; Cost of Capital'!$C$38)</f>
        <v>5.9619376000000002E-2</v>
      </c>
      <c r="E723" s="207">
        <f>$D$9+0.967725*$E$9</f>
        <v>0.19625284770254633</v>
      </c>
      <c r="F723" s="207">
        <f>$D$10+0.576708*$E$10</f>
        <v>0.1519204959999999</v>
      </c>
      <c r="G723" s="208">
        <f>$F723*(1-'Sensitivity &amp; Scenarios'!$C$12)+'Sensitivity &amp; Scenarios'!$C$9*'Sensitivity &amp; Scenarios'!$C$12-'Sensitivity &amp; Scenarios'!$C$10</f>
        <v>8.2877525245264635E-2</v>
      </c>
      <c r="H723" s="209">
        <f>('Sensitivity &amp; Scenarios'!$C$6*(1+$E723)^1*$G723+'Sensitivity &amp; Scenarios'!$C$11*'Sensitivity &amp; Scenarios'!$C$6*((1+$E723)^1-(1+$E723)^0))*'Sensitivity &amp; Scenarios'!$C$18/(1+$C723)^'Sensitivity &amp; Scenarios'!$C$18+('Sensitivity &amp; Scenarios'!$C$6*(1+$E723)^2*$G723+'Sensitivity &amp; Scenarios'!$C$11*'Sensitivity &amp; Scenarios'!$C$6*((1+$E723)^2-(1+$E723)^1))/(1+$C723)^('Sensitivity &amp; Scenarios'!$C$18+1)+('Sensitivity &amp; Scenarios'!$C$6*(1+$E723)^3*$G723+'Sensitivity &amp; Scenarios'!$C$11*'Sensitivity &amp; Scenarios'!$C$6*((1+$E723)^3-(1+$E723)^2))/(1+$C723)^('Sensitivity &amp; Scenarios'!$C$18+2)+('Sensitivity &amp; Scenarios'!$C$6*(1+$E723)^4*$G723+'Sensitivity &amp; Scenarios'!$C$11*'Sensitivity &amp; Scenarios'!$C$6*((1+$E723)^4-(1+$E723)^3))/(1+$C723)^('Sensitivity &amp; Scenarios'!$C$18+3)+('Sensitivity &amp; Scenarios'!$C$6*(1+$E723)^5*$G723+'Sensitivity &amp; Scenarios'!$C$11*'Sensitivity &amp; Scenarios'!$C$6*((1+$E723)^5-(1+$E723)^4))/(1+$C723)^('Sensitivity &amp; Scenarios'!$C$18+4)</f>
        <v>26666.058013445472</v>
      </c>
      <c r="I723" s="209">
        <f>('Sensitivity &amp; Scenarios'!$C$6*(1+$E723)^5*$G723+'Sensitivity &amp; Scenarios'!$C$11*'Sensitivity &amp; Scenarios'!$C$6*((1+$E723)^5-(1+$E723)^4))*(1+$D723)/($C723-$D723)/(1+$C723)^('Sensitivity &amp; Scenarios'!$C$18+4)</f>
        <v>76476.200185558162</v>
      </c>
      <c r="J723" s="209">
        <f>($H723+$I723-'Sensitivity &amp; Scenarios'!$C$15+'Sensitivity &amp; Scenarios'!$C$16)/'Sensitivity &amp; Scenarios'!$C$17</f>
        <v>2457.5794866106203</v>
      </c>
    </row>
    <row r="724" spans="2:10" x14ac:dyDescent="0.3">
      <c r="B724" s="127">
        <v>694</v>
      </c>
      <c r="C724" s="206">
        <f>$D$7+-0.244329*$E$7</f>
        <v>0.13510896943997799</v>
      </c>
      <c r="D724" s="206">
        <f>MIN($D$8+-0.163764*$E$8,'Debt &amp; Cost of Capital'!$C$38)</f>
        <v>5.4017415999999999E-2</v>
      </c>
      <c r="E724" s="207">
        <f>$D$9+-0.427564*$E$9</f>
        <v>0.15439417770254635</v>
      </c>
      <c r="F724" s="207">
        <f>$D$10+2.634741*$E$10</f>
        <v>0.17661689199999991</v>
      </c>
      <c r="G724" s="208">
        <f>$F724*(1-'Sensitivity &amp; Scenarios'!$C$12)+'Sensitivity &amp; Scenarios'!$C$9*'Sensitivity &amp; Scenarios'!$C$12-'Sensitivity &amp; Scenarios'!$C$10</f>
        <v>0.10135783837206463</v>
      </c>
      <c r="H724" s="209">
        <f>('Sensitivity &amp; Scenarios'!$C$6*(1+$E724)^1*$G724+'Sensitivity &amp; Scenarios'!$C$11*'Sensitivity &amp; Scenarios'!$C$6*((1+$E724)^1-(1+$E724)^0))*'Sensitivity &amp; Scenarios'!$C$18/(1+$C724)^'Sensitivity &amp; Scenarios'!$C$18+('Sensitivity &amp; Scenarios'!$C$6*(1+$E724)^2*$G724+'Sensitivity &amp; Scenarios'!$C$11*'Sensitivity &amp; Scenarios'!$C$6*((1+$E724)^2-(1+$E724)^1))/(1+$C724)^('Sensitivity &amp; Scenarios'!$C$18+1)+('Sensitivity &amp; Scenarios'!$C$6*(1+$E724)^3*$G724+'Sensitivity &amp; Scenarios'!$C$11*'Sensitivity &amp; Scenarios'!$C$6*((1+$E724)^3-(1+$E724)^2))/(1+$C724)^('Sensitivity &amp; Scenarios'!$C$18+2)+('Sensitivity &amp; Scenarios'!$C$6*(1+$E724)^4*$G724+'Sensitivity &amp; Scenarios'!$C$11*'Sensitivity &amp; Scenarios'!$C$6*((1+$E724)^4-(1+$E724)^3))/(1+$C724)^('Sensitivity &amp; Scenarios'!$C$18+3)+('Sensitivity &amp; Scenarios'!$C$6*(1+$E724)^5*$G724+'Sensitivity &amp; Scenarios'!$C$11*'Sensitivity &amp; Scenarios'!$C$6*((1+$E724)^5-(1+$E724)^4))/(1+$C724)^('Sensitivity &amp; Scenarios'!$C$18+4)</f>
        <v>28091.967771625201</v>
      </c>
      <c r="I724" s="209">
        <f>('Sensitivity &amp; Scenarios'!$C$6*(1+$E724)^5*$G724+'Sensitivity &amp; Scenarios'!$C$11*'Sensitivity &amp; Scenarios'!$C$6*((1+$E724)^5-(1+$E724)^4))*(1+$D724)/($C724-$D724)/(1+$C724)^('Sensitivity &amp; Scenarios'!$C$18+4)</f>
        <v>81276.556373370127</v>
      </c>
      <c r="J724" s="209">
        <f>($H724+$I724-'Sensitivity &amp; Scenarios'!$C$15+'Sensitivity &amp; Scenarios'!$C$16)/'Sensitivity &amp; Scenarios'!$C$17</f>
        <v>2588.6347658750851</v>
      </c>
    </row>
    <row r="725" spans="2:10" x14ac:dyDescent="0.3">
      <c r="B725" s="127">
        <v>695</v>
      </c>
      <c r="C725" s="206">
        <f>$D$7+0.555912*$E$7</f>
        <v>0.14311137943997798</v>
      </c>
      <c r="D725" s="206">
        <f>MIN($D$8+-0.4638*$E$8,'Debt &amp; Cost of Capital'!$C$38)</f>
        <v>5.2217199999999998E-2</v>
      </c>
      <c r="E725" s="207">
        <f>$D$9+0.465497*$E$9</f>
        <v>0.18118600770254634</v>
      </c>
      <c r="F725" s="207">
        <f>$D$10+-1.010869*$E$10</f>
        <v>0.13286957199999991</v>
      </c>
      <c r="G725" s="208">
        <f>$F725*(1-'Sensitivity &amp; Scenarios'!$C$12)+'Sensitivity &amp; Scenarios'!$C$9*'Sensitivity &amp; Scenarios'!$C$12-'Sensitivity &amp; Scenarios'!$C$10</f>
        <v>6.8621718816064631E-2</v>
      </c>
      <c r="H725" s="209">
        <f>('Sensitivity &amp; Scenarios'!$C$6*(1+$E725)^1*$G725+'Sensitivity &amp; Scenarios'!$C$11*'Sensitivity &amp; Scenarios'!$C$6*((1+$E725)^1-(1+$E725)^0))*'Sensitivity &amp; Scenarios'!$C$18/(1+$C725)^'Sensitivity &amp; Scenarios'!$C$18+('Sensitivity &amp; Scenarios'!$C$6*(1+$E725)^2*$G725+'Sensitivity &amp; Scenarios'!$C$11*'Sensitivity &amp; Scenarios'!$C$6*((1+$E725)^2-(1+$E725)^1))/(1+$C725)^('Sensitivity &amp; Scenarios'!$C$18+1)+('Sensitivity &amp; Scenarios'!$C$6*(1+$E725)^3*$G725+'Sensitivity &amp; Scenarios'!$C$11*'Sensitivity &amp; Scenarios'!$C$6*((1+$E725)^3-(1+$E725)^2))/(1+$C725)^('Sensitivity &amp; Scenarios'!$C$18+2)+('Sensitivity &amp; Scenarios'!$C$6*(1+$E725)^4*$G725+'Sensitivity &amp; Scenarios'!$C$11*'Sensitivity &amp; Scenarios'!$C$6*((1+$E725)^4-(1+$E725)^3))/(1+$C725)^('Sensitivity &amp; Scenarios'!$C$18+3)+('Sensitivity &amp; Scenarios'!$C$6*(1+$E725)^5*$G725+'Sensitivity &amp; Scenarios'!$C$11*'Sensitivity &amp; Scenarios'!$C$6*((1+$E725)^5-(1+$E725)^4))/(1+$C725)^('Sensitivity &amp; Scenarios'!$C$18+4)</f>
        <v>21830.809411992104</v>
      </c>
      <c r="I725" s="209">
        <f>('Sensitivity &amp; Scenarios'!$C$6*(1+$E725)^5*$G725+'Sensitivity &amp; Scenarios'!$C$11*'Sensitivity &amp; Scenarios'!$C$6*((1+$E725)^5-(1+$E725)^4))*(1+$D725)/($C725-$D725)/(1+$C725)^('Sensitivity &amp; Scenarios'!$C$18+4)</f>
        <v>57885.518933165287</v>
      </c>
      <c r="J725" s="209">
        <f>($H725+$I725-'Sensitivity &amp; Scenarios'!$C$15+'Sensitivity &amp; Scenarios'!$C$16)/'Sensitivity &amp; Scenarios'!$C$17</f>
        <v>1964.4923288090754</v>
      </c>
    </row>
    <row r="726" spans="2:10" x14ac:dyDescent="0.3">
      <c r="B726" s="127">
        <v>696</v>
      </c>
      <c r="C726" s="206">
        <f>$D$7+1.504507*$E$7</f>
        <v>0.15259732943997797</v>
      </c>
      <c r="D726" s="206">
        <f>MIN($D$8+-0.661069*$E$8,'Debt &amp; Cost of Capital'!$C$38)</f>
        <v>5.1033585999999999E-2</v>
      </c>
      <c r="E726" s="207">
        <f>$D$9+0.501085*$E$9</f>
        <v>0.18225364770254635</v>
      </c>
      <c r="F726" s="207">
        <f>$D$10+1.065978*$E$10</f>
        <v>0.1577917359999999</v>
      </c>
      <c r="G726" s="208">
        <f>$F726*(1-'Sensitivity &amp; Scenarios'!$C$12)+'Sensitivity &amp; Scenarios'!$C$9*'Sensitivity &amp; Scenarios'!$C$12-'Sensitivity &amp; Scenarios'!$C$10</f>
        <v>8.7270974137264631E-2</v>
      </c>
      <c r="H726" s="209">
        <f>('Sensitivity &amp; Scenarios'!$C$6*(1+$E726)^1*$G726+'Sensitivity &amp; Scenarios'!$C$11*'Sensitivity &amp; Scenarios'!$C$6*((1+$E726)^1-(1+$E726)^0))*'Sensitivity &amp; Scenarios'!$C$18/(1+$C726)^'Sensitivity &amp; Scenarios'!$C$18+('Sensitivity &amp; Scenarios'!$C$6*(1+$E726)^2*$G726+'Sensitivity &amp; Scenarios'!$C$11*'Sensitivity &amp; Scenarios'!$C$6*((1+$E726)^2-(1+$E726)^1))/(1+$C726)^('Sensitivity &amp; Scenarios'!$C$18+1)+('Sensitivity &amp; Scenarios'!$C$6*(1+$E726)^3*$G726+'Sensitivity &amp; Scenarios'!$C$11*'Sensitivity &amp; Scenarios'!$C$6*((1+$E726)^3-(1+$E726)^2))/(1+$C726)^('Sensitivity &amp; Scenarios'!$C$18+2)+('Sensitivity &amp; Scenarios'!$C$6*(1+$E726)^4*$G726+'Sensitivity &amp; Scenarios'!$C$11*'Sensitivity &amp; Scenarios'!$C$6*((1+$E726)^4-(1+$E726)^3))/(1+$C726)^('Sensitivity &amp; Scenarios'!$C$18+3)+('Sensitivity &amp; Scenarios'!$C$6*(1+$E726)^5*$G726+'Sensitivity &amp; Scenarios'!$C$11*'Sensitivity &amp; Scenarios'!$C$6*((1+$E726)^5-(1+$E726)^4))/(1+$C726)^('Sensitivity &amp; Scenarios'!$C$18+4)</f>
        <v>26071.58464947874</v>
      </c>
      <c r="I726" s="209">
        <f>('Sensitivity &amp; Scenarios'!$C$6*(1+$E726)^5*$G726+'Sensitivity &amp; Scenarios'!$C$11*'Sensitivity &amp; Scenarios'!$C$6*((1+$E726)^5-(1+$E726)^4))*(1+$D726)/($C726-$D726)/(1+$C726)^('Sensitivity &amp; Scenarios'!$C$18+4)</f>
        <v>60989.890009350456</v>
      </c>
      <c r="J726" s="209">
        <f>($H726+$I726-'Sensitivity &amp; Scenarios'!$C$15+'Sensitivity &amp; Scenarios'!$C$16)/'Sensitivity &amp; Scenarios'!$C$17</f>
        <v>2119.0986706721828</v>
      </c>
    </row>
    <row r="727" spans="2:10" x14ac:dyDescent="0.3">
      <c r="B727" s="127">
        <v>697</v>
      </c>
      <c r="C727" s="206">
        <f>$D$7+0.384769*$E$7</f>
        <v>0.14139994943997797</v>
      </c>
      <c r="D727" s="206">
        <f>MIN($D$8+0.09447*$E$8,'Debt &amp; Cost of Capital'!$C$38)</f>
        <v>5.5566820000000003E-2</v>
      </c>
      <c r="E727" s="207">
        <f>$D$9+0.010802*$E$9</f>
        <v>0.16754515770254633</v>
      </c>
      <c r="F727" s="207">
        <f>$D$10+-0.056441*$E$10</f>
        <v>0.14432270799999991</v>
      </c>
      <c r="G727" s="208">
        <f>$F727*(1-'Sensitivity &amp; Scenarios'!$C$12)+'Sensitivity &amp; Scenarios'!$C$9*'Sensitivity &amp; Scenarios'!$C$12-'Sensitivity &amp; Scenarios'!$C$10</f>
        <v>7.7192100484864634E-2</v>
      </c>
      <c r="H727" s="209">
        <f>('Sensitivity &amp; Scenarios'!$C$6*(1+$E727)^1*$G727+'Sensitivity &amp; Scenarios'!$C$11*'Sensitivity &amp; Scenarios'!$C$6*((1+$E727)^1-(1+$E727)^0))*'Sensitivity &amp; Scenarios'!$C$18/(1+$C727)^'Sensitivity &amp; Scenarios'!$C$18+('Sensitivity &amp; Scenarios'!$C$6*(1+$E727)^2*$G727+'Sensitivity &amp; Scenarios'!$C$11*'Sensitivity &amp; Scenarios'!$C$6*((1+$E727)^2-(1+$E727)^1))/(1+$C727)^('Sensitivity &amp; Scenarios'!$C$18+1)+('Sensitivity &amp; Scenarios'!$C$6*(1+$E727)^3*$G727+'Sensitivity &amp; Scenarios'!$C$11*'Sensitivity &amp; Scenarios'!$C$6*((1+$E727)^3-(1+$E727)^2))/(1+$C727)^('Sensitivity &amp; Scenarios'!$C$18+2)+('Sensitivity &amp; Scenarios'!$C$6*(1+$E727)^4*$G727+'Sensitivity &amp; Scenarios'!$C$11*'Sensitivity &amp; Scenarios'!$C$6*((1+$E727)^4-(1+$E727)^3))/(1+$C727)^('Sensitivity &amp; Scenarios'!$C$18+3)+('Sensitivity &amp; Scenarios'!$C$6*(1+$E727)^5*$G727+'Sensitivity &amp; Scenarios'!$C$11*'Sensitivity &amp; Scenarios'!$C$6*((1+$E727)^5-(1+$E727)^4))/(1+$C727)^('Sensitivity &amp; Scenarios'!$C$18+4)</f>
        <v>22970.404199627152</v>
      </c>
      <c r="I727" s="209">
        <f>('Sensitivity &amp; Scenarios'!$C$6*(1+$E727)^5*$G727+'Sensitivity &amp; Scenarios'!$C$11*'Sensitivity &amp; Scenarios'!$C$6*((1+$E727)^5-(1+$E727)^4))*(1+$D727)/($C727-$D727)/(1+$C727)^('Sensitivity &amp; Scenarios'!$C$18+4)</f>
        <v>63541.785545168161</v>
      </c>
      <c r="J727" s="209">
        <f>($H727+$I727-'Sensitivity &amp; Scenarios'!$C$15+'Sensitivity &amp; Scenarios'!$C$16)/'Sensitivity &amp; Scenarios'!$C$17</f>
        <v>2107.536895375576</v>
      </c>
    </row>
    <row r="728" spans="2:10" x14ac:dyDescent="0.3">
      <c r="B728" s="127">
        <v>698</v>
      </c>
      <c r="C728" s="206">
        <f>$D$7+-0.576698*$E$7</f>
        <v>0.13178527943997798</v>
      </c>
      <c r="D728" s="206">
        <f>MIN($D$8+-0.449483*$E$8,'Debt &amp; Cost of Capital'!$C$38)</f>
        <v>5.2303101999999997E-2</v>
      </c>
      <c r="E728" s="207">
        <f>$D$9+1.47959*$E$9</f>
        <v>0.21160879770254634</v>
      </c>
      <c r="F728" s="207">
        <f>$D$10+-0.108537*$E$10</f>
        <v>0.14369755599999989</v>
      </c>
      <c r="G728" s="208">
        <f>$F728*(1-'Sensitivity &amp; Scenarios'!$C$12)+'Sensitivity &amp; Scenarios'!$C$9*'Sensitivity &amp; Scenarios'!$C$12-'Sensitivity &amp; Scenarios'!$C$10</f>
        <v>7.6724299243264626E-2</v>
      </c>
      <c r="H728" s="209">
        <f>('Sensitivity &amp; Scenarios'!$C$6*(1+$E728)^1*$G728+'Sensitivity &amp; Scenarios'!$C$11*'Sensitivity &amp; Scenarios'!$C$6*((1+$E728)^1-(1+$E728)^0))*'Sensitivity &amp; Scenarios'!$C$18/(1+$C728)^'Sensitivity &amp; Scenarios'!$C$18+('Sensitivity &amp; Scenarios'!$C$6*(1+$E728)^2*$G728+'Sensitivity &amp; Scenarios'!$C$11*'Sensitivity &amp; Scenarios'!$C$6*((1+$E728)^2-(1+$E728)^1))/(1+$C728)^('Sensitivity &amp; Scenarios'!$C$18+1)+('Sensitivity &amp; Scenarios'!$C$6*(1+$E728)^3*$G728+'Sensitivity &amp; Scenarios'!$C$11*'Sensitivity &amp; Scenarios'!$C$6*((1+$E728)^3-(1+$E728)^2))/(1+$C728)^('Sensitivity &amp; Scenarios'!$C$18+2)+('Sensitivity &amp; Scenarios'!$C$6*(1+$E728)^4*$G728+'Sensitivity &amp; Scenarios'!$C$11*'Sensitivity &amp; Scenarios'!$C$6*((1+$E728)^4-(1+$E728)^3))/(1+$C728)^('Sensitivity &amp; Scenarios'!$C$18+3)+('Sensitivity &amp; Scenarios'!$C$6*(1+$E728)^5*$G728+'Sensitivity &amp; Scenarios'!$C$11*'Sensitivity &amp; Scenarios'!$C$6*((1+$E728)^5-(1+$E728)^4))/(1+$C728)^('Sensitivity &amp; Scenarios'!$C$18+4)</f>
        <v>27382.104582734417</v>
      </c>
      <c r="I728" s="209">
        <f>('Sensitivity &amp; Scenarios'!$C$6*(1+$E728)^5*$G728+'Sensitivity &amp; Scenarios'!$C$11*'Sensitivity &amp; Scenarios'!$C$6*((1+$E728)^5-(1+$E728)^4))*(1+$D728)/($C728-$D728)/(1+$C728)^('Sensitivity &amp; Scenarios'!$C$18+4)</f>
        <v>88342.12772535249</v>
      </c>
      <c r="J728" s="209">
        <f>($H728+$I728-'Sensitivity &amp; Scenarios'!$C$15+'Sensitivity &amp; Scenarios'!$C$16)/'Sensitivity &amp; Scenarios'!$C$17</f>
        <v>2722.4146454148663</v>
      </c>
    </row>
    <row r="729" spans="2:10" x14ac:dyDescent="0.3">
      <c r="B729" s="127">
        <v>699</v>
      </c>
      <c r="C729" s="206">
        <f>$D$7+-0.785796*$E$7</f>
        <v>0.12969429943997798</v>
      </c>
      <c r="D729" s="206">
        <f>MIN($D$8+-0.516298*$E$8,'Debt &amp; Cost of Capital'!$C$38)</f>
        <v>5.1902212000000003E-2</v>
      </c>
      <c r="E729" s="207">
        <f>$D$9+1.100371*$E$9</f>
        <v>0.20023222770254634</v>
      </c>
      <c r="F729" s="207">
        <f>$D$10+0.675607*$E$10</f>
        <v>0.1531072839999999</v>
      </c>
      <c r="G729" s="208">
        <f>$F729*(1-'Sensitivity &amp; Scenarios'!$C$12)+'Sensitivity &amp; Scenarios'!$C$9*'Sensitivity &amp; Scenarios'!$C$12-'Sensitivity &amp; Scenarios'!$C$10</f>
        <v>8.3765598705664635E-2</v>
      </c>
      <c r="H729" s="209">
        <f>('Sensitivity &amp; Scenarios'!$C$6*(1+$E729)^1*$G729+'Sensitivity &amp; Scenarios'!$C$11*'Sensitivity &amp; Scenarios'!$C$6*((1+$E729)^1-(1+$E729)^0))*'Sensitivity &amp; Scenarios'!$C$18/(1+$C729)^'Sensitivity &amp; Scenarios'!$C$18+('Sensitivity &amp; Scenarios'!$C$6*(1+$E729)^2*$G729+'Sensitivity &amp; Scenarios'!$C$11*'Sensitivity &amp; Scenarios'!$C$6*((1+$E729)^2-(1+$E729)^1))/(1+$C729)^('Sensitivity &amp; Scenarios'!$C$18+1)+('Sensitivity &amp; Scenarios'!$C$6*(1+$E729)^3*$G729+'Sensitivity &amp; Scenarios'!$C$11*'Sensitivity &amp; Scenarios'!$C$6*((1+$E729)^3-(1+$E729)^2))/(1+$C729)^('Sensitivity &amp; Scenarios'!$C$18+2)+('Sensitivity &amp; Scenarios'!$C$6*(1+$E729)^4*$G729+'Sensitivity &amp; Scenarios'!$C$11*'Sensitivity &amp; Scenarios'!$C$6*((1+$E729)^4-(1+$E729)^3))/(1+$C729)^('Sensitivity &amp; Scenarios'!$C$18+3)+('Sensitivity &amp; Scenarios'!$C$6*(1+$E729)^5*$G729+'Sensitivity &amp; Scenarios'!$C$11*'Sensitivity &amp; Scenarios'!$C$6*((1+$E729)^5-(1+$E729)^4))/(1+$C729)^('Sensitivity &amp; Scenarios'!$C$18+4)</f>
        <v>28411.90265317454</v>
      </c>
      <c r="I729" s="209">
        <f>('Sensitivity &amp; Scenarios'!$C$6*(1+$E729)^5*$G729+'Sensitivity &amp; Scenarios'!$C$11*'Sensitivity &amp; Scenarios'!$C$6*((1+$E729)^5-(1+$E729)^4))*(1+$D729)/($C729-$D729)/(1+$C729)^('Sensitivity &amp; Scenarios'!$C$18+4)</f>
        <v>92403.220673904871</v>
      </c>
      <c r="J729" s="209">
        <f>($H729+$I729-'Sensitivity &amp; Scenarios'!$C$15+'Sensitivity &amp; Scenarios'!$C$16)/'Sensitivity &amp; Scenarios'!$C$17</f>
        <v>2829.5716717909299</v>
      </c>
    </row>
    <row r="730" spans="2:10" x14ac:dyDescent="0.3">
      <c r="B730" s="127">
        <v>700</v>
      </c>
      <c r="C730" s="206">
        <f>$D$7+0.560329*$E$7</f>
        <v>0.14315554943997799</v>
      </c>
      <c r="D730" s="206">
        <f>MIN($D$8+-0.257521*$E$8,'Debt &amp; Cost of Capital'!$C$38)</f>
        <v>5.3454873999999999E-2</v>
      </c>
      <c r="E730" s="207">
        <f>$D$9+0.573362*$E$9</f>
        <v>0.18442195770254635</v>
      </c>
      <c r="F730" s="207">
        <f>$D$10+-0.643561*$E$10</f>
        <v>0.1372772679999999</v>
      </c>
      <c r="G730" s="208">
        <f>$F730*(1-'Sensitivity &amp; Scenarios'!$C$12)+'Sensitivity &amp; Scenarios'!$C$9*'Sensitivity &amp; Scenarios'!$C$12-'Sensitivity &amp; Scenarios'!$C$10</f>
        <v>7.1919997732864629E-2</v>
      </c>
      <c r="H730" s="209">
        <f>('Sensitivity &amp; Scenarios'!$C$6*(1+$E730)^1*$G730+'Sensitivity &amp; Scenarios'!$C$11*'Sensitivity &amp; Scenarios'!$C$6*((1+$E730)^1-(1+$E730)^0))*'Sensitivity &amp; Scenarios'!$C$18/(1+$C730)^'Sensitivity &amp; Scenarios'!$C$18+('Sensitivity &amp; Scenarios'!$C$6*(1+$E730)^2*$G730+'Sensitivity &amp; Scenarios'!$C$11*'Sensitivity &amp; Scenarios'!$C$6*((1+$E730)^2-(1+$E730)^1))/(1+$C730)^('Sensitivity &amp; Scenarios'!$C$18+1)+('Sensitivity &amp; Scenarios'!$C$6*(1+$E730)^3*$G730+'Sensitivity &amp; Scenarios'!$C$11*'Sensitivity &amp; Scenarios'!$C$6*((1+$E730)^3-(1+$E730)^2))/(1+$C730)^('Sensitivity &amp; Scenarios'!$C$18+2)+('Sensitivity &amp; Scenarios'!$C$6*(1+$E730)^4*$G730+'Sensitivity &amp; Scenarios'!$C$11*'Sensitivity &amp; Scenarios'!$C$6*((1+$E730)^4-(1+$E730)^3))/(1+$C730)^('Sensitivity &amp; Scenarios'!$C$18+3)+('Sensitivity &amp; Scenarios'!$C$6*(1+$E730)^5*$G730+'Sensitivity &amp; Scenarios'!$C$11*'Sensitivity &amp; Scenarios'!$C$6*((1+$E730)^5-(1+$E730)^4))/(1+$C730)^('Sensitivity &amp; Scenarios'!$C$18+4)</f>
        <v>22936.661586735805</v>
      </c>
      <c r="I730" s="209">
        <f>('Sensitivity &amp; Scenarios'!$C$6*(1+$E730)^5*$G730+'Sensitivity &amp; Scenarios'!$C$11*'Sensitivity &amp; Scenarios'!$C$6*((1+$E730)^5-(1+$E730)^4))*(1+$D730)/($C730-$D730)/(1+$C730)^('Sensitivity &amp; Scenarios'!$C$18+4)</f>
        <v>61996.319941189082</v>
      </c>
      <c r="J730" s="209">
        <f>($H730+$I730-'Sensitivity &amp; Scenarios'!$C$15+'Sensitivity &amp; Scenarios'!$C$16)/'Sensitivity &amp; Scenarios'!$C$17</f>
        <v>2074.2964948411391</v>
      </c>
    </row>
    <row r="731" spans="2:10" x14ac:dyDescent="0.3">
      <c r="B731" s="127">
        <v>701</v>
      </c>
      <c r="C731" s="206">
        <f>$D$7+-0.259614*$E$7</f>
        <v>0.13495611943997798</v>
      </c>
      <c r="D731" s="206">
        <f>MIN($D$8+0.969804*$E$8,'Debt &amp; Cost of Capital'!$C$38)</f>
        <v>6.0818824E-2</v>
      </c>
      <c r="E731" s="207">
        <f>$D$9+0.874278*$E$9</f>
        <v>0.19344943770254633</v>
      </c>
      <c r="F731" s="207">
        <f>$D$10+-0.98191*$E$10</f>
        <v>0.1332170799999999</v>
      </c>
      <c r="G731" s="208">
        <f>$F731*(1-'Sensitivity &amp; Scenarios'!$C$12)+'Sensitivity &amp; Scenarios'!$C$9*'Sensitivity &amp; Scenarios'!$C$12-'Sensitivity &amp; Scenarios'!$C$10</f>
        <v>6.8881759052464631E-2</v>
      </c>
      <c r="H731" s="209">
        <f>('Sensitivity &amp; Scenarios'!$C$6*(1+$E731)^1*$G731+'Sensitivity &amp; Scenarios'!$C$11*'Sensitivity &amp; Scenarios'!$C$6*((1+$E731)^1-(1+$E731)^0))*'Sensitivity &amp; Scenarios'!$C$18/(1+$C731)^'Sensitivity &amp; Scenarios'!$C$18+('Sensitivity &amp; Scenarios'!$C$6*(1+$E731)^2*$G731+'Sensitivity &amp; Scenarios'!$C$11*'Sensitivity &amp; Scenarios'!$C$6*((1+$E731)^2-(1+$E731)^1))/(1+$C731)^('Sensitivity &amp; Scenarios'!$C$18+1)+('Sensitivity &amp; Scenarios'!$C$6*(1+$E731)^3*$G731+'Sensitivity &amp; Scenarios'!$C$11*'Sensitivity &amp; Scenarios'!$C$6*((1+$E731)^3-(1+$E731)^2))/(1+$C731)^('Sensitivity &amp; Scenarios'!$C$18+2)+('Sensitivity &amp; Scenarios'!$C$6*(1+$E731)^4*$G731+'Sensitivity &amp; Scenarios'!$C$11*'Sensitivity &amp; Scenarios'!$C$6*((1+$E731)^4-(1+$E731)^3))/(1+$C731)^('Sensitivity &amp; Scenarios'!$C$18+3)+('Sensitivity &amp; Scenarios'!$C$6*(1+$E731)^5*$G731+'Sensitivity &amp; Scenarios'!$C$11*'Sensitivity &amp; Scenarios'!$C$6*((1+$E731)^5-(1+$E731)^4))/(1+$C731)^('Sensitivity &amp; Scenarios'!$C$18+4)</f>
        <v>23368.279362806199</v>
      </c>
      <c r="I731" s="209">
        <f>('Sensitivity &amp; Scenarios'!$C$6*(1+$E731)^5*$G731+'Sensitivity &amp; Scenarios'!$C$11*'Sensitivity &amp; Scenarios'!$C$6*((1+$E731)^5-(1+$E731)^4))*(1+$D731)/($C731-$D731)/(1+$C731)^('Sensitivity &amp; Scenarios'!$C$18+4)</f>
        <v>78991.057234084292</v>
      </c>
      <c r="J731" s="209">
        <f>($H731+$I731-'Sensitivity &amp; Scenarios'!$C$15+'Sensitivity &amp; Scenarios'!$C$16)/'Sensitivity &amp; Scenarios'!$C$17</f>
        <v>2441.099944924295</v>
      </c>
    </row>
    <row r="732" spans="2:10" x14ac:dyDescent="0.3">
      <c r="B732" s="127">
        <v>702</v>
      </c>
      <c r="C732" s="206">
        <f>$D$7+-0.855526*$E$7</f>
        <v>0.12899699943997797</v>
      </c>
      <c r="D732" s="206">
        <f>MIN($D$8+0.108702*$E$8,'Debt &amp; Cost of Capital'!$C$38)</f>
        <v>5.5652212E-2</v>
      </c>
      <c r="E732" s="207">
        <f>$D$9+1.726132*$E$9</f>
        <v>0.21900505770254633</v>
      </c>
      <c r="F732" s="207">
        <f>$D$10+-1.915565*$E$10</f>
        <v>0.12201321999999991</v>
      </c>
      <c r="G732" s="208">
        <f>$F732*(1-'Sensitivity &amp; Scenarios'!$C$12)+'Sensitivity &amp; Scenarios'!$C$9*'Sensitivity &amp; Scenarios'!$C$12-'Sensitivity &amp; Scenarios'!$C$10</f>
        <v>6.0497910614464634E-2</v>
      </c>
      <c r="H732" s="209">
        <f>('Sensitivity &amp; Scenarios'!$C$6*(1+$E732)^1*$G732+'Sensitivity &amp; Scenarios'!$C$11*'Sensitivity &amp; Scenarios'!$C$6*((1+$E732)^1-(1+$E732)^0))*'Sensitivity &amp; Scenarios'!$C$18/(1+$C732)^'Sensitivity &amp; Scenarios'!$C$18+('Sensitivity &amp; Scenarios'!$C$6*(1+$E732)^2*$G732+'Sensitivity &amp; Scenarios'!$C$11*'Sensitivity &amp; Scenarios'!$C$6*((1+$E732)^2-(1+$E732)^1))/(1+$C732)^('Sensitivity &amp; Scenarios'!$C$18+1)+('Sensitivity &amp; Scenarios'!$C$6*(1+$E732)^3*$G732+'Sensitivity &amp; Scenarios'!$C$11*'Sensitivity &amp; Scenarios'!$C$6*((1+$E732)^3-(1+$E732)^2))/(1+$C732)^('Sensitivity &amp; Scenarios'!$C$18+2)+('Sensitivity &amp; Scenarios'!$C$6*(1+$E732)^4*$G732+'Sensitivity &amp; Scenarios'!$C$11*'Sensitivity &amp; Scenarios'!$C$6*((1+$E732)^4-(1+$E732)^3))/(1+$C732)^('Sensitivity &amp; Scenarios'!$C$18+3)+('Sensitivity &amp; Scenarios'!$C$6*(1+$E732)^5*$G732+'Sensitivity &amp; Scenarios'!$C$11*'Sensitivity &amp; Scenarios'!$C$6*((1+$E732)^5-(1+$E732)^4))/(1+$C732)^('Sensitivity &amp; Scenarios'!$C$18+4)</f>
        <v>23540.229809345317</v>
      </c>
      <c r="I732" s="209">
        <f>('Sensitivity &amp; Scenarios'!$C$6*(1+$E732)^5*$G732+'Sensitivity &amp; Scenarios'!$C$11*'Sensitivity &amp; Scenarios'!$C$6*((1+$E732)^5-(1+$E732)^4))*(1+$D732)/($C732-$D732)/(1+$C732)^('Sensitivity &amp; Scenarios'!$C$18+4)</f>
        <v>83781.242713548112</v>
      </c>
      <c r="J732" s="209">
        <f>($H732+$I732-'Sensitivity &amp; Scenarios'!$C$15+'Sensitivity &amp; Scenarios'!$C$16)/'Sensitivity &amp; Scenarios'!$C$17</f>
        <v>2545.5468341467513</v>
      </c>
    </row>
    <row r="733" spans="2:10" x14ac:dyDescent="0.3">
      <c r="B733" s="127">
        <v>703</v>
      </c>
      <c r="C733" s="206">
        <f>$D$7+0.278333*$E$7</f>
        <v>0.14033558943997798</v>
      </c>
      <c r="D733" s="206">
        <f>MIN($D$8+-1.376043*$E$8,'Debt &amp; Cost of Capital'!$C$38)</f>
        <v>4.6743742000000005E-2</v>
      </c>
      <c r="E733" s="207">
        <f>$D$9+-0.634331*$E$9</f>
        <v>0.14819116770254634</v>
      </c>
      <c r="F733" s="207">
        <f>$D$10+-0.364428*$E$10</f>
        <v>0.14062686399999991</v>
      </c>
      <c r="G733" s="208">
        <f>$F733*(1-'Sensitivity &amp; Scenarios'!$C$12)+'Sensitivity &amp; Scenarios'!$C$9*'Sensitivity &amp; Scenarios'!$C$12-'Sensitivity &amp; Scenarios'!$C$10</f>
        <v>7.4426500419664643E-2</v>
      </c>
      <c r="H733" s="209">
        <f>('Sensitivity &amp; Scenarios'!$C$6*(1+$E733)^1*$G733+'Sensitivity &amp; Scenarios'!$C$11*'Sensitivity &amp; Scenarios'!$C$6*((1+$E733)^1-(1+$E733)^0))*'Sensitivity &amp; Scenarios'!$C$18/(1+$C733)^'Sensitivity &amp; Scenarios'!$C$18+('Sensitivity &amp; Scenarios'!$C$6*(1+$E733)^2*$G733+'Sensitivity &amp; Scenarios'!$C$11*'Sensitivity &amp; Scenarios'!$C$6*((1+$E733)^2-(1+$E733)^1))/(1+$C733)^('Sensitivity &amp; Scenarios'!$C$18+1)+('Sensitivity &amp; Scenarios'!$C$6*(1+$E733)^3*$G733+'Sensitivity &amp; Scenarios'!$C$11*'Sensitivity &amp; Scenarios'!$C$6*((1+$E733)^3-(1+$E733)^2))/(1+$C733)^('Sensitivity &amp; Scenarios'!$C$18+2)+('Sensitivity &amp; Scenarios'!$C$6*(1+$E733)^4*$G733+'Sensitivity &amp; Scenarios'!$C$11*'Sensitivity &amp; Scenarios'!$C$6*((1+$E733)^4-(1+$E733)^3))/(1+$C733)^('Sensitivity &amp; Scenarios'!$C$18+3)+('Sensitivity &amp; Scenarios'!$C$6*(1+$E733)^5*$G733+'Sensitivity &amp; Scenarios'!$C$11*'Sensitivity &amp; Scenarios'!$C$6*((1+$E733)^5-(1+$E733)^4))/(1+$C733)^('Sensitivity &amp; Scenarios'!$C$18+4)</f>
        <v>20814.195487635719</v>
      </c>
      <c r="I733" s="209">
        <f>('Sensitivity &amp; Scenarios'!$C$6*(1+$E733)^5*$G733+'Sensitivity &amp; Scenarios'!$C$11*'Sensitivity &amp; Scenarios'!$C$6*((1+$E733)^5-(1+$E733)^4))*(1+$D733)/($C733-$D733)/(1+$C733)^('Sensitivity &amp; Scenarios'!$C$18+4)</f>
        <v>50884.225810487405</v>
      </c>
      <c r="J733" s="209">
        <f>($H733+$I733-'Sensitivity &amp; Scenarios'!$C$15+'Sensitivity &amp; Scenarios'!$C$16)/'Sensitivity &amp; Scenarios'!$C$17</f>
        <v>1795.7251967462266</v>
      </c>
    </row>
    <row r="734" spans="2:10" x14ac:dyDescent="0.3">
      <c r="B734" s="127">
        <v>704</v>
      </c>
      <c r="C734" s="206">
        <f>$D$7+-0.420508*$E$7</f>
        <v>0.13334717943997798</v>
      </c>
      <c r="D734" s="206">
        <f>MIN($D$8+-0.533796*$E$8,'Debt &amp; Cost of Capital'!$C$38)</f>
        <v>5.1797224000000003E-2</v>
      </c>
      <c r="E734" s="207">
        <f>$D$9+0.007207*$E$9</f>
        <v>0.16743730770254633</v>
      </c>
      <c r="F734" s="207">
        <f>$D$10+-0.535256*$E$10</f>
        <v>0.1385769279999999</v>
      </c>
      <c r="G734" s="208">
        <f>$F734*(1-'Sensitivity &amp; Scenarios'!$C$12)+'Sensitivity &amp; Scenarios'!$C$9*'Sensitivity &amp; Scenarios'!$C$12-'Sensitivity &amp; Scenarios'!$C$10</f>
        <v>7.2892533310864635E-2</v>
      </c>
      <c r="H734" s="209">
        <f>('Sensitivity &amp; Scenarios'!$C$6*(1+$E734)^1*$G734+'Sensitivity &amp; Scenarios'!$C$11*'Sensitivity &amp; Scenarios'!$C$6*((1+$E734)^1-(1+$E734)^0))*'Sensitivity &amp; Scenarios'!$C$18/(1+$C734)^'Sensitivity &amp; Scenarios'!$C$18+('Sensitivity &amp; Scenarios'!$C$6*(1+$E734)^2*$G734+'Sensitivity &amp; Scenarios'!$C$11*'Sensitivity &amp; Scenarios'!$C$6*((1+$E734)^2-(1+$E734)^1))/(1+$C734)^('Sensitivity &amp; Scenarios'!$C$18+1)+('Sensitivity &amp; Scenarios'!$C$6*(1+$E734)^3*$G734+'Sensitivity &amp; Scenarios'!$C$11*'Sensitivity &amp; Scenarios'!$C$6*((1+$E734)^3-(1+$E734)^2))/(1+$C734)^('Sensitivity &amp; Scenarios'!$C$18+2)+('Sensitivity &amp; Scenarios'!$C$6*(1+$E734)^4*$G734+'Sensitivity &amp; Scenarios'!$C$11*'Sensitivity &amp; Scenarios'!$C$6*((1+$E734)^4-(1+$E734)^3))/(1+$C734)^('Sensitivity &amp; Scenarios'!$C$18+3)+('Sensitivity &amp; Scenarios'!$C$6*(1+$E734)^5*$G734+'Sensitivity &amp; Scenarios'!$C$11*'Sensitivity &amp; Scenarios'!$C$6*((1+$E734)^5-(1+$E734)^4))/(1+$C734)^('Sensitivity &amp; Scenarios'!$C$18+4)</f>
        <v>22344.152209712509</v>
      </c>
      <c r="I734" s="209">
        <f>('Sensitivity &amp; Scenarios'!$C$6*(1+$E734)^5*$G734+'Sensitivity &amp; Scenarios'!$C$11*'Sensitivity &amp; Scenarios'!$C$6*((1+$E734)^5-(1+$E734)^4))*(1+$D734)/($C734-$D734)/(1+$C734)^('Sensitivity &amp; Scenarios'!$C$18+4)</f>
        <v>65641.258817588721</v>
      </c>
      <c r="J734" s="209">
        <f>($H734+$I734-'Sensitivity &amp; Scenarios'!$C$15+'Sensitivity &amp; Scenarios'!$C$16)/'Sensitivity &amp; Scenarios'!$C$17</f>
        <v>2138.5464006347379</v>
      </c>
    </row>
    <row r="735" spans="2:10" x14ac:dyDescent="0.3">
      <c r="B735" s="127">
        <v>705</v>
      </c>
      <c r="C735" s="206">
        <f>$D$7+-1.462457*$E$7</f>
        <v>0.12292768943997798</v>
      </c>
      <c r="D735" s="206">
        <f>MIN($D$8+0.77987*$E$8,'Debt &amp; Cost of Capital'!$C$38)</f>
        <v>5.9679219999999998E-2</v>
      </c>
      <c r="E735" s="207">
        <f>$D$9+0.752872*$E$9</f>
        <v>0.18980725770254633</v>
      </c>
      <c r="F735" s="207">
        <f>$D$10+0.843174*$E$10</f>
        <v>0.1551180879999999</v>
      </c>
      <c r="G735" s="208">
        <f>$F735*(1-'Sensitivity &amp; Scenarios'!$C$12)+'Sensitivity &amp; Scenarios'!$C$9*'Sensitivity &amp; Scenarios'!$C$12-'Sensitivity &amp; Scenarios'!$C$10</f>
        <v>8.5270283338864633E-2</v>
      </c>
      <c r="H735" s="209">
        <f>('Sensitivity &amp; Scenarios'!$C$6*(1+$E735)^1*$G735+'Sensitivity &amp; Scenarios'!$C$11*'Sensitivity &amp; Scenarios'!$C$6*((1+$E735)^1-(1+$E735)^0))*'Sensitivity &amp; Scenarios'!$C$18/(1+$C735)^'Sensitivity &amp; Scenarios'!$C$18+('Sensitivity &amp; Scenarios'!$C$6*(1+$E735)^2*$G735+'Sensitivity &amp; Scenarios'!$C$11*'Sensitivity &amp; Scenarios'!$C$6*((1+$E735)^2-(1+$E735)^1))/(1+$C735)^('Sensitivity &amp; Scenarios'!$C$18+1)+('Sensitivity &amp; Scenarios'!$C$6*(1+$E735)^3*$G735+'Sensitivity &amp; Scenarios'!$C$11*'Sensitivity &amp; Scenarios'!$C$6*((1+$E735)^3-(1+$E735)^2))/(1+$C735)^('Sensitivity &amp; Scenarios'!$C$18+2)+('Sensitivity &amp; Scenarios'!$C$6*(1+$E735)^4*$G735+'Sensitivity &amp; Scenarios'!$C$11*'Sensitivity &amp; Scenarios'!$C$6*((1+$E735)^4-(1+$E735)^3))/(1+$C735)^('Sensitivity &amp; Scenarios'!$C$18+3)+('Sensitivity &amp; Scenarios'!$C$6*(1+$E735)^5*$G735+'Sensitivity &amp; Scenarios'!$C$11*'Sensitivity &amp; Scenarios'!$C$6*((1+$E735)^5-(1+$E735)^4))/(1+$C735)^('Sensitivity &amp; Scenarios'!$C$18+4)</f>
        <v>28292.064776754683</v>
      </c>
      <c r="I735" s="209">
        <f>('Sensitivity &amp; Scenarios'!$C$6*(1+$E735)^5*$G735+'Sensitivity &amp; Scenarios'!$C$11*'Sensitivity &amp; Scenarios'!$C$6*((1+$E735)^5-(1+$E735)^4))*(1+$D735)/($C735-$D735)/(1+$C735)^('Sensitivity &amp; Scenarios'!$C$18+4)</f>
        <v>113472.33527932153</v>
      </c>
      <c r="J735" s="209">
        <f>($H735+$I735-'Sensitivity &amp; Scenarios'!$C$15+'Sensitivity &amp; Scenarios'!$C$16)/'Sensitivity &amp; Scenarios'!$C$17</f>
        <v>3270.5283119220385</v>
      </c>
    </row>
    <row r="736" spans="2:10" x14ac:dyDescent="0.3">
      <c r="B736" s="127">
        <v>706</v>
      </c>
      <c r="C736" s="206">
        <f>$D$7+-1.540734*$E$7</f>
        <v>0.12214491943997798</v>
      </c>
      <c r="D736" s="206">
        <f>MIN($D$8+0.298918*$E$8,'Debt &amp; Cost of Capital'!$C$38)</f>
        <v>5.6793507999999999E-2</v>
      </c>
      <c r="E736" s="207">
        <f>$D$9+0.675979*$E$9</f>
        <v>0.18750046770254633</v>
      </c>
      <c r="F736" s="207">
        <f>$D$10+-1.031202*$E$10</f>
        <v>0.13262557599999991</v>
      </c>
      <c r="G736" s="208">
        <f>$F736*(1-'Sensitivity &amp; Scenarios'!$C$12)+'Sensitivity &amp; Scenarios'!$C$9*'Sensitivity &amp; Scenarios'!$C$12-'Sensitivity &amp; Scenarios'!$C$10</f>
        <v>6.8439136609264636E-2</v>
      </c>
      <c r="H736" s="209">
        <f>('Sensitivity &amp; Scenarios'!$C$6*(1+$E736)^1*$G736+'Sensitivity &amp; Scenarios'!$C$11*'Sensitivity &amp; Scenarios'!$C$6*((1+$E736)^1-(1+$E736)^0))*'Sensitivity &amp; Scenarios'!$C$18/(1+$C736)^'Sensitivity &amp; Scenarios'!$C$18+('Sensitivity &amp; Scenarios'!$C$6*(1+$E736)^2*$G736+'Sensitivity &amp; Scenarios'!$C$11*'Sensitivity &amp; Scenarios'!$C$6*((1+$E736)^2-(1+$E736)^1))/(1+$C736)^('Sensitivity &amp; Scenarios'!$C$18+1)+('Sensitivity &amp; Scenarios'!$C$6*(1+$E736)^3*$G736+'Sensitivity &amp; Scenarios'!$C$11*'Sensitivity &amp; Scenarios'!$C$6*((1+$E736)^3-(1+$E736)^2))/(1+$C736)^('Sensitivity &amp; Scenarios'!$C$18+2)+('Sensitivity &amp; Scenarios'!$C$6*(1+$E736)^4*$G736+'Sensitivity &amp; Scenarios'!$C$11*'Sensitivity &amp; Scenarios'!$C$6*((1+$E736)^4-(1+$E736)^3))/(1+$C736)^('Sensitivity &amp; Scenarios'!$C$18+3)+('Sensitivity &amp; Scenarios'!$C$6*(1+$E736)^5*$G736+'Sensitivity &amp; Scenarios'!$C$11*'Sensitivity &amp; Scenarios'!$C$6*((1+$E736)^5-(1+$E736)^4))/(1+$C736)^('Sensitivity &amp; Scenarios'!$C$18+4)</f>
        <v>23509.708390986081</v>
      </c>
      <c r="I736" s="209">
        <f>('Sensitivity &amp; Scenarios'!$C$6*(1+$E736)^5*$G736+'Sensitivity &amp; Scenarios'!$C$11*'Sensitivity &amp; Scenarios'!$C$6*((1+$E736)^5-(1+$E736)^4))*(1+$D736)/($C736-$D736)/(1+$C736)^('Sensitivity &amp; Scenarios'!$C$18+4)</f>
        <v>90812.333631111062</v>
      </c>
      <c r="J736" s="209">
        <f>($H736+$I736-'Sensitivity &amp; Scenarios'!$C$15+'Sensitivity &amp; Scenarios'!$C$16)/'Sensitivity &amp; Scenarios'!$C$17</f>
        <v>2692.9002557138265</v>
      </c>
    </row>
    <row r="737" spans="2:10" x14ac:dyDescent="0.3">
      <c r="B737" s="127">
        <v>707</v>
      </c>
      <c r="C737" s="206">
        <f>$D$7+0.009173*$E$7</f>
        <v>0.13764398943997799</v>
      </c>
      <c r="D737" s="206">
        <f>MIN($D$8+-0.116267*$E$8,'Debt &amp; Cost of Capital'!$C$38)</f>
        <v>5.4302398000000002E-2</v>
      </c>
      <c r="E737" s="207">
        <f>$D$9+1.842151*$E$9</f>
        <v>0.22248562770254635</v>
      </c>
      <c r="F737" s="207">
        <f>$D$10+1.924496*$E$10</f>
        <v>0.16809395199999991</v>
      </c>
      <c r="G737" s="208">
        <f>$F737*(1-'Sensitivity &amp; Scenarios'!$C$12)+'Sensitivity &amp; Scenarios'!$C$9*'Sensitivity &amp; Scenarios'!$C$12-'Sensitivity &amp; Scenarios'!$C$10</f>
        <v>9.4980122370064646E-2</v>
      </c>
      <c r="H737" s="209">
        <f>('Sensitivity &amp; Scenarios'!$C$6*(1+$E737)^1*$G737+'Sensitivity &amp; Scenarios'!$C$11*'Sensitivity &amp; Scenarios'!$C$6*((1+$E737)^1-(1+$E737)^0))*'Sensitivity &amp; Scenarios'!$C$18/(1+$C737)^'Sensitivity &amp; Scenarios'!$C$18+('Sensitivity &amp; Scenarios'!$C$6*(1+$E737)^2*$G737+'Sensitivity &amp; Scenarios'!$C$11*'Sensitivity &amp; Scenarios'!$C$6*((1+$E737)^2-(1+$E737)^1))/(1+$C737)^('Sensitivity &amp; Scenarios'!$C$18+1)+('Sensitivity &amp; Scenarios'!$C$6*(1+$E737)^3*$G737+'Sensitivity &amp; Scenarios'!$C$11*'Sensitivity &amp; Scenarios'!$C$6*((1+$E737)^3-(1+$E737)^2))/(1+$C737)^('Sensitivity &amp; Scenarios'!$C$18+2)+('Sensitivity &amp; Scenarios'!$C$6*(1+$E737)^4*$G737+'Sensitivity &amp; Scenarios'!$C$11*'Sensitivity &amp; Scenarios'!$C$6*((1+$E737)^4-(1+$E737)^3))/(1+$C737)^('Sensitivity &amp; Scenarios'!$C$18+3)+('Sensitivity &amp; Scenarios'!$C$6*(1+$E737)^5*$G737+'Sensitivity &amp; Scenarios'!$C$11*'Sensitivity &amp; Scenarios'!$C$6*((1+$E737)^5-(1+$E737)^4))/(1+$C737)^('Sensitivity &amp; Scenarios'!$C$18+4)</f>
        <v>33295.749582480239</v>
      </c>
      <c r="I737" s="209">
        <f>('Sensitivity &amp; Scenarios'!$C$6*(1+$E737)^5*$G737+'Sensitivity &amp; Scenarios'!$C$11*'Sensitivity &amp; Scenarios'!$C$6*((1+$E737)^5-(1+$E737)^4))*(1+$D737)/($C737-$D737)/(1+$C737)^('Sensitivity &amp; Scenarios'!$C$18+4)</f>
        <v>103307.81730473579</v>
      </c>
      <c r="J737" s="209">
        <f>($H737+$I737-'Sensitivity &amp; Scenarios'!$C$15+'Sensitivity &amp; Scenarios'!$C$16)/'Sensitivity &amp; Scenarios'!$C$17</f>
        <v>3161.8990888774133</v>
      </c>
    </row>
    <row r="738" spans="2:10" x14ac:dyDescent="0.3">
      <c r="B738" s="127">
        <v>708</v>
      </c>
      <c r="C738" s="206">
        <f>$D$7+-1.664356*$E$7</f>
        <v>0.12090869943997798</v>
      </c>
      <c r="D738" s="206">
        <f>MIN($D$8+2.493927*$E$8,'Debt &amp; Cost of Capital'!$C$38)</f>
        <v>6.7799999999999999E-2</v>
      </c>
      <c r="E738" s="207">
        <f>$D$9+-0.915226*$E$9</f>
        <v>0.13976431770254633</v>
      </c>
      <c r="F738" s="207">
        <f>$D$10+0.980673*$E$10</f>
        <v>0.1567680759999999</v>
      </c>
      <c r="G738" s="208">
        <f>$F738*(1-'Sensitivity &amp; Scenarios'!$C$12)+'Sensitivity &amp; Scenarios'!$C$9*'Sensitivity &amp; Scenarios'!$C$12-'Sensitivity &amp; Scenarios'!$C$10</f>
        <v>8.6504969359264633E-2</v>
      </c>
      <c r="H738" s="209">
        <f>('Sensitivity &amp; Scenarios'!$C$6*(1+$E738)^1*$G738+'Sensitivity &amp; Scenarios'!$C$11*'Sensitivity &amp; Scenarios'!$C$6*((1+$E738)^1-(1+$E738)^0))*'Sensitivity &amp; Scenarios'!$C$18/(1+$C738)^'Sensitivity &amp; Scenarios'!$C$18+('Sensitivity &amp; Scenarios'!$C$6*(1+$E738)^2*$G738+'Sensitivity &amp; Scenarios'!$C$11*'Sensitivity &amp; Scenarios'!$C$6*((1+$E738)^2-(1+$E738)^1))/(1+$C738)^('Sensitivity &amp; Scenarios'!$C$18+1)+('Sensitivity &amp; Scenarios'!$C$6*(1+$E738)^3*$G738+'Sensitivity &amp; Scenarios'!$C$11*'Sensitivity &amp; Scenarios'!$C$6*((1+$E738)^3-(1+$E738)^2))/(1+$C738)^('Sensitivity &amp; Scenarios'!$C$18+2)+('Sensitivity &amp; Scenarios'!$C$6*(1+$E738)^4*$G738+'Sensitivity &amp; Scenarios'!$C$11*'Sensitivity &amp; Scenarios'!$C$6*((1+$E738)^4-(1+$E738)^3))/(1+$C738)^('Sensitivity &amp; Scenarios'!$C$18+3)+('Sensitivity &amp; Scenarios'!$C$6*(1+$E738)^5*$G738+'Sensitivity &amp; Scenarios'!$C$11*'Sensitivity &amp; Scenarios'!$C$6*((1+$E738)^5-(1+$E738)^4))/(1+$C738)^('Sensitivity &amp; Scenarios'!$C$18+4)</f>
        <v>24076.873406498926</v>
      </c>
      <c r="I738" s="209">
        <f>('Sensitivity &amp; Scenarios'!$C$6*(1+$E738)^5*$G738+'Sensitivity &amp; Scenarios'!$C$11*'Sensitivity &amp; Scenarios'!$C$6*((1+$E738)^5-(1+$E738)^4))*(1+$D738)/($C738-$D738)/(1+$C738)^('Sensitivity &amp; Scenarios'!$C$18+4)</f>
        <v>107722.23349245172</v>
      </c>
      <c r="J738" s="209">
        <f>($H738+$I738-'Sensitivity &amp; Scenarios'!$C$15+'Sensitivity &amp; Scenarios'!$C$16)/'Sensitivity &amp; Scenarios'!$C$17</f>
        <v>3060.7710852009209</v>
      </c>
    </row>
    <row r="739" spans="2:10" x14ac:dyDescent="0.3">
      <c r="B739" s="127">
        <v>709</v>
      </c>
      <c r="C739" s="206">
        <f>$D$7+0.970498*$E$7</f>
        <v>0.14725723943997798</v>
      </c>
      <c r="D739" s="206">
        <f>MIN($D$8+-0.99569*$E$8,'Debt &amp; Cost of Capital'!$C$38)</f>
        <v>4.9025859999999997E-2</v>
      </c>
      <c r="E739" s="207">
        <f>$D$9+0.493268*$E$9</f>
        <v>0.18201913770254635</v>
      </c>
      <c r="F739" s="207">
        <f>$D$10+-0.107534*$E$10</f>
        <v>0.14370959199999991</v>
      </c>
      <c r="G739" s="208">
        <f>$F739*(1-'Sensitivity &amp; Scenarios'!$C$12)+'Sensitivity &amp; Scenarios'!$C$9*'Sensitivity &amp; Scenarios'!$C$12-'Sensitivity &amp; Scenarios'!$C$10</f>
        <v>7.6733305782064637E-2</v>
      </c>
      <c r="H739" s="209">
        <f>('Sensitivity &amp; Scenarios'!$C$6*(1+$E739)^1*$G739+'Sensitivity &amp; Scenarios'!$C$11*'Sensitivity &amp; Scenarios'!$C$6*((1+$E739)^1-(1+$E739)^0))*'Sensitivity &amp; Scenarios'!$C$18/(1+$C739)^'Sensitivity &amp; Scenarios'!$C$18+('Sensitivity &amp; Scenarios'!$C$6*(1+$E739)^2*$G739+'Sensitivity &amp; Scenarios'!$C$11*'Sensitivity &amp; Scenarios'!$C$6*((1+$E739)^2-(1+$E739)^1))/(1+$C739)^('Sensitivity &amp; Scenarios'!$C$18+1)+('Sensitivity &amp; Scenarios'!$C$6*(1+$E739)^3*$G739+'Sensitivity &amp; Scenarios'!$C$11*'Sensitivity &amp; Scenarios'!$C$6*((1+$E739)^3-(1+$E739)^2))/(1+$C739)^('Sensitivity &amp; Scenarios'!$C$18+2)+('Sensitivity &amp; Scenarios'!$C$6*(1+$E739)^4*$G739+'Sensitivity &amp; Scenarios'!$C$11*'Sensitivity &amp; Scenarios'!$C$6*((1+$E739)^4-(1+$E739)^3))/(1+$C739)^('Sensitivity &amp; Scenarios'!$C$18+3)+('Sensitivity &amp; Scenarios'!$C$6*(1+$E739)^5*$G739+'Sensitivity &amp; Scenarios'!$C$11*'Sensitivity &amp; Scenarios'!$C$6*((1+$E739)^5-(1+$E739)^4))/(1+$C739)^('Sensitivity &amp; Scenarios'!$C$18+4)</f>
        <v>23727.204590258563</v>
      </c>
      <c r="I739" s="209">
        <f>('Sensitivity &amp; Scenarios'!$C$6*(1+$E739)^5*$G739+'Sensitivity &amp; Scenarios'!$C$11*'Sensitivity &amp; Scenarios'!$C$6*((1+$E739)^5-(1+$E739)^4))*(1+$D739)/($C739-$D739)/(1+$C739)^('Sensitivity &amp; Scenarios'!$C$18+4)</f>
        <v>57736.929416860527</v>
      </c>
      <c r="J739" s="209">
        <f>($H739+$I739-'Sensitivity &amp; Scenarios'!$C$15+'Sensitivity &amp; Scenarios'!$C$16)/'Sensitivity &amp; Scenarios'!$C$17</f>
        <v>2001.2814992549454</v>
      </c>
    </row>
    <row r="740" spans="2:10" x14ac:dyDescent="0.3">
      <c r="B740" s="127">
        <v>710</v>
      </c>
      <c r="C740" s="206">
        <f>$D$7+0.55433*$E$7</f>
        <v>0.14309555943997798</v>
      </c>
      <c r="D740" s="206">
        <f>MIN($D$8+0.230672*$E$8,'Debt &amp; Cost of Capital'!$C$38)</f>
        <v>5.6384032000000001E-2</v>
      </c>
      <c r="E740" s="207">
        <f>$D$9+1.196339*$E$9</f>
        <v>0.20311126770254634</v>
      </c>
      <c r="F740" s="207">
        <f>$D$10+0.0754*$E$10</f>
        <v>0.14590479999999992</v>
      </c>
      <c r="G740" s="208">
        <f>$F740*(1-'Sensitivity &amp; Scenarios'!$C$12)+'Sensitivity &amp; Scenarios'!$C$9*'Sensitivity &amp; Scenarios'!$C$12-'Sensitivity &amp; Scenarios'!$C$10</f>
        <v>7.8375979928464651E-2</v>
      </c>
      <c r="H740" s="209">
        <f>('Sensitivity &amp; Scenarios'!$C$6*(1+$E740)^1*$G740+'Sensitivity &amp; Scenarios'!$C$11*'Sensitivity &amp; Scenarios'!$C$6*((1+$E740)^1-(1+$E740)^0))*'Sensitivity &amp; Scenarios'!$C$18/(1+$C740)^'Sensitivity &amp; Scenarios'!$C$18+('Sensitivity &amp; Scenarios'!$C$6*(1+$E740)^2*$G740+'Sensitivity &amp; Scenarios'!$C$11*'Sensitivity &amp; Scenarios'!$C$6*((1+$E740)^2-(1+$E740)^1))/(1+$C740)^('Sensitivity &amp; Scenarios'!$C$18+1)+('Sensitivity &amp; Scenarios'!$C$6*(1+$E740)^3*$G740+'Sensitivity &amp; Scenarios'!$C$11*'Sensitivity &amp; Scenarios'!$C$6*((1+$E740)^3-(1+$E740)^2))/(1+$C740)^('Sensitivity &amp; Scenarios'!$C$18+2)+('Sensitivity &amp; Scenarios'!$C$6*(1+$E740)^4*$G740+'Sensitivity &amp; Scenarios'!$C$11*'Sensitivity &amp; Scenarios'!$C$6*((1+$E740)^4-(1+$E740)^3))/(1+$C740)^('Sensitivity &amp; Scenarios'!$C$18+3)+('Sensitivity &amp; Scenarios'!$C$6*(1+$E740)^5*$G740+'Sensitivity &amp; Scenarios'!$C$11*'Sensitivity &amp; Scenarios'!$C$6*((1+$E740)^5-(1+$E740)^4))/(1+$C740)^('Sensitivity &amp; Scenarios'!$C$18+4)</f>
        <v>26273.214387265769</v>
      </c>
      <c r="I740" s="209">
        <f>('Sensitivity &amp; Scenarios'!$C$6*(1+$E740)^5*$G740+'Sensitivity &amp; Scenarios'!$C$11*'Sensitivity &amp; Scenarios'!$C$6*((1+$E740)^5-(1+$E740)^4))*(1+$D740)/($C740-$D740)/(1+$C740)^('Sensitivity &amp; Scenarios'!$C$18+4)</f>
        <v>75735.911763322758</v>
      </c>
      <c r="J740" s="209">
        <f>($H740+$I740-'Sensitivity &amp; Scenarios'!$C$15+'Sensitivity &amp; Scenarios'!$C$16)/'Sensitivity &amp; Scenarios'!$C$17</f>
        <v>2433.7284435718693</v>
      </c>
    </row>
    <row r="741" spans="2:10" x14ac:dyDescent="0.3">
      <c r="B741" s="127">
        <v>711</v>
      </c>
      <c r="C741" s="206">
        <f>$D$7+-0.167874*$E$7</f>
        <v>0.13587351943997797</v>
      </c>
      <c r="D741" s="206">
        <f>MIN($D$8+1.096064*$E$8,'Debt &amp; Cost of Capital'!$C$38)</f>
        <v>6.1576383999999998E-2</v>
      </c>
      <c r="E741" s="207">
        <f>$D$9+0.580396*$E$9</f>
        <v>0.18463297770254633</v>
      </c>
      <c r="F741" s="207">
        <f>$D$10+0.731813*$E$10</f>
        <v>0.15378175599999991</v>
      </c>
      <c r="G741" s="208">
        <f>$F741*(1-'Sensitivity &amp; Scenarios'!$C$12)+'Sensitivity &amp; Scenarios'!$C$9*'Sensitivity &amp; Scenarios'!$C$12-'Sensitivity &amp; Scenarios'!$C$10</f>
        <v>8.4270306103264636E-2</v>
      </c>
      <c r="H741" s="209">
        <f>('Sensitivity &amp; Scenarios'!$C$6*(1+$E741)^1*$G741+'Sensitivity &amp; Scenarios'!$C$11*'Sensitivity &amp; Scenarios'!$C$6*((1+$E741)^1-(1+$E741)^0))*'Sensitivity &amp; Scenarios'!$C$18/(1+$C741)^'Sensitivity &amp; Scenarios'!$C$18+('Sensitivity &amp; Scenarios'!$C$6*(1+$E741)^2*$G741+'Sensitivity &amp; Scenarios'!$C$11*'Sensitivity &amp; Scenarios'!$C$6*((1+$E741)^2-(1+$E741)^1))/(1+$C741)^('Sensitivity &amp; Scenarios'!$C$18+1)+('Sensitivity &amp; Scenarios'!$C$6*(1+$E741)^3*$G741+'Sensitivity &amp; Scenarios'!$C$11*'Sensitivity &amp; Scenarios'!$C$6*((1+$E741)^3-(1+$E741)^2))/(1+$C741)^('Sensitivity &amp; Scenarios'!$C$18+2)+('Sensitivity &amp; Scenarios'!$C$6*(1+$E741)^4*$G741+'Sensitivity &amp; Scenarios'!$C$11*'Sensitivity &amp; Scenarios'!$C$6*((1+$E741)^4-(1+$E741)^3))/(1+$C741)^('Sensitivity &amp; Scenarios'!$C$18+3)+('Sensitivity &amp; Scenarios'!$C$6*(1+$E741)^5*$G741+'Sensitivity &amp; Scenarios'!$C$11*'Sensitivity &amp; Scenarios'!$C$6*((1+$E741)^5-(1+$E741)^4))/(1+$C741)^('Sensitivity &amp; Scenarios'!$C$18+4)</f>
        <v>26619.46544253821</v>
      </c>
      <c r="I741" s="209">
        <f>('Sensitivity &amp; Scenarios'!$C$6*(1+$E741)^5*$G741+'Sensitivity &amp; Scenarios'!$C$11*'Sensitivity &amp; Scenarios'!$C$6*((1+$E741)^5-(1+$E741)^4))*(1+$D741)/($C741-$D741)/(1+$C741)^('Sensitivity &amp; Scenarios'!$C$18+4)</f>
        <v>88561.946866640719</v>
      </c>
      <c r="J741" s="209">
        <f>($H741+$I741-'Sensitivity &amp; Scenarios'!$C$15+'Sensitivity &amp; Scenarios'!$C$16)/'Sensitivity &amp; Scenarios'!$C$17</f>
        <v>2710.9889486707334</v>
      </c>
    </row>
    <row r="742" spans="2:10" x14ac:dyDescent="0.3">
      <c r="B742" s="127">
        <v>712</v>
      </c>
      <c r="C742" s="206">
        <f>$D$7+-0.664587*$E$7</f>
        <v>0.13090638943997798</v>
      </c>
      <c r="D742" s="206">
        <f>MIN($D$8+-1.045263*$E$8,'Debt &amp; Cost of Capital'!$C$38)</f>
        <v>4.8728422E-2</v>
      </c>
      <c r="E742" s="207">
        <f>$D$9+-0.567722*$E$9</f>
        <v>0.15018943770254634</v>
      </c>
      <c r="F742" s="207">
        <f>$D$10+-0.620821*$E$10</f>
        <v>0.1375501479999999</v>
      </c>
      <c r="G742" s="208">
        <f>$F742*(1-'Sensitivity &amp; Scenarios'!$C$12)+'Sensitivity &amp; Scenarios'!$C$9*'Sensitivity &amp; Scenarios'!$C$12-'Sensitivity &amp; Scenarios'!$C$10</f>
        <v>7.2124193836864636E-2</v>
      </c>
      <c r="H742" s="209">
        <f>('Sensitivity &amp; Scenarios'!$C$6*(1+$E742)^1*$G742+'Sensitivity &amp; Scenarios'!$C$11*'Sensitivity &amp; Scenarios'!$C$6*((1+$E742)^1-(1+$E742)^0))*'Sensitivity &amp; Scenarios'!$C$18/(1+$C742)^'Sensitivity &amp; Scenarios'!$C$18+('Sensitivity &amp; Scenarios'!$C$6*(1+$E742)^2*$G742+'Sensitivity &amp; Scenarios'!$C$11*'Sensitivity &amp; Scenarios'!$C$6*((1+$E742)^2-(1+$E742)^1))/(1+$C742)^('Sensitivity &amp; Scenarios'!$C$18+1)+('Sensitivity &amp; Scenarios'!$C$6*(1+$E742)^3*$G742+'Sensitivity &amp; Scenarios'!$C$11*'Sensitivity &amp; Scenarios'!$C$6*((1+$E742)^3-(1+$E742)^2))/(1+$C742)^('Sensitivity &amp; Scenarios'!$C$18+2)+('Sensitivity &amp; Scenarios'!$C$6*(1+$E742)^4*$G742+'Sensitivity &amp; Scenarios'!$C$11*'Sensitivity &amp; Scenarios'!$C$6*((1+$E742)^4-(1+$E742)^3))/(1+$C742)^('Sensitivity &amp; Scenarios'!$C$18+3)+('Sensitivity &amp; Scenarios'!$C$6*(1+$E742)^5*$G742+'Sensitivity &amp; Scenarios'!$C$11*'Sensitivity &amp; Scenarios'!$C$6*((1+$E742)^5-(1+$E742)^4))/(1+$C742)^('Sensitivity &amp; Scenarios'!$C$18+4)</f>
        <v>20907.868809507156</v>
      </c>
      <c r="I742" s="209">
        <f>('Sensitivity &amp; Scenarios'!$C$6*(1+$E742)^5*$G742+'Sensitivity &amp; Scenarios'!$C$11*'Sensitivity &amp; Scenarios'!$C$6*((1+$E742)^5-(1+$E742)^4))*(1+$D742)/($C742-$D742)/(1+$C742)^('Sensitivity &amp; Scenarios'!$C$18+4)</f>
        <v>59398.533307356331</v>
      </c>
      <c r="J742" s="209">
        <f>($H742+$I742-'Sensitivity &amp; Scenarios'!$C$15+'Sensitivity &amp; Scenarios'!$C$16)/'Sensitivity &amp; Scenarios'!$C$17</f>
        <v>1976.9126596475558</v>
      </c>
    </row>
    <row r="743" spans="2:10" x14ac:dyDescent="0.3">
      <c r="B743" s="127">
        <v>713</v>
      </c>
      <c r="C743" s="206">
        <f>$D$7+0.786199*$E$7</f>
        <v>0.14541424943997799</v>
      </c>
      <c r="D743" s="206">
        <f>MIN($D$8+0.975984*$E$8,'Debt &amp; Cost of Capital'!$C$38)</f>
        <v>6.0855904000000002E-2</v>
      </c>
      <c r="E743" s="207">
        <f>$D$9+-0.15513*$E$9</f>
        <v>0.16256719770254635</v>
      </c>
      <c r="F743" s="207">
        <f>$D$10+1.430919*$E$10</f>
        <v>0.16217102799999991</v>
      </c>
      <c r="G743" s="208">
        <f>$F743*(1-'Sensitivity &amp; Scenarios'!$C$12)+'Sensitivity &amp; Scenarios'!$C$9*'Sensitivity &amp; Scenarios'!$C$12-'Sensitivity &amp; Scenarios'!$C$10</f>
        <v>9.0547998340864633E-2</v>
      </c>
      <c r="H743" s="209">
        <f>('Sensitivity &amp; Scenarios'!$C$6*(1+$E743)^1*$G743+'Sensitivity &amp; Scenarios'!$C$11*'Sensitivity &amp; Scenarios'!$C$6*((1+$E743)^1-(1+$E743)^0))*'Sensitivity &amp; Scenarios'!$C$18/(1+$C743)^'Sensitivity &amp; Scenarios'!$C$18+('Sensitivity &amp; Scenarios'!$C$6*(1+$E743)^2*$G743+'Sensitivity &amp; Scenarios'!$C$11*'Sensitivity &amp; Scenarios'!$C$6*((1+$E743)^2-(1+$E743)^1))/(1+$C743)^('Sensitivity &amp; Scenarios'!$C$18+1)+('Sensitivity &amp; Scenarios'!$C$6*(1+$E743)^3*$G743+'Sensitivity &amp; Scenarios'!$C$11*'Sensitivity &amp; Scenarios'!$C$6*((1+$E743)^3-(1+$E743)^2))/(1+$C743)^('Sensitivity &amp; Scenarios'!$C$18+2)+('Sensitivity &amp; Scenarios'!$C$6*(1+$E743)^4*$G743+'Sensitivity &amp; Scenarios'!$C$11*'Sensitivity &amp; Scenarios'!$C$6*((1+$E743)^4-(1+$E743)^3))/(1+$C743)^('Sensitivity &amp; Scenarios'!$C$18+3)+('Sensitivity &amp; Scenarios'!$C$6*(1+$E743)^5*$G743+'Sensitivity &amp; Scenarios'!$C$11*'Sensitivity &amp; Scenarios'!$C$6*((1+$E743)^5-(1+$E743)^4))/(1+$C743)^('Sensitivity &amp; Scenarios'!$C$18+4)</f>
        <v>25560.993251114243</v>
      </c>
      <c r="I743" s="209">
        <f>('Sensitivity &amp; Scenarios'!$C$6*(1+$E743)^5*$G743+'Sensitivity &amp; Scenarios'!$C$11*'Sensitivity &amp; Scenarios'!$C$6*((1+$E743)^5-(1+$E743)^4))*(1+$D743)/($C743-$D743)/(1+$C743)^('Sensitivity &amp; Scenarios'!$C$18+4)</f>
        <v>71125.88411672425</v>
      </c>
      <c r="J743" s="209">
        <f>($H743+$I743-'Sensitivity &amp; Scenarios'!$C$15+'Sensitivity &amp; Scenarios'!$C$16)/'Sensitivity &amp; Scenarios'!$C$17</f>
        <v>2321.7016193744057</v>
      </c>
    </row>
    <row r="744" spans="2:10" x14ac:dyDescent="0.3">
      <c r="B744" s="127">
        <v>714</v>
      </c>
      <c r="C744" s="206">
        <f>$D$7+1.368469*$E$7</f>
        <v>0.15123694943997798</v>
      </c>
      <c r="D744" s="206">
        <f>MIN($D$8+0.243399*$E$8,'Debt &amp; Cost of Capital'!$C$38)</f>
        <v>5.6460393999999997E-2</v>
      </c>
      <c r="E744" s="207">
        <f>$D$9+-0.821892*$E$9</f>
        <v>0.14256433770254634</v>
      </c>
      <c r="F744" s="207">
        <f>$D$10+1.575377*$E$10</f>
        <v>0.16390452399999991</v>
      </c>
      <c r="G744" s="208">
        <f>$F744*(1-'Sensitivity &amp; Scenarios'!$C$12)+'Sensitivity &amp; Scenarios'!$C$9*'Sensitivity &amp; Scenarios'!$C$12-'Sensitivity &amp; Scenarios'!$C$10</f>
        <v>9.1845173397664653E-2</v>
      </c>
      <c r="H744" s="209">
        <f>('Sensitivity &amp; Scenarios'!$C$6*(1+$E744)^1*$G744+'Sensitivity &amp; Scenarios'!$C$11*'Sensitivity &amp; Scenarios'!$C$6*((1+$E744)^1-(1+$E744)^0))*'Sensitivity &amp; Scenarios'!$C$18/(1+$C744)^'Sensitivity &amp; Scenarios'!$C$18+('Sensitivity &amp; Scenarios'!$C$6*(1+$E744)^2*$G744+'Sensitivity &amp; Scenarios'!$C$11*'Sensitivity &amp; Scenarios'!$C$6*((1+$E744)^2-(1+$E744)^1))/(1+$C744)^('Sensitivity &amp; Scenarios'!$C$18+1)+('Sensitivity &amp; Scenarios'!$C$6*(1+$E744)^3*$G744+'Sensitivity &amp; Scenarios'!$C$11*'Sensitivity &amp; Scenarios'!$C$6*((1+$E744)^3-(1+$E744)^2))/(1+$C744)^('Sensitivity &amp; Scenarios'!$C$18+2)+('Sensitivity &amp; Scenarios'!$C$6*(1+$E744)^4*$G744+'Sensitivity &amp; Scenarios'!$C$11*'Sensitivity &amp; Scenarios'!$C$6*((1+$E744)^4-(1+$E744)^3))/(1+$C744)^('Sensitivity &amp; Scenarios'!$C$18+3)+('Sensitivity &amp; Scenarios'!$C$6*(1+$E744)^5*$G744+'Sensitivity &amp; Scenarios'!$C$11*'Sensitivity &amp; Scenarios'!$C$6*((1+$E744)^5-(1+$E744)^4))/(1+$C744)^('Sensitivity &amp; Scenarios'!$C$18+4)</f>
        <v>23772.993110461535</v>
      </c>
      <c r="I744" s="209">
        <f>('Sensitivity &amp; Scenarios'!$C$6*(1+$E744)^5*$G744+'Sensitivity &amp; Scenarios'!$C$11*'Sensitivity &amp; Scenarios'!$C$6*((1+$E744)^5-(1+$E744)^4))*(1+$D744)/($C744-$D744)/(1+$C744)^('Sensitivity &amp; Scenarios'!$C$18+4)</f>
        <v>56404.691261540735</v>
      </c>
      <c r="J744" s="209">
        <f>($H744+$I744-'Sensitivity &amp; Scenarios'!$C$15+'Sensitivity &amp; Scenarios'!$C$16)/'Sensitivity &amp; Scenarios'!$C$17</f>
        <v>1974.2033086263484</v>
      </c>
    </row>
    <row r="745" spans="2:10" x14ac:dyDescent="0.3">
      <c r="B745" s="127">
        <v>715</v>
      </c>
      <c r="C745" s="206">
        <f>$D$7+-0.061017*$E$7</f>
        <v>0.13694208943997799</v>
      </c>
      <c r="D745" s="206">
        <f>MIN($D$8+0.126165*$E$8,'Debt &amp; Cost of Capital'!$C$38)</f>
        <v>5.5756989999999999E-2</v>
      </c>
      <c r="E745" s="207">
        <f>$D$9+-0.339605*$E$9</f>
        <v>0.15703294770254633</v>
      </c>
      <c r="F745" s="207">
        <f>$D$10+-0.88979*$E$10</f>
        <v>0.13432251999999992</v>
      </c>
      <c r="G745" s="208">
        <f>$F745*(1-'Sensitivity &amp; Scenarios'!$C$12)+'Sensitivity &amp; Scenarios'!$C$9*'Sensitivity &amp; Scenarios'!$C$12-'Sensitivity &amp; Scenarios'!$C$10</f>
        <v>6.9708959804464649E-2</v>
      </c>
      <c r="H745" s="209">
        <f>('Sensitivity &amp; Scenarios'!$C$6*(1+$E745)^1*$G745+'Sensitivity &amp; Scenarios'!$C$11*'Sensitivity &amp; Scenarios'!$C$6*((1+$E745)^1-(1+$E745)^0))*'Sensitivity &amp; Scenarios'!$C$18/(1+$C745)^'Sensitivity &amp; Scenarios'!$C$18+('Sensitivity &amp; Scenarios'!$C$6*(1+$E745)^2*$G745+'Sensitivity &amp; Scenarios'!$C$11*'Sensitivity &amp; Scenarios'!$C$6*((1+$E745)^2-(1+$E745)^1))/(1+$C745)^('Sensitivity &amp; Scenarios'!$C$18+1)+('Sensitivity &amp; Scenarios'!$C$6*(1+$E745)^3*$G745+'Sensitivity &amp; Scenarios'!$C$11*'Sensitivity &amp; Scenarios'!$C$6*((1+$E745)^3-(1+$E745)^2))/(1+$C745)^('Sensitivity &amp; Scenarios'!$C$18+2)+('Sensitivity &amp; Scenarios'!$C$6*(1+$E745)^4*$G745+'Sensitivity &amp; Scenarios'!$C$11*'Sensitivity &amp; Scenarios'!$C$6*((1+$E745)^4-(1+$E745)^3))/(1+$C745)^('Sensitivity &amp; Scenarios'!$C$18+3)+('Sensitivity &amp; Scenarios'!$C$6*(1+$E745)^5*$G745+'Sensitivity &amp; Scenarios'!$C$11*'Sensitivity &amp; Scenarios'!$C$6*((1+$E745)^5-(1+$E745)^4))/(1+$C745)^('Sensitivity &amp; Scenarios'!$C$18+4)</f>
        <v>20540.657897245423</v>
      </c>
      <c r="I745" s="209">
        <f>('Sensitivity &amp; Scenarios'!$C$6*(1+$E745)^5*$G745+'Sensitivity &amp; Scenarios'!$C$11*'Sensitivity &amp; Scenarios'!$C$6*((1+$E745)^5-(1+$E745)^4))*(1+$D745)/($C745-$D745)/(1+$C745)^('Sensitivity &amp; Scenarios'!$C$18+4)</f>
        <v>59530.484779729522</v>
      </c>
      <c r="J745" s="209">
        <f>($H745+$I745-'Sensitivity &amp; Scenarios'!$C$15+'Sensitivity &amp; Scenarios'!$C$16)/'Sensitivity &amp; Scenarios'!$C$17</f>
        <v>1971.9607363179646</v>
      </c>
    </row>
    <row r="746" spans="2:10" x14ac:dyDescent="0.3">
      <c r="B746" s="127">
        <v>716</v>
      </c>
      <c r="C746" s="206">
        <f>$D$7+-1.468639*$E$7</f>
        <v>0.12286586943997799</v>
      </c>
      <c r="D746" s="206">
        <f>MIN($D$8+0.632868*$E$8,'Debt &amp; Cost of Capital'!$C$38)</f>
        <v>5.8797208000000004E-2</v>
      </c>
      <c r="E746" s="207">
        <f>$D$9+-0.783401*$E$9</f>
        <v>0.14371906770254633</v>
      </c>
      <c r="F746" s="207">
        <f>$D$10+3.059531*$E$10</f>
        <v>0.1817143719999999</v>
      </c>
      <c r="G746" s="208">
        <f>$F746*(1-'Sensitivity &amp; Scenarios'!$C$12)+'Sensitivity &amp; Scenarios'!$C$9*'Sensitivity &amp; Scenarios'!$C$12-'Sensitivity &amp; Scenarios'!$C$10</f>
        <v>0.10517228265606463</v>
      </c>
      <c r="H746" s="209">
        <f>('Sensitivity &amp; Scenarios'!$C$6*(1+$E746)^1*$G746+'Sensitivity &amp; Scenarios'!$C$11*'Sensitivity &amp; Scenarios'!$C$6*((1+$E746)^1-(1+$E746)^0))*'Sensitivity &amp; Scenarios'!$C$18/(1+$C746)^'Sensitivity &amp; Scenarios'!$C$18+('Sensitivity &amp; Scenarios'!$C$6*(1+$E746)^2*$G746+'Sensitivity &amp; Scenarios'!$C$11*'Sensitivity &amp; Scenarios'!$C$6*((1+$E746)^2-(1+$E746)^1))/(1+$C746)^('Sensitivity &amp; Scenarios'!$C$18+1)+('Sensitivity &amp; Scenarios'!$C$6*(1+$E746)^3*$G746+'Sensitivity &amp; Scenarios'!$C$11*'Sensitivity &amp; Scenarios'!$C$6*((1+$E746)^3-(1+$E746)^2))/(1+$C746)^('Sensitivity &amp; Scenarios'!$C$18+2)+('Sensitivity &amp; Scenarios'!$C$6*(1+$E746)^4*$G746+'Sensitivity &amp; Scenarios'!$C$11*'Sensitivity &amp; Scenarios'!$C$6*((1+$E746)^4-(1+$E746)^3))/(1+$C746)^('Sensitivity &amp; Scenarios'!$C$18+3)+('Sensitivity &amp; Scenarios'!$C$6*(1+$E746)^5*$G746+'Sensitivity &amp; Scenarios'!$C$11*'Sensitivity &amp; Scenarios'!$C$6*((1+$E746)^5-(1+$E746)^4))/(1+$C746)^('Sensitivity &amp; Scenarios'!$C$18+4)</f>
        <v>28828.055570218501</v>
      </c>
      <c r="I746" s="209">
        <f>('Sensitivity &amp; Scenarios'!$C$6*(1+$E746)^5*$G746+'Sensitivity &amp; Scenarios'!$C$11*'Sensitivity &amp; Scenarios'!$C$6*((1+$E746)^5-(1+$E746)^4))*(1+$D746)/($C746-$D746)/(1+$C746)^('Sensitivity &amp; Scenarios'!$C$18+4)</f>
        <v>106344.42511052699</v>
      </c>
      <c r="J746" s="209">
        <f>($H746+$I746-'Sensitivity &amp; Scenarios'!$C$15+'Sensitivity &amp; Scenarios'!$C$16)/'Sensitivity &amp; Scenarios'!$C$17</f>
        <v>3131.7764754093428</v>
      </c>
    </row>
    <row r="747" spans="2:10" x14ac:dyDescent="0.3">
      <c r="B747" s="127">
        <v>717</v>
      </c>
      <c r="C747" s="206">
        <f>$D$7+-1.086074*$E$7</f>
        <v>0.12669151943997797</v>
      </c>
      <c r="D747" s="206">
        <f>MIN($D$8+-1.257382*$E$8,'Debt &amp; Cost of Capital'!$C$38)</f>
        <v>4.7455707999999999E-2</v>
      </c>
      <c r="E747" s="207">
        <f>$D$9+0.510139*$E$9</f>
        <v>0.18252526770254635</v>
      </c>
      <c r="F747" s="207">
        <f>$D$10+1.529313*$E$10</f>
        <v>0.1633517559999999</v>
      </c>
      <c r="G747" s="208">
        <f>$F747*(1-'Sensitivity &amp; Scenarios'!$C$12)+'Sensitivity &amp; Scenarios'!$C$9*'Sensitivity &amp; Scenarios'!$C$12-'Sensitivity &amp; Scenarios'!$C$10</f>
        <v>9.1431537103264626E-2</v>
      </c>
      <c r="H747" s="209">
        <f>('Sensitivity &amp; Scenarios'!$C$6*(1+$E747)^1*$G747+'Sensitivity &amp; Scenarios'!$C$11*'Sensitivity &amp; Scenarios'!$C$6*((1+$E747)^1-(1+$E747)^0))*'Sensitivity &amp; Scenarios'!$C$18/(1+$C747)^'Sensitivity &amp; Scenarios'!$C$18+('Sensitivity &amp; Scenarios'!$C$6*(1+$E747)^2*$G747+'Sensitivity &amp; Scenarios'!$C$11*'Sensitivity &amp; Scenarios'!$C$6*((1+$E747)^2-(1+$E747)^1))/(1+$C747)^('Sensitivity &amp; Scenarios'!$C$18+1)+('Sensitivity &amp; Scenarios'!$C$6*(1+$E747)^3*$G747+'Sensitivity &amp; Scenarios'!$C$11*'Sensitivity &amp; Scenarios'!$C$6*((1+$E747)^3-(1+$E747)^2))/(1+$C747)^('Sensitivity &amp; Scenarios'!$C$18+2)+('Sensitivity &amp; Scenarios'!$C$6*(1+$E747)^4*$G747+'Sensitivity &amp; Scenarios'!$C$11*'Sensitivity &amp; Scenarios'!$C$6*((1+$E747)^4-(1+$E747)^3))/(1+$C747)^('Sensitivity &amp; Scenarios'!$C$18+3)+('Sensitivity &amp; Scenarios'!$C$6*(1+$E747)^5*$G747+'Sensitivity &amp; Scenarios'!$C$11*'Sensitivity &amp; Scenarios'!$C$6*((1+$E747)^5-(1+$E747)^4))/(1+$C747)^('Sensitivity &amp; Scenarios'!$C$18+4)</f>
        <v>28959.51388387107</v>
      </c>
      <c r="I747" s="209">
        <f>('Sensitivity &amp; Scenarios'!$C$6*(1+$E747)^5*$G747+'Sensitivity &amp; Scenarios'!$C$11*'Sensitivity &amp; Scenarios'!$C$6*((1+$E747)^5-(1+$E747)^4))*(1+$D747)/($C747-$D747)/(1+$C747)^('Sensitivity &amp; Scenarios'!$C$18+4)</f>
        <v>90139.684363514869</v>
      </c>
      <c r="J747" s="209">
        <f>($H747+$I747-'Sensitivity &amp; Scenarios'!$C$15+'Sensitivity &amp; Scenarios'!$C$16)/'Sensitivity &amp; Scenarios'!$C$17</f>
        <v>2793.4535485904748</v>
      </c>
    </row>
    <row r="748" spans="2:10" x14ac:dyDescent="0.3">
      <c r="B748" s="127">
        <v>718</v>
      </c>
      <c r="C748" s="206">
        <f>$D$7+0.06459*$E$7</f>
        <v>0.13819815943997799</v>
      </c>
      <c r="D748" s="206">
        <f>MIN($D$8+0.572242*$E$8,'Debt &amp; Cost of Capital'!$C$38)</f>
        <v>5.8433451999999997E-2</v>
      </c>
      <c r="E748" s="207">
        <f>$D$9+-1.843547*$E$9</f>
        <v>0.11191468770254634</v>
      </c>
      <c r="F748" s="207">
        <f>$D$10+-0.677512*$E$10</f>
        <v>0.1368698559999999</v>
      </c>
      <c r="G748" s="208">
        <f>$F748*(1-'Sensitivity &amp; Scenarios'!$C$12)+'Sensitivity &amp; Scenarios'!$C$9*'Sensitivity &amp; Scenarios'!$C$12-'Sensitivity &amp; Scenarios'!$C$10</f>
        <v>7.1615131333264637E-2</v>
      </c>
      <c r="H748" s="209">
        <f>('Sensitivity &amp; Scenarios'!$C$6*(1+$E748)^1*$G748+'Sensitivity &amp; Scenarios'!$C$11*'Sensitivity &amp; Scenarios'!$C$6*((1+$E748)^1-(1+$E748)^0))*'Sensitivity &amp; Scenarios'!$C$18/(1+$C748)^'Sensitivity &amp; Scenarios'!$C$18+('Sensitivity &amp; Scenarios'!$C$6*(1+$E748)^2*$G748+'Sensitivity &amp; Scenarios'!$C$11*'Sensitivity &amp; Scenarios'!$C$6*((1+$E748)^2-(1+$E748)^1))/(1+$C748)^('Sensitivity &amp; Scenarios'!$C$18+1)+('Sensitivity &amp; Scenarios'!$C$6*(1+$E748)^3*$G748+'Sensitivity &amp; Scenarios'!$C$11*'Sensitivity &amp; Scenarios'!$C$6*((1+$E748)^3-(1+$E748)^2))/(1+$C748)^('Sensitivity &amp; Scenarios'!$C$18+2)+('Sensitivity &amp; Scenarios'!$C$6*(1+$E748)^4*$G748+'Sensitivity &amp; Scenarios'!$C$11*'Sensitivity &amp; Scenarios'!$C$6*((1+$E748)^4-(1+$E748)^3))/(1+$C748)^('Sensitivity &amp; Scenarios'!$C$18+3)+('Sensitivity &amp; Scenarios'!$C$6*(1+$E748)^5*$G748+'Sensitivity &amp; Scenarios'!$C$11*'Sensitivity &amp; Scenarios'!$C$6*((1+$E748)^5-(1+$E748)^4))/(1+$C748)^('Sensitivity &amp; Scenarios'!$C$18+4)</f>
        <v>17647.328312219164</v>
      </c>
      <c r="I748" s="209">
        <f>('Sensitivity &amp; Scenarios'!$C$6*(1+$E748)^5*$G748+'Sensitivity &amp; Scenarios'!$C$11*'Sensitivity &amp; Scenarios'!$C$6*((1+$E748)^5-(1+$E748)^4))*(1+$D748)/($C748-$D748)/(1+$C748)^('Sensitivity &amp; Scenarios'!$C$18+4)</f>
        <v>48392.801150320352</v>
      </c>
      <c r="J748" s="209">
        <f>($H748+$I748-'Sensitivity &amp; Scenarios'!$C$15+'Sensitivity &amp; Scenarios'!$C$16)/'Sensitivity &amp; Scenarios'!$C$17</f>
        <v>1676.6250774926245</v>
      </c>
    </row>
    <row r="749" spans="2:10" x14ac:dyDescent="0.3">
      <c r="B749" s="127">
        <v>719</v>
      </c>
      <c r="C749" s="206">
        <f>$D$7+-1.073616*$E$7</f>
        <v>0.12681609943997799</v>
      </c>
      <c r="D749" s="206">
        <f>MIN($D$8+-1.895046*$E$8,'Debt &amp; Cost of Capital'!$C$38)</f>
        <v>4.3629724000000002E-2</v>
      </c>
      <c r="E749" s="207">
        <f>$D$9+0.11698*$E$9</f>
        <v>0.17073049770254634</v>
      </c>
      <c r="F749" s="207">
        <f>$D$10+-2.242828*$E$10</f>
        <v>0.11808606399999991</v>
      </c>
      <c r="G749" s="208">
        <f>$F749*(1-'Sensitivity &amp; Scenarios'!$C$12)+'Sensitivity &amp; Scenarios'!$C$9*'Sensitivity &amp; Scenarios'!$C$12-'Sensitivity &amp; Scenarios'!$C$10</f>
        <v>5.7559219779664633E-2</v>
      </c>
      <c r="H749" s="209">
        <f>('Sensitivity &amp; Scenarios'!$C$6*(1+$E749)^1*$G749+'Sensitivity &amp; Scenarios'!$C$11*'Sensitivity &amp; Scenarios'!$C$6*((1+$E749)^1-(1+$E749)^0))*'Sensitivity &amp; Scenarios'!$C$18/(1+$C749)^'Sensitivity &amp; Scenarios'!$C$18+('Sensitivity &amp; Scenarios'!$C$6*(1+$E749)^2*$G749+'Sensitivity &amp; Scenarios'!$C$11*'Sensitivity &amp; Scenarios'!$C$6*((1+$E749)^2-(1+$E749)^1))/(1+$C749)^('Sensitivity &amp; Scenarios'!$C$18+1)+('Sensitivity &amp; Scenarios'!$C$6*(1+$E749)^3*$G749+'Sensitivity &amp; Scenarios'!$C$11*'Sensitivity &amp; Scenarios'!$C$6*((1+$E749)^3-(1+$E749)^2))/(1+$C749)^('Sensitivity &amp; Scenarios'!$C$18+2)+('Sensitivity &amp; Scenarios'!$C$6*(1+$E749)^4*$G749+'Sensitivity &amp; Scenarios'!$C$11*'Sensitivity &amp; Scenarios'!$C$6*((1+$E749)^4-(1+$E749)^3))/(1+$C749)^('Sensitivity &amp; Scenarios'!$C$18+3)+('Sensitivity &amp; Scenarios'!$C$6*(1+$E749)^5*$G749+'Sensitivity &amp; Scenarios'!$C$11*'Sensitivity &amp; Scenarios'!$C$6*((1+$E749)^5-(1+$E749)^4))/(1+$C749)^('Sensitivity &amp; Scenarios'!$C$18+4)</f>
        <v>19027.154882302664</v>
      </c>
      <c r="I749" s="209">
        <f>('Sensitivity &amp; Scenarios'!$C$6*(1+$E749)^5*$G749+'Sensitivity &amp; Scenarios'!$C$11*'Sensitivity &amp; Scenarios'!$C$6*((1+$E749)^5-(1+$E749)^4))*(1+$D749)/($C749-$D749)/(1+$C749)^('Sensitivity &amp; Scenarios'!$C$18+4)</f>
        <v>55210.059500092284</v>
      </c>
      <c r="J749" s="209">
        <f>($H749+$I749-'Sensitivity &amp; Scenarios'!$C$15+'Sensitivity &amp; Scenarios'!$C$16)/'Sensitivity &amp; Scenarios'!$C$17</f>
        <v>1849.1636845236617</v>
      </c>
    </row>
    <row r="750" spans="2:10" x14ac:dyDescent="0.3">
      <c r="B750" s="127">
        <v>720</v>
      </c>
      <c r="C750" s="206">
        <f>$D$7+-1.322196*$E$7</f>
        <v>0.12433029943997798</v>
      </c>
      <c r="D750" s="206">
        <f>MIN($D$8+-0.537194*$E$8,'Debt &amp; Cost of Capital'!$C$38)</f>
        <v>5.1776836E-2</v>
      </c>
      <c r="E750" s="207">
        <f>$D$9+-0.831286*$E$9</f>
        <v>0.14228251770254635</v>
      </c>
      <c r="F750" s="207">
        <f>$D$10+0.396409*$E$10</f>
        <v>0.14975690799999991</v>
      </c>
      <c r="G750" s="208">
        <f>$F750*(1-'Sensitivity &amp; Scenarios'!$C$12)+'Sensitivity &amp; Scenarios'!$C$9*'Sensitivity &amp; Scenarios'!$C$12-'Sensitivity &amp; Scenarios'!$C$10</f>
        <v>8.1258512344864642E-2</v>
      </c>
      <c r="H750" s="209">
        <f>('Sensitivity &amp; Scenarios'!$C$6*(1+$E750)^1*$G750+'Sensitivity &amp; Scenarios'!$C$11*'Sensitivity &amp; Scenarios'!$C$6*((1+$E750)^1-(1+$E750)^0))*'Sensitivity &amp; Scenarios'!$C$18/(1+$C750)^'Sensitivity &amp; Scenarios'!$C$18+('Sensitivity &amp; Scenarios'!$C$6*(1+$E750)^2*$G750+'Sensitivity &amp; Scenarios'!$C$11*'Sensitivity &amp; Scenarios'!$C$6*((1+$E750)^2-(1+$E750)^1))/(1+$C750)^('Sensitivity &amp; Scenarios'!$C$18+1)+('Sensitivity &amp; Scenarios'!$C$6*(1+$E750)^3*$G750+'Sensitivity &amp; Scenarios'!$C$11*'Sensitivity &amp; Scenarios'!$C$6*((1+$E750)^3-(1+$E750)^2))/(1+$C750)^('Sensitivity &amp; Scenarios'!$C$18+2)+('Sensitivity &amp; Scenarios'!$C$6*(1+$E750)^4*$G750+'Sensitivity &amp; Scenarios'!$C$11*'Sensitivity &amp; Scenarios'!$C$6*((1+$E750)^4-(1+$E750)^3))/(1+$C750)^('Sensitivity &amp; Scenarios'!$C$18+3)+('Sensitivity &amp; Scenarios'!$C$6*(1+$E750)^5*$G750+'Sensitivity &amp; Scenarios'!$C$11*'Sensitivity &amp; Scenarios'!$C$6*((1+$E750)^5-(1+$E750)^4))/(1+$C750)^('Sensitivity &amp; Scenarios'!$C$18+4)</f>
        <v>22829.158042400748</v>
      </c>
      <c r="I750" s="209">
        <f>('Sensitivity &amp; Scenarios'!$C$6*(1+$E750)^5*$G750+'Sensitivity &amp; Scenarios'!$C$11*'Sensitivity &amp; Scenarios'!$C$6*((1+$E750)^5-(1+$E750)^4))*(1+$D750)/($C750-$D750)/(1+$C750)^('Sensitivity &amp; Scenarios'!$C$18+4)</f>
        <v>73531.700387592529</v>
      </c>
      <c r="J750" s="209">
        <f>($H750+$I750-'Sensitivity &amp; Scenarios'!$C$15+'Sensitivity &amp; Scenarios'!$C$16)/'Sensitivity &amp; Scenarios'!$C$17</f>
        <v>2314.8393196725569</v>
      </c>
    </row>
    <row r="751" spans="2:10" x14ac:dyDescent="0.3">
      <c r="B751" s="127">
        <v>721</v>
      </c>
      <c r="C751" s="206">
        <f>$D$7+0.30558*$E$7</f>
        <v>0.14060805943997798</v>
      </c>
      <c r="D751" s="206">
        <f>MIN($D$8+0.893799*$E$8,'Debt &amp; Cost of Capital'!$C$38)</f>
        <v>6.0362793999999997E-2</v>
      </c>
      <c r="E751" s="207">
        <f>$D$9+0.752384*$E$9</f>
        <v>0.18979261770254635</v>
      </c>
      <c r="F751" s="207">
        <f>$D$10+1.140813*$E$10</f>
        <v>0.1586897559999999</v>
      </c>
      <c r="G751" s="208">
        <f>$F751*(1-'Sensitivity &amp; Scenarios'!$C$12)+'Sensitivity &amp; Scenarios'!$C$9*'Sensitivity &amp; Scenarios'!$C$12-'Sensitivity &amp; Scenarios'!$C$10</f>
        <v>8.7942962503264638E-2</v>
      </c>
      <c r="H751" s="209">
        <f>('Sensitivity &amp; Scenarios'!$C$6*(1+$E751)^1*$G751+'Sensitivity &amp; Scenarios'!$C$11*'Sensitivity &amp; Scenarios'!$C$6*((1+$E751)^1-(1+$E751)^0))*'Sensitivity &amp; Scenarios'!$C$18/(1+$C751)^'Sensitivity &amp; Scenarios'!$C$18+('Sensitivity &amp; Scenarios'!$C$6*(1+$E751)^2*$G751+'Sensitivity &amp; Scenarios'!$C$11*'Sensitivity &amp; Scenarios'!$C$6*((1+$E751)^2-(1+$E751)^1))/(1+$C751)^('Sensitivity &amp; Scenarios'!$C$18+1)+('Sensitivity &amp; Scenarios'!$C$6*(1+$E751)^3*$G751+'Sensitivity &amp; Scenarios'!$C$11*'Sensitivity &amp; Scenarios'!$C$6*((1+$E751)^3-(1+$E751)^2))/(1+$C751)^('Sensitivity &amp; Scenarios'!$C$18+2)+('Sensitivity &amp; Scenarios'!$C$6*(1+$E751)^4*$G751+'Sensitivity &amp; Scenarios'!$C$11*'Sensitivity &amp; Scenarios'!$C$6*((1+$E751)^4-(1+$E751)^3))/(1+$C751)^('Sensitivity &amp; Scenarios'!$C$18+3)+('Sensitivity &amp; Scenarios'!$C$6*(1+$E751)^5*$G751+'Sensitivity &amp; Scenarios'!$C$11*'Sensitivity &amp; Scenarios'!$C$6*((1+$E751)^5-(1+$E751)^4))/(1+$C751)^('Sensitivity &amp; Scenarios'!$C$18+4)</f>
        <v>27748.215211131595</v>
      </c>
      <c r="I751" s="209">
        <f>('Sensitivity &amp; Scenarios'!$C$6*(1+$E751)^5*$G751+'Sensitivity &amp; Scenarios'!$C$11*'Sensitivity &amp; Scenarios'!$C$6*((1+$E751)^5-(1+$E751)^4))*(1+$D751)/($C751-$D751)/(1+$C751)^('Sensitivity &amp; Scenarios'!$C$18+4)</f>
        <v>85404.692320182527</v>
      </c>
      <c r="J751" s="209">
        <f>($H751+$I751-'Sensitivity &amp; Scenarios'!$C$15+'Sensitivity &amp; Scenarios'!$C$16)/'Sensitivity &amp; Scenarios'!$C$17</f>
        <v>2668.2914053183622</v>
      </c>
    </row>
    <row r="752" spans="2:10" x14ac:dyDescent="0.3">
      <c r="B752" s="127">
        <v>722</v>
      </c>
      <c r="C752" s="206">
        <f>$D$7+-0.001918*$E$7</f>
        <v>0.13753307943997797</v>
      </c>
      <c r="D752" s="206">
        <f>MIN($D$8+0.303467*$E$8,'Debt &amp; Cost of Capital'!$C$38)</f>
        <v>5.6820802000000004E-2</v>
      </c>
      <c r="E752" s="207">
        <f>$D$9+0.511514*$E$9</f>
        <v>0.18256651770254634</v>
      </c>
      <c r="F752" s="207">
        <f>$D$10+0.141657*$E$10</f>
        <v>0.14669988399999992</v>
      </c>
      <c r="G752" s="208">
        <f>$F752*(1-'Sensitivity &amp; Scenarios'!$C$12)+'Sensitivity &amp; Scenarios'!$C$9*'Sensitivity &amp; Scenarios'!$C$12-'Sensitivity &amp; Scenarios'!$C$10</f>
        <v>7.8970941285664648E-2</v>
      </c>
      <c r="H752" s="209">
        <f>('Sensitivity &amp; Scenarios'!$C$6*(1+$E752)^1*$G752+'Sensitivity &amp; Scenarios'!$C$11*'Sensitivity &amp; Scenarios'!$C$6*((1+$E752)^1-(1+$E752)^0))*'Sensitivity &amp; Scenarios'!$C$18/(1+$C752)^'Sensitivity &amp; Scenarios'!$C$18+('Sensitivity &amp; Scenarios'!$C$6*(1+$E752)^2*$G752+'Sensitivity &amp; Scenarios'!$C$11*'Sensitivity &amp; Scenarios'!$C$6*((1+$E752)^2-(1+$E752)^1))/(1+$C752)^('Sensitivity &amp; Scenarios'!$C$18+1)+('Sensitivity &amp; Scenarios'!$C$6*(1+$E752)^3*$G752+'Sensitivity &amp; Scenarios'!$C$11*'Sensitivity &amp; Scenarios'!$C$6*((1+$E752)^3-(1+$E752)^2))/(1+$C752)^('Sensitivity &amp; Scenarios'!$C$18+2)+('Sensitivity &amp; Scenarios'!$C$6*(1+$E752)^4*$G752+'Sensitivity &amp; Scenarios'!$C$11*'Sensitivity &amp; Scenarios'!$C$6*((1+$E752)^4-(1+$E752)^3))/(1+$C752)^('Sensitivity &amp; Scenarios'!$C$18+3)+('Sensitivity &amp; Scenarios'!$C$6*(1+$E752)^5*$G752+'Sensitivity &amp; Scenarios'!$C$11*'Sensitivity &amp; Scenarios'!$C$6*((1+$E752)^5-(1+$E752)^4))/(1+$C752)^('Sensitivity &amp; Scenarios'!$C$18+4)</f>
        <v>24939.663269097153</v>
      </c>
      <c r="I752" s="209">
        <f>('Sensitivity &amp; Scenarios'!$C$6*(1+$E752)^5*$G752+'Sensitivity &amp; Scenarios'!$C$11*'Sensitivity &amp; Scenarios'!$C$6*((1+$E752)^5-(1+$E752)^4))*(1+$D752)/($C752-$D752)/(1+$C752)^('Sensitivity &amp; Scenarios'!$C$18+4)</f>
        <v>75606.469507405112</v>
      </c>
      <c r="J752" s="209">
        <f>($H752+$I752-'Sensitivity &amp; Scenarios'!$C$15+'Sensitivity &amp; Scenarios'!$C$16)/'Sensitivity &amp; Scenarios'!$C$17</f>
        <v>2402.9342232693507</v>
      </c>
    </row>
    <row r="753" spans="2:10" x14ac:dyDescent="0.3">
      <c r="B753" s="127">
        <v>723</v>
      </c>
      <c r="C753" s="206">
        <f>$D$7+-0.397194*$E$7</f>
        <v>0.13358031943997797</v>
      </c>
      <c r="D753" s="206">
        <f>MIN($D$8+-0.332443*$E$8,'Debt &amp; Cost of Capital'!$C$38)</f>
        <v>5.3005341999999997E-2</v>
      </c>
      <c r="E753" s="207">
        <f>$D$9+-0.817558*$E$9</f>
        <v>0.14269435770254635</v>
      </c>
      <c r="F753" s="207">
        <f>$D$10+0.421617*$E$10</f>
        <v>0.1500594039999999</v>
      </c>
      <c r="G753" s="208">
        <f>$F753*(1-'Sensitivity &amp; Scenarios'!$C$12)+'Sensitivity &amp; Scenarios'!$C$9*'Sensitivity &amp; Scenarios'!$C$12-'Sensitivity &amp; Scenarios'!$C$10</f>
        <v>8.1484870101664622E-2</v>
      </c>
      <c r="H753" s="209">
        <f>('Sensitivity &amp; Scenarios'!$C$6*(1+$E753)^1*$G753+'Sensitivity &amp; Scenarios'!$C$11*'Sensitivity &amp; Scenarios'!$C$6*((1+$E753)^1-(1+$E753)^0))*'Sensitivity &amp; Scenarios'!$C$18/(1+$C753)^'Sensitivity &amp; Scenarios'!$C$18+('Sensitivity &amp; Scenarios'!$C$6*(1+$E753)^2*$G753+'Sensitivity &amp; Scenarios'!$C$11*'Sensitivity &amp; Scenarios'!$C$6*((1+$E753)^2-(1+$E753)^1))/(1+$C753)^('Sensitivity &amp; Scenarios'!$C$18+1)+('Sensitivity &amp; Scenarios'!$C$6*(1+$E753)^3*$G753+'Sensitivity &amp; Scenarios'!$C$11*'Sensitivity &amp; Scenarios'!$C$6*((1+$E753)^3-(1+$E753)^2))/(1+$C753)^('Sensitivity &amp; Scenarios'!$C$18+2)+('Sensitivity &amp; Scenarios'!$C$6*(1+$E753)^4*$G753+'Sensitivity &amp; Scenarios'!$C$11*'Sensitivity &amp; Scenarios'!$C$6*((1+$E753)^4-(1+$E753)^3))/(1+$C753)^('Sensitivity &amp; Scenarios'!$C$18+3)+('Sensitivity &amp; Scenarios'!$C$6*(1+$E753)^5*$G753+'Sensitivity &amp; Scenarios'!$C$11*'Sensitivity &amp; Scenarios'!$C$6*((1+$E753)^5-(1+$E753)^4))/(1+$C753)^('Sensitivity &amp; Scenarios'!$C$18+4)</f>
        <v>22395.993610227757</v>
      </c>
      <c r="I753" s="209">
        <f>('Sensitivity &amp; Scenarios'!$C$6*(1+$E753)^5*$G753+'Sensitivity &amp; Scenarios'!$C$11*'Sensitivity &amp; Scenarios'!$C$6*((1+$E753)^5-(1+$E753)^4))*(1+$D753)/($C753-$D753)/(1+$C753)^('Sensitivity &amp; Scenarios'!$C$18+4)</f>
        <v>64110.487611009034</v>
      </c>
      <c r="J753" s="209">
        <f>($H753+$I753-'Sensitivity &amp; Scenarios'!$C$15+'Sensitivity &amp; Scenarios'!$C$16)/'Sensitivity &amp; Scenarios'!$C$17</f>
        <v>2107.4167379400219</v>
      </c>
    </row>
    <row r="754" spans="2:10" x14ac:dyDescent="0.3">
      <c r="B754" s="127">
        <v>724</v>
      </c>
      <c r="C754" s="206">
        <f>$D$7+-0.094015*$E$7</f>
        <v>0.13661210943997798</v>
      </c>
      <c r="D754" s="206">
        <f>MIN($D$8+-0.663174*$E$8,'Debt &amp; Cost of Capital'!$C$38)</f>
        <v>5.1020955999999999E-2</v>
      </c>
      <c r="E754" s="207">
        <f>$D$9+-0.662245*$E$9</f>
        <v>0.14735374770254633</v>
      </c>
      <c r="F754" s="207">
        <f>$D$10+-1.210399*$E$10</f>
        <v>0.1304752119999999</v>
      </c>
      <c r="G754" s="208">
        <f>$F754*(1-'Sensitivity &amp; Scenarios'!$C$12)+'Sensitivity &amp; Scenarios'!$C$9*'Sensitivity &amp; Scenarios'!$C$12-'Sensitivity &amp; Scenarios'!$C$10</f>
        <v>6.6830019228064627E-2</v>
      </c>
      <c r="H754" s="209">
        <f>('Sensitivity &amp; Scenarios'!$C$6*(1+$E754)^1*$G754+'Sensitivity &amp; Scenarios'!$C$11*'Sensitivity &amp; Scenarios'!$C$6*((1+$E754)^1-(1+$E754)^0))*'Sensitivity &amp; Scenarios'!$C$18/(1+$C754)^'Sensitivity &amp; Scenarios'!$C$18+('Sensitivity &amp; Scenarios'!$C$6*(1+$E754)^2*$G754+'Sensitivity &amp; Scenarios'!$C$11*'Sensitivity &amp; Scenarios'!$C$6*((1+$E754)^2-(1+$E754)^1))/(1+$C754)^('Sensitivity &amp; Scenarios'!$C$18+1)+('Sensitivity &amp; Scenarios'!$C$6*(1+$E754)^3*$G754+'Sensitivity &amp; Scenarios'!$C$11*'Sensitivity &amp; Scenarios'!$C$6*((1+$E754)^3-(1+$E754)^2))/(1+$C754)^('Sensitivity &amp; Scenarios'!$C$18+2)+('Sensitivity &amp; Scenarios'!$C$6*(1+$E754)^4*$G754+'Sensitivity &amp; Scenarios'!$C$11*'Sensitivity &amp; Scenarios'!$C$6*((1+$E754)^4-(1+$E754)^3))/(1+$C754)^('Sensitivity &amp; Scenarios'!$C$18+3)+('Sensitivity &amp; Scenarios'!$C$6*(1+$E754)^5*$G754+'Sensitivity &amp; Scenarios'!$C$11*'Sensitivity &amp; Scenarios'!$C$6*((1+$E754)^5-(1+$E754)^4))/(1+$C754)^('Sensitivity &amp; Scenarios'!$C$18+4)</f>
        <v>19144.589319495462</v>
      </c>
      <c r="I754" s="209">
        <f>('Sensitivity &amp; Scenarios'!$C$6*(1+$E754)^5*$G754+'Sensitivity &amp; Scenarios'!$C$11*'Sensitivity &amp; Scenarios'!$C$6*((1+$E754)^5-(1+$E754)^4))*(1+$D754)/($C754-$D754)/(1+$C754)^('Sensitivity &amp; Scenarios'!$C$18+4)</f>
        <v>51625.660306343882</v>
      </c>
      <c r="J754" s="209">
        <f>($H754+$I754-'Sensitivity &amp; Scenarios'!$C$15+'Sensitivity &amp; Scenarios'!$C$16)/'Sensitivity &amp; Scenarios'!$C$17</f>
        <v>1776.1883188210516</v>
      </c>
    </row>
    <row r="755" spans="2:10" x14ac:dyDescent="0.3">
      <c r="B755" s="127">
        <v>725</v>
      </c>
      <c r="C755" s="206">
        <f>$D$7+0.978841*$E$7</f>
        <v>0.14734066943997798</v>
      </c>
      <c r="D755" s="206">
        <f>MIN($D$8+0.078618*$E$8,'Debt &amp; Cost of Capital'!$C$38)</f>
        <v>5.5471708000000002E-2</v>
      </c>
      <c r="E755" s="207">
        <f>$D$9+-0.8628*$E$9</f>
        <v>0.14133709770254635</v>
      </c>
      <c r="F755" s="207">
        <f>$D$10+0.808548*$E$10</f>
        <v>0.1547025759999999</v>
      </c>
      <c r="G755" s="208">
        <f>$F755*(1-'Sensitivity &amp; Scenarios'!$C$12)+'Sensitivity &amp; Scenarios'!$C$9*'Sensitivity &amp; Scenarios'!$C$12-'Sensitivity &amp; Scenarios'!$C$10</f>
        <v>8.4959355709264633E-2</v>
      </c>
      <c r="H755" s="209">
        <f>('Sensitivity &amp; Scenarios'!$C$6*(1+$E755)^1*$G755+'Sensitivity &amp; Scenarios'!$C$11*'Sensitivity &amp; Scenarios'!$C$6*((1+$E755)^1-(1+$E755)^0))*'Sensitivity &amp; Scenarios'!$C$18/(1+$C755)^'Sensitivity &amp; Scenarios'!$C$18+('Sensitivity &amp; Scenarios'!$C$6*(1+$E755)^2*$G755+'Sensitivity &amp; Scenarios'!$C$11*'Sensitivity &amp; Scenarios'!$C$6*((1+$E755)^2-(1+$E755)^1))/(1+$C755)^('Sensitivity &amp; Scenarios'!$C$18+1)+('Sensitivity &amp; Scenarios'!$C$6*(1+$E755)^3*$G755+'Sensitivity &amp; Scenarios'!$C$11*'Sensitivity &amp; Scenarios'!$C$6*((1+$E755)^3-(1+$E755)^2))/(1+$C755)^('Sensitivity &amp; Scenarios'!$C$18+2)+('Sensitivity &amp; Scenarios'!$C$6*(1+$E755)^4*$G755+'Sensitivity &amp; Scenarios'!$C$11*'Sensitivity &amp; Scenarios'!$C$6*((1+$E755)^4-(1+$E755)^3))/(1+$C755)^('Sensitivity &amp; Scenarios'!$C$18+3)+('Sensitivity &amp; Scenarios'!$C$6*(1+$E755)^5*$G755+'Sensitivity &amp; Scenarios'!$C$11*'Sensitivity &amp; Scenarios'!$C$6*((1+$E755)^5-(1+$E755)^4))/(1+$C755)^('Sensitivity &amp; Scenarios'!$C$18+4)</f>
        <v>22333.622260220949</v>
      </c>
      <c r="I755" s="209">
        <f>('Sensitivity &amp; Scenarios'!$C$6*(1+$E755)^5*$G755+'Sensitivity &amp; Scenarios'!$C$11*'Sensitivity &amp; Scenarios'!$C$6*((1+$E755)^5-(1+$E755)^4))*(1+$D755)/($C755-$D755)/(1+$C755)^('Sensitivity &amp; Scenarios'!$C$18+4)</f>
        <v>54850.368399490872</v>
      </c>
      <c r="J755" s="209">
        <f>($H755+$I755-'Sensitivity &amp; Scenarios'!$C$15+'Sensitivity &amp; Scenarios'!$C$16)/'Sensitivity &amp; Scenarios'!$C$17</f>
        <v>1911.1897192776516</v>
      </c>
    </row>
    <row r="756" spans="2:10" x14ac:dyDescent="0.3">
      <c r="B756" s="127">
        <v>726</v>
      </c>
      <c r="C756" s="206">
        <f>$D$7+-0.560449*$E$7</f>
        <v>0.13194776943997799</v>
      </c>
      <c r="D756" s="206">
        <f>MIN($D$8+-1.406501*$E$8,'Debt &amp; Cost of Capital'!$C$38)</f>
        <v>4.6560994000000001E-2</v>
      </c>
      <c r="E756" s="207">
        <f>$D$9+1.021222*$E$9</f>
        <v>0.19785775770254635</v>
      </c>
      <c r="F756" s="207">
        <f>$D$10+-0.537097*$E$10</f>
        <v>0.1385548359999999</v>
      </c>
      <c r="G756" s="208">
        <f>$F756*(1-'Sensitivity &amp; Scenarios'!$C$12)+'Sensitivity &amp; Scenarios'!$C$9*'Sensitivity &amp; Scenarios'!$C$12-'Sensitivity &amp; Scenarios'!$C$10</f>
        <v>7.2876001867264631E-2</v>
      </c>
      <c r="H756" s="209">
        <f>('Sensitivity &amp; Scenarios'!$C$6*(1+$E756)^1*$G756+'Sensitivity &amp; Scenarios'!$C$11*'Sensitivity &amp; Scenarios'!$C$6*((1+$E756)^1-(1+$E756)^0))*'Sensitivity &amp; Scenarios'!$C$18/(1+$C756)^'Sensitivity &amp; Scenarios'!$C$18+('Sensitivity &amp; Scenarios'!$C$6*(1+$E756)^2*$G756+'Sensitivity &amp; Scenarios'!$C$11*'Sensitivity &amp; Scenarios'!$C$6*((1+$E756)^2-(1+$E756)^1))/(1+$C756)^('Sensitivity &amp; Scenarios'!$C$18+1)+('Sensitivity &amp; Scenarios'!$C$6*(1+$E756)^3*$G756+'Sensitivity &amp; Scenarios'!$C$11*'Sensitivity &amp; Scenarios'!$C$6*((1+$E756)^3-(1+$E756)^2))/(1+$C756)^('Sensitivity &amp; Scenarios'!$C$18+2)+('Sensitivity &amp; Scenarios'!$C$6*(1+$E756)^4*$G756+'Sensitivity &amp; Scenarios'!$C$11*'Sensitivity &amp; Scenarios'!$C$6*((1+$E756)^4-(1+$E756)^3))/(1+$C756)^('Sensitivity &amp; Scenarios'!$C$18+3)+('Sensitivity &amp; Scenarios'!$C$6*(1+$E756)^5*$G756+'Sensitivity &amp; Scenarios'!$C$11*'Sensitivity &amp; Scenarios'!$C$6*((1+$E756)^5-(1+$E756)^4))/(1+$C756)^('Sensitivity &amp; Scenarios'!$C$18+4)</f>
        <v>25023.428178011251</v>
      </c>
      <c r="I756" s="209">
        <f>('Sensitivity &amp; Scenarios'!$C$6*(1+$E756)^5*$G756+'Sensitivity &amp; Scenarios'!$C$11*'Sensitivity &amp; Scenarios'!$C$6*((1+$E756)^5-(1+$E756)^4))*(1+$D756)/($C756-$D756)/(1+$C756)^('Sensitivity &amp; Scenarios'!$C$18+4)</f>
        <v>73260.987252444829</v>
      </c>
      <c r="J756" s="209">
        <f>($H756+$I756-'Sensitivity &amp; Scenarios'!$C$15+'Sensitivity &amp; Scenarios'!$C$16)/'Sensitivity &amp; Scenarios'!$C$17</f>
        <v>2355.3278407321272</v>
      </c>
    </row>
    <row r="757" spans="2:10" x14ac:dyDescent="0.3">
      <c r="B757" s="127">
        <v>727</v>
      </c>
      <c r="C757" s="206">
        <f>$D$7+-0.408899*$E$7</f>
        <v>0.13346326943997799</v>
      </c>
      <c r="D757" s="206">
        <f>MIN($D$8+0.04118*$E$8,'Debt &amp; Cost of Capital'!$C$38)</f>
        <v>5.5247079999999997E-2</v>
      </c>
      <c r="E757" s="207">
        <f>$D$9+1.142589*$E$9</f>
        <v>0.20149876770254635</v>
      </c>
      <c r="F757" s="207">
        <f>$D$10+0.020037*$E$10</f>
        <v>0.14524044399999991</v>
      </c>
      <c r="G757" s="208">
        <f>$F757*(1-'Sensitivity &amp; Scenarios'!$C$12)+'Sensitivity &amp; Scenarios'!$C$9*'Sensitivity &amp; Scenarios'!$C$12-'Sensitivity &amp; Scenarios'!$C$10</f>
        <v>7.7878842333664641E-2</v>
      </c>
      <c r="H757" s="209">
        <f>('Sensitivity &amp; Scenarios'!$C$6*(1+$E757)^1*$G757+'Sensitivity &amp; Scenarios'!$C$11*'Sensitivity &amp; Scenarios'!$C$6*((1+$E757)^1-(1+$E757)^0))*'Sensitivity &amp; Scenarios'!$C$18/(1+$C757)^'Sensitivity &amp; Scenarios'!$C$18+('Sensitivity &amp; Scenarios'!$C$6*(1+$E757)^2*$G757+'Sensitivity &amp; Scenarios'!$C$11*'Sensitivity &amp; Scenarios'!$C$6*((1+$E757)^2-(1+$E757)^1))/(1+$C757)^('Sensitivity &amp; Scenarios'!$C$18+1)+('Sensitivity &amp; Scenarios'!$C$6*(1+$E757)^3*$G757+'Sensitivity &amp; Scenarios'!$C$11*'Sensitivity &amp; Scenarios'!$C$6*((1+$E757)^3-(1+$E757)^2))/(1+$C757)^('Sensitivity &amp; Scenarios'!$C$18+2)+('Sensitivity &amp; Scenarios'!$C$6*(1+$E757)^4*$G757+'Sensitivity &amp; Scenarios'!$C$11*'Sensitivity &amp; Scenarios'!$C$6*((1+$E757)^4-(1+$E757)^3))/(1+$C757)^('Sensitivity &amp; Scenarios'!$C$18+3)+('Sensitivity &amp; Scenarios'!$C$6*(1+$E757)^5*$G757+'Sensitivity &amp; Scenarios'!$C$11*'Sensitivity &amp; Scenarios'!$C$6*((1+$E757)^5-(1+$E757)^4))/(1+$C757)^('Sensitivity &amp; Scenarios'!$C$18+4)</f>
        <v>26634.980769355661</v>
      </c>
      <c r="I757" s="209">
        <f>('Sensitivity &amp; Scenarios'!$C$6*(1+$E757)^5*$G757+'Sensitivity &amp; Scenarios'!$C$11*'Sensitivity &amp; Scenarios'!$C$6*((1+$E757)^5-(1+$E757)^4))*(1+$D757)/($C757-$D757)/(1+$C757)^('Sensitivity &amp; Scenarios'!$C$18+4)</f>
        <v>86088.000847153991</v>
      </c>
      <c r="J757" s="209">
        <f>($H757+$I757-'Sensitivity &amp; Scenarios'!$C$15+'Sensitivity &amp; Scenarios'!$C$16)/'Sensitivity &amp; Scenarios'!$C$17</f>
        <v>2659.2419908994348</v>
      </c>
    </row>
    <row r="758" spans="2:10" x14ac:dyDescent="0.3">
      <c r="B758" s="127">
        <v>728</v>
      </c>
      <c r="C758" s="206">
        <f>$D$7+-1.199117*$E$7</f>
        <v>0.12556108943997799</v>
      </c>
      <c r="D758" s="206">
        <f>MIN($D$8+0.543877*$E$8,'Debt &amp; Cost of Capital'!$C$38)</f>
        <v>5.8263262000000003E-2</v>
      </c>
      <c r="E758" s="207">
        <f>$D$9+-0.48499*$E$9</f>
        <v>0.15267139770254634</v>
      </c>
      <c r="F758" s="207">
        <f>$D$10+1.887924*$E$10</f>
        <v>0.1676550879999999</v>
      </c>
      <c r="G758" s="208">
        <f>$F758*(1-'Sensitivity &amp; Scenarios'!$C$12)+'Sensitivity &amp; Scenarios'!$C$9*'Sensitivity &amp; Scenarios'!$C$12-'Sensitivity &amp; Scenarios'!$C$10</f>
        <v>9.4651720438864634E-2</v>
      </c>
      <c r="H758" s="209">
        <f>('Sensitivity &amp; Scenarios'!$C$6*(1+$E758)^1*$G758+'Sensitivity &amp; Scenarios'!$C$11*'Sensitivity &amp; Scenarios'!$C$6*((1+$E758)^1-(1+$E758)^0))*'Sensitivity &amp; Scenarios'!$C$18/(1+$C758)^'Sensitivity &amp; Scenarios'!$C$18+('Sensitivity &amp; Scenarios'!$C$6*(1+$E758)^2*$G758+'Sensitivity &amp; Scenarios'!$C$11*'Sensitivity &amp; Scenarios'!$C$6*((1+$E758)^2-(1+$E758)^1))/(1+$C758)^('Sensitivity &amp; Scenarios'!$C$18+1)+('Sensitivity &amp; Scenarios'!$C$6*(1+$E758)^3*$G758+'Sensitivity &amp; Scenarios'!$C$11*'Sensitivity &amp; Scenarios'!$C$6*((1+$E758)^3-(1+$E758)^2))/(1+$C758)^('Sensitivity &amp; Scenarios'!$C$18+2)+('Sensitivity &amp; Scenarios'!$C$6*(1+$E758)^4*$G758+'Sensitivity &amp; Scenarios'!$C$11*'Sensitivity &amp; Scenarios'!$C$6*((1+$E758)^4-(1+$E758)^3))/(1+$C758)^('Sensitivity &amp; Scenarios'!$C$18+3)+('Sensitivity &amp; Scenarios'!$C$6*(1+$E758)^5*$G758+'Sensitivity &amp; Scenarios'!$C$11*'Sensitivity &amp; Scenarios'!$C$6*((1+$E758)^5-(1+$E758)^4))/(1+$C758)^('Sensitivity &amp; Scenarios'!$C$18+4)</f>
        <v>26944.670502584999</v>
      </c>
      <c r="I758" s="209">
        <f>('Sensitivity &amp; Scenarios'!$C$6*(1+$E758)^5*$G758+'Sensitivity &amp; Scenarios'!$C$11*'Sensitivity &amp; Scenarios'!$C$6*((1+$E758)^5-(1+$E758)^4))*(1+$D758)/($C758-$D758)/(1+$C758)^('Sensitivity &amp; Scenarios'!$C$18+4)</f>
        <v>95505.050815689261</v>
      </c>
      <c r="J758" s="209">
        <f>($H758+$I758-'Sensitivity &amp; Scenarios'!$C$15+'Sensitivity &amp; Scenarios'!$C$16)/'Sensitivity &amp; Scenarios'!$C$17</f>
        <v>2863.9779592960572</v>
      </c>
    </row>
    <row r="759" spans="2:10" x14ac:dyDescent="0.3">
      <c r="B759" s="127">
        <v>729</v>
      </c>
      <c r="C759" s="206">
        <f>$D$7+-0.00112*$E$7</f>
        <v>0.13754105943997799</v>
      </c>
      <c r="D759" s="206">
        <f>MIN($D$8+-2.235035*$E$8,'Debt &amp; Cost of Capital'!$C$38)</f>
        <v>4.1589790000000001E-2</v>
      </c>
      <c r="E759" s="207">
        <f>$D$9+0.357365*$E$9</f>
        <v>0.17794204770254635</v>
      </c>
      <c r="F759" s="207">
        <f>$D$10+1.944598*$E$10</f>
        <v>0.16833517599999992</v>
      </c>
      <c r="G759" s="208">
        <f>$F759*(1-'Sensitivity &amp; Scenarios'!$C$12)+'Sensitivity &amp; Scenarios'!$C$9*'Sensitivity &amp; Scenarios'!$C$12-'Sensitivity &amp; Scenarios'!$C$10</f>
        <v>9.5160630289264636E-2</v>
      </c>
      <c r="H759" s="209">
        <f>('Sensitivity &amp; Scenarios'!$C$6*(1+$E759)^1*$G759+'Sensitivity &amp; Scenarios'!$C$11*'Sensitivity &amp; Scenarios'!$C$6*((1+$E759)^1-(1+$E759)^0))*'Sensitivity &amp; Scenarios'!$C$18/(1+$C759)^'Sensitivity &amp; Scenarios'!$C$18+('Sensitivity &amp; Scenarios'!$C$6*(1+$E759)^2*$G759+'Sensitivity &amp; Scenarios'!$C$11*'Sensitivity &amp; Scenarios'!$C$6*((1+$E759)^2-(1+$E759)^1))/(1+$C759)^('Sensitivity &amp; Scenarios'!$C$18+1)+('Sensitivity &amp; Scenarios'!$C$6*(1+$E759)^3*$G759+'Sensitivity &amp; Scenarios'!$C$11*'Sensitivity &amp; Scenarios'!$C$6*((1+$E759)^3-(1+$E759)^2))/(1+$C759)^('Sensitivity &amp; Scenarios'!$C$18+2)+('Sensitivity &amp; Scenarios'!$C$6*(1+$E759)^4*$G759+'Sensitivity &amp; Scenarios'!$C$11*'Sensitivity &amp; Scenarios'!$C$6*((1+$E759)^4-(1+$E759)^3))/(1+$C759)^('Sensitivity &amp; Scenarios'!$C$18+3)+('Sensitivity &amp; Scenarios'!$C$6*(1+$E759)^5*$G759+'Sensitivity &amp; Scenarios'!$C$11*'Sensitivity &amp; Scenarios'!$C$6*((1+$E759)^5-(1+$E759)^4))/(1+$C759)^('Sensitivity &amp; Scenarios'!$C$18+4)</f>
        <v>28687.291349418985</v>
      </c>
      <c r="I759" s="209">
        <f>('Sensitivity &amp; Scenarios'!$C$6*(1+$E759)^5*$G759+'Sensitivity &amp; Scenarios'!$C$11*'Sensitivity &amp; Scenarios'!$C$6*((1+$E759)^5-(1+$E759)^4))*(1+$D759)/($C759-$D759)/(1+$C759)^('Sensitivity &amp; Scenarios'!$C$18+4)</f>
        <v>71600.612978342571</v>
      </c>
      <c r="J759" s="209">
        <f>($H759+$I759-'Sensitivity &amp; Scenarios'!$C$15+'Sensitivity &amp; Scenarios'!$C$16)/'Sensitivity &amp; Scenarios'!$C$17</f>
        <v>2397.4988304099229</v>
      </c>
    </row>
    <row r="760" spans="2:10" x14ac:dyDescent="0.3">
      <c r="B760" s="127">
        <v>730</v>
      </c>
      <c r="C760" s="206">
        <f>$D$7+1.57592*$E$7</f>
        <v>0.15331145943997798</v>
      </c>
      <c r="D760" s="206">
        <f>MIN($D$8+1.830954*$E$8,'Debt &amp; Cost of Capital'!$C$38)</f>
        <v>6.5985723999999996E-2</v>
      </c>
      <c r="E760" s="207">
        <f>$D$9+-1.01976*$E$9</f>
        <v>0.13662829770254634</v>
      </c>
      <c r="F760" s="207">
        <f>$D$10+0.912152*$E$10</f>
        <v>0.1559458239999999</v>
      </c>
      <c r="G760" s="208">
        <f>$F760*(1-'Sensitivity &amp; Scenarios'!$C$12)+'Sensitivity &amp; Scenarios'!$C$9*'Sensitivity &amp; Scenarios'!$C$12-'Sensitivity &amp; Scenarios'!$C$10</f>
        <v>8.5889678187664631E-2</v>
      </c>
      <c r="H760" s="209">
        <f>('Sensitivity &amp; Scenarios'!$C$6*(1+$E760)^1*$G760+'Sensitivity &amp; Scenarios'!$C$11*'Sensitivity &amp; Scenarios'!$C$6*((1+$E760)^1-(1+$E760)^0))*'Sensitivity &amp; Scenarios'!$C$18/(1+$C760)^'Sensitivity &amp; Scenarios'!$C$18+('Sensitivity &amp; Scenarios'!$C$6*(1+$E760)^2*$G760+'Sensitivity &amp; Scenarios'!$C$11*'Sensitivity &amp; Scenarios'!$C$6*((1+$E760)^2-(1+$E760)^1))/(1+$C760)^('Sensitivity &amp; Scenarios'!$C$18+1)+('Sensitivity &amp; Scenarios'!$C$6*(1+$E760)^3*$G760+'Sensitivity &amp; Scenarios'!$C$11*'Sensitivity &amp; Scenarios'!$C$6*((1+$E760)^3-(1+$E760)^2))/(1+$C760)^('Sensitivity &amp; Scenarios'!$C$18+2)+('Sensitivity &amp; Scenarios'!$C$6*(1+$E760)^4*$G760+'Sensitivity &amp; Scenarios'!$C$11*'Sensitivity &amp; Scenarios'!$C$6*((1+$E760)^4-(1+$E760)^3))/(1+$C760)^('Sensitivity &amp; Scenarios'!$C$18+3)+('Sensitivity &amp; Scenarios'!$C$6*(1+$E760)^5*$G760+'Sensitivity &amp; Scenarios'!$C$11*'Sensitivity &amp; Scenarios'!$C$6*((1+$E760)^5-(1+$E760)^4))/(1+$C760)^('Sensitivity &amp; Scenarios'!$C$18+4)</f>
        <v>21847.51378716627</v>
      </c>
      <c r="I760" s="209">
        <f>('Sensitivity &amp; Scenarios'!$C$6*(1+$E760)^5*$G760+'Sensitivity &amp; Scenarios'!$C$11*'Sensitivity &amp; Scenarios'!$C$6*((1+$E760)^5-(1+$E760)^4))*(1+$D760)/($C760-$D760)/(1+$C760)^('Sensitivity &amp; Scenarios'!$C$18+4)</f>
        <v>56030.340269918706</v>
      </c>
      <c r="J760" s="209">
        <f>($H760+$I760-'Sensitivity &amp; Scenarios'!$C$15+'Sensitivity &amp; Scenarios'!$C$16)/'Sensitivity &amp; Scenarios'!$C$17</f>
        <v>1925.7946947321084</v>
      </c>
    </row>
    <row r="761" spans="2:10" x14ac:dyDescent="0.3">
      <c r="B761" s="127">
        <v>731</v>
      </c>
      <c r="C761" s="206">
        <f>$D$7+-0.721995*$E$7</f>
        <v>0.13033230943997798</v>
      </c>
      <c r="D761" s="206">
        <f>MIN($D$8+0.224289*$E$8,'Debt &amp; Cost of Capital'!$C$38)</f>
        <v>5.6345734000000001E-2</v>
      </c>
      <c r="E761" s="207">
        <f>$D$9+-1.272952*$E$9</f>
        <v>0.12903253770254633</v>
      </c>
      <c r="F761" s="207">
        <f>$D$10+-0.644456*$E$10</f>
        <v>0.13726652799999992</v>
      </c>
      <c r="G761" s="208">
        <f>$F761*(1-'Sensitivity &amp; Scenarios'!$C$12)+'Sensitivity &amp; Scenarios'!$C$9*'Sensitivity &amp; Scenarios'!$C$12-'Sensitivity &amp; Scenarios'!$C$10</f>
        <v>7.1911960990864637E-2</v>
      </c>
      <c r="H761" s="209">
        <f>('Sensitivity &amp; Scenarios'!$C$6*(1+$E761)^1*$G761+'Sensitivity &amp; Scenarios'!$C$11*'Sensitivity &amp; Scenarios'!$C$6*((1+$E761)^1-(1+$E761)^0))*'Sensitivity &amp; Scenarios'!$C$18/(1+$C761)^'Sensitivity &amp; Scenarios'!$C$18+('Sensitivity &amp; Scenarios'!$C$6*(1+$E761)^2*$G761+'Sensitivity &amp; Scenarios'!$C$11*'Sensitivity &amp; Scenarios'!$C$6*((1+$E761)^2-(1+$E761)^1))/(1+$C761)^('Sensitivity &amp; Scenarios'!$C$18+1)+('Sensitivity &amp; Scenarios'!$C$6*(1+$E761)^3*$G761+'Sensitivity &amp; Scenarios'!$C$11*'Sensitivity &amp; Scenarios'!$C$6*((1+$E761)^3-(1+$E761)^2))/(1+$C761)^('Sensitivity &amp; Scenarios'!$C$18+2)+('Sensitivity &amp; Scenarios'!$C$6*(1+$E761)^4*$G761+'Sensitivity &amp; Scenarios'!$C$11*'Sensitivity &amp; Scenarios'!$C$6*((1+$E761)^4-(1+$E761)^3))/(1+$C761)^('Sensitivity &amp; Scenarios'!$C$18+3)+('Sensitivity &amp; Scenarios'!$C$6*(1+$E761)^5*$G761+'Sensitivity &amp; Scenarios'!$C$11*'Sensitivity &amp; Scenarios'!$C$6*((1+$E761)^5-(1+$E761)^4))/(1+$C761)^('Sensitivity &amp; Scenarios'!$C$18+4)</f>
        <v>19282.497847744948</v>
      </c>
      <c r="I761" s="209">
        <f>('Sensitivity &amp; Scenarios'!$C$6*(1+$E761)^5*$G761+'Sensitivity &amp; Scenarios'!$C$11*'Sensitivity &amp; Scenarios'!$C$6*((1+$E761)^5-(1+$E761)^4))*(1+$D761)/($C761-$D761)/(1+$C761)^('Sensitivity &amp; Scenarios'!$C$18+4)</f>
        <v>59298.677658644272</v>
      </c>
      <c r="J761" s="209">
        <f>($H761+$I761-'Sensitivity &amp; Scenarios'!$C$15+'Sensitivity &amp; Scenarios'!$C$16)/'Sensitivity &amp; Scenarios'!$C$17</f>
        <v>1940.5987506061742</v>
      </c>
    </row>
    <row r="762" spans="2:10" x14ac:dyDescent="0.3">
      <c r="B762" s="127">
        <v>732</v>
      </c>
      <c r="C762" s="206">
        <f>$D$7+-0.676247*$E$7</f>
        <v>0.13078978943997799</v>
      </c>
      <c r="D762" s="206">
        <f>MIN($D$8+0.898555*$E$8,'Debt &amp; Cost of Capital'!$C$38)</f>
        <v>6.039133E-2</v>
      </c>
      <c r="E762" s="207">
        <f>$D$9+0.800719*$E$9</f>
        <v>0.19124266770254633</v>
      </c>
      <c r="F762" s="207">
        <f>$D$10+0.27682*$E$10</f>
        <v>0.1483218399999999</v>
      </c>
      <c r="G762" s="208">
        <f>$F762*(1-'Sensitivity &amp; Scenarios'!$C$12)+'Sensitivity &amp; Scenarios'!$C$9*'Sensitivity &amp; Scenarios'!$C$12-'Sensitivity &amp; Scenarios'!$C$10</f>
        <v>8.0184650960464635E-2</v>
      </c>
      <c r="H762" s="209">
        <f>('Sensitivity &amp; Scenarios'!$C$6*(1+$E762)^1*$G762+'Sensitivity &amp; Scenarios'!$C$11*'Sensitivity &amp; Scenarios'!$C$6*((1+$E762)^1-(1+$E762)^0))*'Sensitivity &amp; Scenarios'!$C$18/(1+$C762)^'Sensitivity &amp; Scenarios'!$C$18+('Sensitivity &amp; Scenarios'!$C$6*(1+$E762)^2*$G762+'Sensitivity &amp; Scenarios'!$C$11*'Sensitivity &amp; Scenarios'!$C$6*((1+$E762)^2-(1+$E762)^1))/(1+$C762)^('Sensitivity &amp; Scenarios'!$C$18+1)+('Sensitivity &amp; Scenarios'!$C$6*(1+$E762)^3*$G762+'Sensitivity &amp; Scenarios'!$C$11*'Sensitivity &amp; Scenarios'!$C$6*((1+$E762)^3-(1+$E762)^2))/(1+$C762)^('Sensitivity &amp; Scenarios'!$C$18+2)+('Sensitivity &amp; Scenarios'!$C$6*(1+$E762)^4*$G762+'Sensitivity &amp; Scenarios'!$C$11*'Sensitivity &amp; Scenarios'!$C$6*((1+$E762)^4-(1+$E762)^3))/(1+$C762)^('Sensitivity &amp; Scenarios'!$C$18+3)+('Sensitivity &amp; Scenarios'!$C$6*(1+$E762)^5*$G762+'Sensitivity &amp; Scenarios'!$C$11*'Sensitivity &amp; Scenarios'!$C$6*((1+$E762)^5-(1+$E762)^4))/(1+$C762)^('Sensitivity &amp; Scenarios'!$C$18+4)</f>
        <v>26489.602696185826</v>
      </c>
      <c r="I762" s="209">
        <f>('Sensitivity &amp; Scenarios'!$C$6*(1+$E762)^5*$G762+'Sensitivity &amp; Scenarios'!$C$11*'Sensitivity &amp; Scenarios'!$C$6*((1+$E762)^5-(1+$E762)^4))*(1+$D762)/($C762-$D762)/(1+$C762)^('Sensitivity &amp; Scenarios'!$C$18+4)</f>
        <v>94561.16525825896</v>
      </c>
      <c r="J762" s="209">
        <f>($H762+$I762-'Sensitivity &amp; Scenarios'!$C$15+'Sensitivity &amp; Scenarios'!$C$16)/'Sensitivity &amp; Scenarios'!$C$17</f>
        <v>2834.5317028455656</v>
      </c>
    </row>
    <row r="763" spans="2:10" x14ac:dyDescent="0.3">
      <c r="B763" s="127">
        <v>733</v>
      </c>
      <c r="C763" s="206">
        <f>$D$7+-1.350421*$E$7</f>
        <v>0.12404804943997798</v>
      </c>
      <c r="D763" s="206">
        <f>MIN($D$8+-0.311639*$E$8,'Debt &amp; Cost of Capital'!$C$38)</f>
        <v>5.3130166E-2</v>
      </c>
      <c r="E763" s="207">
        <f>$D$9+-0.746116*$E$9</f>
        <v>0.14483761770254633</v>
      </c>
      <c r="F763" s="207">
        <f>$D$10+0.869676*$E$10</f>
        <v>0.1554361119999999</v>
      </c>
      <c r="G763" s="208">
        <f>$F763*(1-'Sensitivity &amp; Scenarios'!$C$12)+'Sensitivity &amp; Scenarios'!$C$9*'Sensitivity &amp; Scenarios'!$C$12-'Sensitivity &amp; Scenarios'!$C$10</f>
        <v>8.5508260698064636E-2</v>
      </c>
      <c r="H763" s="209">
        <f>('Sensitivity &amp; Scenarios'!$C$6*(1+$E763)^1*$G763+'Sensitivity &amp; Scenarios'!$C$11*'Sensitivity &amp; Scenarios'!$C$6*((1+$E763)^1-(1+$E763)^0))*'Sensitivity &amp; Scenarios'!$C$18/(1+$C763)^'Sensitivity &amp; Scenarios'!$C$18+('Sensitivity &amp; Scenarios'!$C$6*(1+$E763)^2*$G763+'Sensitivity &amp; Scenarios'!$C$11*'Sensitivity &amp; Scenarios'!$C$6*((1+$E763)^2-(1+$E763)^1))/(1+$C763)^('Sensitivity &amp; Scenarios'!$C$18+1)+('Sensitivity &amp; Scenarios'!$C$6*(1+$E763)^3*$G763+'Sensitivity &amp; Scenarios'!$C$11*'Sensitivity &amp; Scenarios'!$C$6*((1+$E763)^3-(1+$E763)^2))/(1+$C763)^('Sensitivity &amp; Scenarios'!$C$18+2)+('Sensitivity &amp; Scenarios'!$C$6*(1+$E763)^4*$G763+'Sensitivity &amp; Scenarios'!$C$11*'Sensitivity &amp; Scenarios'!$C$6*((1+$E763)^4-(1+$E763)^3))/(1+$C763)^('Sensitivity &amp; Scenarios'!$C$18+3)+('Sensitivity &amp; Scenarios'!$C$6*(1+$E763)^5*$G763+'Sensitivity &amp; Scenarios'!$C$11*'Sensitivity &amp; Scenarios'!$C$6*((1+$E763)^5-(1+$E763)^4))/(1+$C763)^('Sensitivity &amp; Scenarios'!$C$18+4)</f>
        <v>24090.51174972341</v>
      </c>
      <c r="I763" s="209">
        <f>('Sensitivity &amp; Scenarios'!$C$6*(1+$E763)^5*$G763+'Sensitivity &amp; Scenarios'!$C$11*'Sensitivity &amp; Scenarios'!$C$6*((1+$E763)^5-(1+$E763)^4))*(1+$D763)/($C763-$D763)/(1+$C763)^('Sensitivity &amp; Scenarios'!$C$18+4)</f>
        <v>79844.655167795499</v>
      </c>
      <c r="J763" s="209">
        <f>($H763+$I763-'Sensitivity &amp; Scenarios'!$C$15+'Sensitivity &amp; Scenarios'!$C$16)/'Sensitivity &amp; Scenarios'!$C$17</f>
        <v>2474.26924487627</v>
      </c>
    </row>
    <row r="764" spans="2:10" x14ac:dyDescent="0.3">
      <c r="B764" s="127">
        <v>734</v>
      </c>
      <c r="C764" s="206">
        <f>$D$7+1.178185*$E$7</f>
        <v>0.14933410943997799</v>
      </c>
      <c r="D764" s="206">
        <f>MIN($D$8+1.056386*$E$8,'Debt &amp; Cost of Capital'!$C$38)</f>
        <v>6.1338316000000004E-2</v>
      </c>
      <c r="E764" s="207">
        <f>$D$9+-0.755219*$E$9</f>
        <v>0.14456452770254635</v>
      </c>
      <c r="F764" s="207">
        <f>$D$10+-2.739533*$E$10</f>
        <v>0.11212560399999991</v>
      </c>
      <c r="G764" s="208">
        <f>$F764*(1-'Sensitivity &amp; Scenarios'!$C$12)+'Sensitivity &amp; Scenarios'!$C$9*'Sensitivity &amp; Scenarios'!$C$12-'Sensitivity &amp; Scenarios'!$C$10</f>
        <v>5.3099007561664635E-2</v>
      </c>
      <c r="H764" s="209">
        <f>('Sensitivity &amp; Scenarios'!$C$6*(1+$E764)^1*$G764+'Sensitivity &amp; Scenarios'!$C$11*'Sensitivity &amp; Scenarios'!$C$6*((1+$E764)^1-(1+$E764)^0))*'Sensitivity &amp; Scenarios'!$C$18/(1+$C764)^'Sensitivity &amp; Scenarios'!$C$18+('Sensitivity &amp; Scenarios'!$C$6*(1+$E764)^2*$G764+'Sensitivity &amp; Scenarios'!$C$11*'Sensitivity &amp; Scenarios'!$C$6*((1+$E764)^2-(1+$E764)^1))/(1+$C764)^('Sensitivity &amp; Scenarios'!$C$18+1)+('Sensitivity &amp; Scenarios'!$C$6*(1+$E764)^3*$G764+'Sensitivity &amp; Scenarios'!$C$11*'Sensitivity &amp; Scenarios'!$C$6*((1+$E764)^3-(1+$E764)^2))/(1+$C764)^('Sensitivity &amp; Scenarios'!$C$18+2)+('Sensitivity &amp; Scenarios'!$C$6*(1+$E764)^4*$G764+'Sensitivity &amp; Scenarios'!$C$11*'Sensitivity &amp; Scenarios'!$C$6*((1+$E764)^4-(1+$E764)^3))/(1+$C764)^('Sensitivity &amp; Scenarios'!$C$18+3)+('Sensitivity &amp; Scenarios'!$C$6*(1+$E764)^5*$G764+'Sensitivity &amp; Scenarios'!$C$11*'Sensitivity &amp; Scenarios'!$C$6*((1+$E764)^5-(1+$E764)^4))/(1+$C764)^('Sensitivity &amp; Scenarios'!$C$18+4)</f>
        <v>15239.014760219105</v>
      </c>
      <c r="I764" s="209">
        <f>('Sensitivity &amp; Scenarios'!$C$6*(1+$E764)^5*$G764+'Sensitivity &amp; Scenarios'!$C$11*'Sensitivity &amp; Scenarios'!$C$6*((1+$E764)^5-(1+$E764)^4))*(1+$D764)/($C764-$D764)/(1+$C764)^('Sensitivity &amp; Scenarios'!$C$18+4)</f>
        <v>39370.003836503398</v>
      </c>
      <c r="J764" s="209">
        <f>($H764+$I764-'Sensitivity &amp; Scenarios'!$C$15+'Sensitivity &amp; Scenarios'!$C$16)/'Sensitivity &amp; Scenarios'!$C$17</f>
        <v>1436.0141816816047</v>
      </c>
    </row>
    <row r="765" spans="2:10" x14ac:dyDescent="0.3">
      <c r="B765" s="127">
        <v>735</v>
      </c>
      <c r="C765" s="206">
        <f>$D$7+-1.766962*$E$7</f>
        <v>0.11988263943997798</v>
      </c>
      <c r="D765" s="206">
        <f>MIN($D$8+1.421627*$E$8,'Debt &amp; Cost of Capital'!$C$38)</f>
        <v>6.3529762000000004E-2</v>
      </c>
      <c r="E765" s="207">
        <f>$D$9+-0.401255*$E$9</f>
        <v>0.15518344770254633</v>
      </c>
      <c r="F765" s="207">
        <f>$D$10+-0.750725*$E$10</f>
        <v>0.1359912999999999</v>
      </c>
      <c r="G765" s="208">
        <f>$F765*(1-'Sensitivity &amp; Scenarios'!$C$12)+'Sensitivity &amp; Scenarios'!$C$9*'Sensitivity &amp; Scenarios'!$C$12-'Sensitivity &amp; Scenarios'!$C$10</f>
        <v>7.0957707878464629E-2</v>
      </c>
      <c r="H765" s="209">
        <f>('Sensitivity &amp; Scenarios'!$C$6*(1+$E765)^1*$G765+'Sensitivity &amp; Scenarios'!$C$11*'Sensitivity &amp; Scenarios'!$C$6*((1+$E765)^1-(1+$E765)^0))*'Sensitivity &amp; Scenarios'!$C$18/(1+$C765)^'Sensitivity &amp; Scenarios'!$C$18+('Sensitivity &amp; Scenarios'!$C$6*(1+$E765)^2*$G765+'Sensitivity &amp; Scenarios'!$C$11*'Sensitivity &amp; Scenarios'!$C$6*((1+$E765)^2-(1+$E765)^1))/(1+$C765)^('Sensitivity &amp; Scenarios'!$C$18+1)+('Sensitivity &amp; Scenarios'!$C$6*(1+$E765)^3*$G765+'Sensitivity &amp; Scenarios'!$C$11*'Sensitivity &amp; Scenarios'!$C$6*((1+$E765)^3-(1+$E765)^2))/(1+$C765)^('Sensitivity &amp; Scenarios'!$C$18+2)+('Sensitivity &amp; Scenarios'!$C$6*(1+$E765)^4*$G765+'Sensitivity &amp; Scenarios'!$C$11*'Sensitivity &amp; Scenarios'!$C$6*((1+$E765)^4-(1+$E765)^3))/(1+$C765)^('Sensitivity &amp; Scenarios'!$C$18+3)+('Sensitivity &amp; Scenarios'!$C$6*(1+$E765)^5*$G765+'Sensitivity &amp; Scenarios'!$C$11*'Sensitivity &amp; Scenarios'!$C$6*((1+$E765)^5-(1+$E765)^4))/(1+$C765)^('Sensitivity &amp; Scenarios'!$C$18+4)</f>
        <v>21607.093669847585</v>
      </c>
      <c r="I765" s="209">
        <f>('Sensitivity &amp; Scenarios'!$C$6*(1+$E765)^5*$G765+'Sensitivity &amp; Scenarios'!$C$11*'Sensitivity &amp; Scenarios'!$C$6*((1+$E765)^5-(1+$E765)^4))*(1+$D765)/($C765-$D765)/(1+$C765)^('Sensitivity &amp; Scenarios'!$C$18+4)</f>
        <v>93115.198383994561</v>
      </c>
      <c r="J765" s="209">
        <f>($H765+$I765-'Sensitivity &amp; Scenarios'!$C$15+'Sensitivity &amp; Scenarios'!$C$16)/'Sensitivity &amp; Scenarios'!$C$17</f>
        <v>2701.3250291078575</v>
      </c>
    </row>
    <row r="766" spans="2:10" x14ac:dyDescent="0.3">
      <c r="B766" s="127">
        <v>736</v>
      </c>
      <c r="C766" s="206">
        <f>$D$7+1.64266*$E$7</f>
        <v>0.15397885943997797</v>
      </c>
      <c r="D766" s="206">
        <f>MIN($D$8+1.26516*$E$8,'Debt &amp; Cost of Capital'!$C$38)</f>
        <v>6.2590960000000001E-2</v>
      </c>
      <c r="E766" s="207">
        <f>$D$9+0.024449*$E$9</f>
        <v>0.16795456770254635</v>
      </c>
      <c r="F766" s="207">
        <f>$D$10+-0.293403*$E$10</f>
        <v>0.14147916399999991</v>
      </c>
      <c r="G766" s="208">
        <f>$F766*(1-'Sensitivity &amp; Scenarios'!$C$12)+'Sensitivity &amp; Scenarios'!$C$9*'Sensitivity &amp; Scenarios'!$C$12-'Sensitivity &amp; Scenarios'!$C$10</f>
        <v>7.5064276509664643E-2</v>
      </c>
      <c r="H766" s="209">
        <f>('Sensitivity &amp; Scenarios'!$C$6*(1+$E766)^1*$G766+'Sensitivity &amp; Scenarios'!$C$11*'Sensitivity &amp; Scenarios'!$C$6*((1+$E766)^1-(1+$E766)^0))*'Sensitivity &amp; Scenarios'!$C$18/(1+$C766)^'Sensitivity &amp; Scenarios'!$C$18+('Sensitivity &amp; Scenarios'!$C$6*(1+$E766)^2*$G766+'Sensitivity &amp; Scenarios'!$C$11*'Sensitivity &amp; Scenarios'!$C$6*((1+$E766)^2-(1+$E766)^1))/(1+$C766)^('Sensitivity &amp; Scenarios'!$C$18+1)+('Sensitivity &amp; Scenarios'!$C$6*(1+$E766)^3*$G766+'Sensitivity &amp; Scenarios'!$C$11*'Sensitivity &amp; Scenarios'!$C$6*((1+$E766)^3-(1+$E766)^2))/(1+$C766)^('Sensitivity &amp; Scenarios'!$C$18+2)+('Sensitivity &amp; Scenarios'!$C$6*(1+$E766)^4*$G766+'Sensitivity &amp; Scenarios'!$C$11*'Sensitivity &amp; Scenarios'!$C$6*((1+$E766)^4-(1+$E766)^3))/(1+$C766)^('Sensitivity &amp; Scenarios'!$C$18+3)+('Sensitivity &amp; Scenarios'!$C$6*(1+$E766)^5*$G766+'Sensitivity &amp; Scenarios'!$C$11*'Sensitivity &amp; Scenarios'!$C$6*((1+$E766)^5-(1+$E766)^4))/(1+$C766)^('Sensitivity &amp; Scenarios'!$C$18+4)</f>
        <v>21793.201634115128</v>
      </c>
      <c r="I766" s="209">
        <f>('Sensitivity &amp; Scenarios'!$C$6*(1+$E766)^5*$G766+'Sensitivity &amp; Scenarios'!$C$11*'Sensitivity &amp; Scenarios'!$C$6*((1+$E766)^5-(1+$E766)^4))*(1+$D766)/($C766-$D766)/(1+$C766)^('Sensitivity &amp; Scenarios'!$C$18+4)</f>
        <v>55913.695952486836</v>
      </c>
      <c r="J766" s="209">
        <f>($H766+$I766-'Sensitivity &amp; Scenarios'!$C$15+'Sensitivity &amp; Scenarios'!$C$16)/'Sensitivity &amp; Scenarios'!$C$17</f>
        <v>1922.1962702228498</v>
      </c>
    </row>
    <row r="767" spans="2:10" x14ac:dyDescent="0.3">
      <c r="B767" s="127">
        <v>737</v>
      </c>
      <c r="C767" s="206">
        <f>$D$7+-0.132101*$E$7</f>
        <v>0.13623124943997797</v>
      </c>
      <c r="D767" s="206">
        <f>MIN($D$8+0.227163*$E$8,'Debt &amp; Cost of Capital'!$C$38)</f>
        <v>5.6362978000000001E-2</v>
      </c>
      <c r="E767" s="207">
        <f>$D$9+1.600047*$E$9</f>
        <v>0.21522250770254633</v>
      </c>
      <c r="F767" s="207">
        <f>$D$10+0.422467*$E$10</f>
        <v>0.15006960399999991</v>
      </c>
      <c r="G767" s="208">
        <f>$F767*(1-'Sensitivity &amp; Scenarios'!$C$12)+'Sensitivity &amp; Scenarios'!$C$9*'Sensitivity &amp; Scenarios'!$C$12-'Sensitivity &amp; Scenarios'!$C$10</f>
        <v>8.1492502761664642E-2</v>
      </c>
      <c r="H767" s="209">
        <f>('Sensitivity &amp; Scenarios'!$C$6*(1+$E767)^1*$G767+'Sensitivity &amp; Scenarios'!$C$11*'Sensitivity &amp; Scenarios'!$C$6*((1+$E767)^1-(1+$E767)^0))*'Sensitivity &amp; Scenarios'!$C$18/(1+$C767)^'Sensitivity &amp; Scenarios'!$C$18+('Sensitivity &amp; Scenarios'!$C$6*(1+$E767)^2*$G767+'Sensitivity &amp; Scenarios'!$C$11*'Sensitivity &amp; Scenarios'!$C$6*((1+$E767)^2-(1+$E767)^1))/(1+$C767)^('Sensitivity &amp; Scenarios'!$C$18+1)+('Sensitivity &amp; Scenarios'!$C$6*(1+$E767)^3*$G767+'Sensitivity &amp; Scenarios'!$C$11*'Sensitivity &amp; Scenarios'!$C$6*((1+$E767)^3-(1+$E767)^2))/(1+$C767)^('Sensitivity &amp; Scenarios'!$C$18+2)+('Sensitivity &amp; Scenarios'!$C$6*(1+$E767)^4*$G767+'Sensitivity &amp; Scenarios'!$C$11*'Sensitivity &amp; Scenarios'!$C$6*((1+$E767)^4-(1+$E767)^3))/(1+$C767)^('Sensitivity &amp; Scenarios'!$C$18+3)+('Sensitivity &amp; Scenarios'!$C$6*(1+$E767)^5*$G767+'Sensitivity &amp; Scenarios'!$C$11*'Sensitivity &amp; Scenarios'!$C$6*((1+$E767)^5-(1+$E767)^4))/(1+$C767)^('Sensitivity &amp; Scenarios'!$C$18+4)</f>
        <v>28772.518773159558</v>
      </c>
      <c r="I767" s="209">
        <f>('Sensitivity &amp; Scenarios'!$C$6*(1+$E767)^5*$G767+'Sensitivity &amp; Scenarios'!$C$11*'Sensitivity &amp; Scenarios'!$C$6*((1+$E767)^5-(1+$E767)^4))*(1+$D767)/($C767-$D767)/(1+$C767)^('Sensitivity &amp; Scenarios'!$C$18+4)</f>
        <v>92585.502122171049</v>
      </c>
      <c r="J767" s="209">
        <f>($H767+$I767-'Sensitivity &amp; Scenarios'!$C$15+'Sensitivity &amp; Scenarios'!$C$16)/'Sensitivity &amp; Scenarios'!$C$17</f>
        <v>2840.9990012748181</v>
      </c>
    </row>
    <row r="768" spans="2:10" x14ac:dyDescent="0.3">
      <c r="B768" s="127">
        <v>738</v>
      </c>
      <c r="C768" s="206">
        <f>$D$7+0.726029*$E$7</f>
        <v>0.14481254943997798</v>
      </c>
      <c r="D768" s="206">
        <f>MIN($D$8+1.16927*$E$8,'Debt &amp; Cost of Capital'!$C$38)</f>
        <v>6.201562E-2</v>
      </c>
      <c r="E768" s="207">
        <f>$D$9+-1.169676*$E$9</f>
        <v>0.13213081770254634</v>
      </c>
      <c r="F768" s="207">
        <f>$D$10+0.754862*$E$10</f>
        <v>0.1540583439999999</v>
      </c>
      <c r="G768" s="208">
        <f>$F768*(1-'Sensitivity &amp; Scenarios'!$C$12)+'Sensitivity &amp; Scenarios'!$C$9*'Sensitivity &amp; Scenarios'!$C$12-'Sensitivity &amp; Scenarios'!$C$10</f>
        <v>8.4477276903664633E-2</v>
      </c>
      <c r="H768" s="209">
        <f>('Sensitivity &amp; Scenarios'!$C$6*(1+$E768)^1*$G768+'Sensitivity &amp; Scenarios'!$C$11*'Sensitivity &amp; Scenarios'!$C$6*((1+$E768)^1-(1+$E768)^0))*'Sensitivity &amp; Scenarios'!$C$18/(1+$C768)^'Sensitivity &amp; Scenarios'!$C$18+('Sensitivity &amp; Scenarios'!$C$6*(1+$E768)^2*$G768+'Sensitivity &amp; Scenarios'!$C$11*'Sensitivity &amp; Scenarios'!$C$6*((1+$E768)^2-(1+$E768)^1))/(1+$C768)^('Sensitivity &amp; Scenarios'!$C$18+1)+('Sensitivity &amp; Scenarios'!$C$6*(1+$E768)^3*$G768+'Sensitivity &amp; Scenarios'!$C$11*'Sensitivity &amp; Scenarios'!$C$6*((1+$E768)^3-(1+$E768)^2))/(1+$C768)^('Sensitivity &amp; Scenarios'!$C$18+2)+('Sensitivity &amp; Scenarios'!$C$6*(1+$E768)^4*$G768+'Sensitivity &amp; Scenarios'!$C$11*'Sensitivity &amp; Scenarios'!$C$6*((1+$E768)^4-(1+$E768)^3))/(1+$C768)^('Sensitivity &amp; Scenarios'!$C$18+3)+('Sensitivity &amp; Scenarios'!$C$6*(1+$E768)^5*$G768+'Sensitivity &amp; Scenarios'!$C$11*'Sensitivity &amp; Scenarios'!$C$6*((1+$E768)^5-(1+$E768)^4))/(1+$C768)^('Sensitivity &amp; Scenarios'!$C$18+4)</f>
        <v>21624.667500182564</v>
      </c>
      <c r="I768" s="209">
        <f>('Sensitivity &amp; Scenarios'!$C$6*(1+$E768)^5*$G768+'Sensitivity &amp; Scenarios'!$C$11*'Sensitivity &amp; Scenarios'!$C$6*((1+$E768)^5-(1+$E768)^4))*(1+$D768)/($C768-$D768)/(1+$C768)^('Sensitivity &amp; Scenarios'!$C$18+4)</f>
        <v>58648.591268533077</v>
      </c>
      <c r="J768" s="209">
        <f>($H768+$I768-'Sensitivity &amp; Scenarios'!$C$15+'Sensitivity &amp; Scenarios'!$C$16)/'Sensitivity &amp; Scenarios'!$C$17</f>
        <v>1976.2150327255845</v>
      </c>
    </row>
    <row r="769" spans="2:10" x14ac:dyDescent="0.3">
      <c r="B769" s="127">
        <v>739</v>
      </c>
      <c r="C769" s="206">
        <f>$D$7+-0.294569*$E$7</f>
        <v>0.13460656943997798</v>
      </c>
      <c r="D769" s="206">
        <f>MIN($D$8+-2.516095*$E$8,'Debt &amp; Cost of Capital'!$C$38)</f>
        <v>3.9903430000000004E-2</v>
      </c>
      <c r="E769" s="207">
        <f>$D$9+-2.12817*$E$9</f>
        <v>0.10337599770254635</v>
      </c>
      <c r="F769" s="207">
        <f>$D$10+-1.018118*$E$10</f>
        <v>0.1327825839999999</v>
      </c>
      <c r="G769" s="208">
        <f>$F769*(1-'Sensitivity &amp; Scenarios'!$C$12)+'Sensitivity &amp; Scenarios'!$C$9*'Sensitivity &amp; Scenarios'!$C$12-'Sensitivity &amp; Scenarios'!$C$10</f>
        <v>6.8556625695664633E-2</v>
      </c>
      <c r="H769" s="209">
        <f>('Sensitivity &amp; Scenarios'!$C$6*(1+$E769)^1*$G769+'Sensitivity &amp; Scenarios'!$C$11*'Sensitivity &amp; Scenarios'!$C$6*((1+$E769)^1-(1+$E769)^0))*'Sensitivity &amp; Scenarios'!$C$18/(1+$C769)^'Sensitivity &amp; Scenarios'!$C$18+('Sensitivity &amp; Scenarios'!$C$6*(1+$E769)^2*$G769+'Sensitivity &amp; Scenarios'!$C$11*'Sensitivity &amp; Scenarios'!$C$6*((1+$E769)^2-(1+$E769)^1))/(1+$C769)^('Sensitivity &amp; Scenarios'!$C$18+1)+('Sensitivity &amp; Scenarios'!$C$6*(1+$E769)^3*$G769+'Sensitivity &amp; Scenarios'!$C$11*'Sensitivity &amp; Scenarios'!$C$6*((1+$E769)^3-(1+$E769)^2))/(1+$C769)^('Sensitivity &amp; Scenarios'!$C$18+2)+('Sensitivity &amp; Scenarios'!$C$6*(1+$E769)^4*$G769+'Sensitivity &amp; Scenarios'!$C$11*'Sensitivity &amp; Scenarios'!$C$6*((1+$E769)^4-(1+$E769)^3))/(1+$C769)^('Sensitivity &amp; Scenarios'!$C$18+3)+('Sensitivity &amp; Scenarios'!$C$6*(1+$E769)^5*$G769+'Sensitivity &amp; Scenarios'!$C$11*'Sensitivity &amp; Scenarios'!$C$6*((1+$E769)^5-(1+$E769)^4))/(1+$C769)^('Sensitivity &amp; Scenarios'!$C$18+4)</f>
        <v>16575.383324667389</v>
      </c>
      <c r="I769" s="209">
        <f>('Sensitivity &amp; Scenarios'!$C$6*(1+$E769)^5*$G769+'Sensitivity &amp; Scenarios'!$C$11*'Sensitivity &amp; Scenarios'!$C$6*((1+$E769)^5-(1+$E769)^4))*(1+$D769)/($C769-$D769)/(1+$C769)^('Sensitivity &amp; Scenarios'!$C$18+4)</f>
        <v>37291.639751784474</v>
      </c>
      <c r="J769" s="209">
        <f>($H769+$I769-'Sensitivity &amp; Scenarios'!$C$15+'Sensitivity &amp; Scenarios'!$C$16)/'Sensitivity &amp; Scenarios'!$C$17</f>
        <v>1420.39608393802</v>
      </c>
    </row>
    <row r="770" spans="2:10" x14ac:dyDescent="0.3">
      <c r="B770" s="127">
        <v>740</v>
      </c>
      <c r="C770" s="206">
        <f>$D$7+0.531223*$E$7</f>
        <v>0.14286448943997798</v>
      </c>
      <c r="D770" s="206">
        <f>MIN($D$8+0.1138*$E$8,'Debt &amp; Cost of Capital'!$C$38)</f>
        <v>5.5682799999999998E-2</v>
      </c>
      <c r="E770" s="207">
        <f>$D$9+0.184367*$E$9</f>
        <v>0.17275210770254634</v>
      </c>
      <c r="F770" s="207">
        <f>$D$10+1.950943*$E$10</f>
        <v>0.16841131599999992</v>
      </c>
      <c r="G770" s="208">
        <f>$F770*(1-'Sensitivity &amp; Scenarios'!$C$12)+'Sensitivity &amp; Scenarios'!$C$9*'Sensitivity &amp; Scenarios'!$C$12-'Sensitivity &amp; Scenarios'!$C$10</f>
        <v>9.5217605851264653E-2</v>
      </c>
      <c r="H770" s="209">
        <f>('Sensitivity &amp; Scenarios'!$C$6*(1+$E770)^1*$G770+'Sensitivity &amp; Scenarios'!$C$11*'Sensitivity &amp; Scenarios'!$C$6*((1+$E770)^1-(1+$E770)^0))*'Sensitivity &amp; Scenarios'!$C$18/(1+$C770)^'Sensitivity &amp; Scenarios'!$C$18+('Sensitivity &amp; Scenarios'!$C$6*(1+$E770)^2*$G770+'Sensitivity &amp; Scenarios'!$C$11*'Sensitivity &amp; Scenarios'!$C$6*((1+$E770)^2-(1+$E770)^1))/(1+$C770)^('Sensitivity &amp; Scenarios'!$C$18+1)+('Sensitivity &amp; Scenarios'!$C$6*(1+$E770)^3*$G770+'Sensitivity &amp; Scenarios'!$C$11*'Sensitivity &amp; Scenarios'!$C$6*((1+$E770)^3-(1+$E770)^2))/(1+$C770)^('Sensitivity &amp; Scenarios'!$C$18+2)+('Sensitivity &amp; Scenarios'!$C$6*(1+$E770)^4*$G770+'Sensitivity &amp; Scenarios'!$C$11*'Sensitivity &amp; Scenarios'!$C$6*((1+$E770)^4-(1+$E770)^3))/(1+$C770)^('Sensitivity &amp; Scenarios'!$C$18+3)+('Sensitivity &amp; Scenarios'!$C$6*(1+$E770)^5*$G770+'Sensitivity &amp; Scenarios'!$C$11*'Sensitivity &amp; Scenarios'!$C$6*((1+$E770)^5-(1+$E770)^4))/(1+$C770)^('Sensitivity &amp; Scenarios'!$C$18+4)</f>
        <v>27820.762122976335</v>
      </c>
      <c r="I770" s="209">
        <f>('Sensitivity &amp; Scenarios'!$C$6*(1+$E770)^5*$G770+'Sensitivity &amp; Scenarios'!$C$11*'Sensitivity &amp; Scenarios'!$C$6*((1+$E770)^5-(1+$E770)^4))*(1+$D770)/($C770-$D770)/(1+$C770)^('Sensitivity &amp; Scenarios'!$C$18+4)</f>
        <v>76209.657751544786</v>
      </c>
      <c r="J770" s="209">
        <f>($H770+$I770-'Sensitivity &amp; Scenarios'!$C$15+'Sensitivity &amp; Scenarios'!$C$16)/'Sensitivity &amp; Scenarios'!$C$17</f>
        <v>2476.2742030629224</v>
      </c>
    </row>
    <row r="771" spans="2:10" x14ac:dyDescent="0.3">
      <c r="B771" s="127">
        <v>741</v>
      </c>
      <c r="C771" s="206">
        <f>$D$7+-1.26909*$E$7</f>
        <v>0.12486135943997798</v>
      </c>
      <c r="D771" s="206">
        <f>MIN($D$8+-0.027433*$E$8,'Debt &amp; Cost of Capital'!$C$38)</f>
        <v>5.4835401999999998E-2</v>
      </c>
      <c r="E771" s="207">
        <f>$D$9+0.304436*$E$9</f>
        <v>0.17635417770254633</v>
      </c>
      <c r="F771" s="207">
        <f>$D$10+-0.736273*$E$10</f>
        <v>0.1361647239999999</v>
      </c>
      <c r="G771" s="208">
        <f>$F771*(1-'Sensitivity &amp; Scenarios'!$C$12)+'Sensitivity &amp; Scenarios'!$C$9*'Sensitivity &amp; Scenarios'!$C$12-'Sensitivity &amp; Scenarios'!$C$10</f>
        <v>7.1087481057664631E-2</v>
      </c>
      <c r="H771" s="209">
        <f>('Sensitivity &amp; Scenarios'!$C$6*(1+$E771)^1*$G771+'Sensitivity &amp; Scenarios'!$C$11*'Sensitivity &amp; Scenarios'!$C$6*((1+$E771)^1-(1+$E771)^0))*'Sensitivity &amp; Scenarios'!$C$18/(1+$C771)^'Sensitivity &amp; Scenarios'!$C$18+('Sensitivity &amp; Scenarios'!$C$6*(1+$E771)^2*$G771+'Sensitivity &amp; Scenarios'!$C$11*'Sensitivity &amp; Scenarios'!$C$6*((1+$E771)^2-(1+$E771)^1))/(1+$C771)^('Sensitivity &amp; Scenarios'!$C$18+1)+('Sensitivity &amp; Scenarios'!$C$6*(1+$E771)^3*$G771+'Sensitivity &amp; Scenarios'!$C$11*'Sensitivity &amp; Scenarios'!$C$6*((1+$E771)^3-(1+$E771)^2))/(1+$C771)^('Sensitivity &amp; Scenarios'!$C$18+2)+('Sensitivity &amp; Scenarios'!$C$6*(1+$E771)^4*$G771+'Sensitivity &amp; Scenarios'!$C$11*'Sensitivity &amp; Scenarios'!$C$6*((1+$E771)^4-(1+$E771)^3))/(1+$C771)^('Sensitivity &amp; Scenarios'!$C$18+3)+('Sensitivity &amp; Scenarios'!$C$6*(1+$E771)^5*$G771+'Sensitivity &amp; Scenarios'!$C$11*'Sensitivity &amp; Scenarios'!$C$6*((1+$E771)^5-(1+$E771)^4))/(1+$C771)^('Sensitivity &amp; Scenarios'!$C$18+4)</f>
        <v>23108.868534264679</v>
      </c>
      <c r="I771" s="209">
        <f>('Sensitivity &amp; Scenarios'!$C$6*(1+$E771)^5*$G771+'Sensitivity &amp; Scenarios'!$C$11*'Sensitivity &amp; Scenarios'!$C$6*((1+$E771)^5-(1+$E771)^4))*(1+$D771)/($C771-$D771)/(1+$C771)^('Sensitivity &amp; Scenarios'!$C$18+4)</f>
        <v>81444.645198243452</v>
      </c>
      <c r="J771" s="209">
        <f>($H771+$I771-'Sensitivity &amp; Scenarios'!$C$15+'Sensitivity &amp; Scenarios'!$C$16)/'Sensitivity &amp; Scenarios'!$C$17</f>
        <v>2487.2846886789675</v>
      </c>
    </row>
    <row r="772" spans="2:10" x14ac:dyDescent="0.3">
      <c r="B772" s="127">
        <v>742</v>
      </c>
      <c r="C772" s="206">
        <f>$D$7+0.028327*$E$7</f>
        <v>0.13783552943997798</v>
      </c>
      <c r="D772" s="206">
        <f>MIN($D$8+-1.599949*$E$8,'Debt &amp; Cost of Capital'!$C$38)</f>
        <v>4.5400306000000001E-2</v>
      </c>
      <c r="E772" s="207">
        <f>$D$9+1.409906*$E$9</f>
        <v>0.20951827770254633</v>
      </c>
      <c r="F772" s="207">
        <f>$D$10+-0.681615*$E$10</f>
        <v>0.13682061999999989</v>
      </c>
      <c r="G772" s="208">
        <f>$F772*(1-'Sensitivity &amp; Scenarios'!$C$12)+'Sensitivity &amp; Scenarios'!$C$9*'Sensitivity &amp; Scenarios'!$C$12-'Sensitivity &amp; Scenarios'!$C$10</f>
        <v>7.1578288034464629E-2</v>
      </c>
      <c r="H772" s="209">
        <f>('Sensitivity &amp; Scenarios'!$C$6*(1+$E772)^1*$G772+'Sensitivity &amp; Scenarios'!$C$11*'Sensitivity &amp; Scenarios'!$C$6*((1+$E772)^1-(1+$E772)^0))*'Sensitivity &amp; Scenarios'!$C$18/(1+$C772)^'Sensitivity &amp; Scenarios'!$C$18+('Sensitivity &amp; Scenarios'!$C$6*(1+$E772)^2*$G772+'Sensitivity &amp; Scenarios'!$C$11*'Sensitivity &amp; Scenarios'!$C$6*((1+$E772)^2-(1+$E772)^1))/(1+$C772)^('Sensitivity &amp; Scenarios'!$C$18+1)+('Sensitivity &amp; Scenarios'!$C$6*(1+$E772)^3*$G772+'Sensitivity &amp; Scenarios'!$C$11*'Sensitivity &amp; Scenarios'!$C$6*((1+$E772)^3-(1+$E772)^2))/(1+$C772)^('Sensitivity &amp; Scenarios'!$C$18+2)+('Sensitivity &amp; Scenarios'!$C$6*(1+$E772)^4*$G772+'Sensitivity &amp; Scenarios'!$C$11*'Sensitivity &amp; Scenarios'!$C$6*((1+$E772)^4-(1+$E772)^3))/(1+$C772)^('Sensitivity &amp; Scenarios'!$C$18+3)+('Sensitivity &amp; Scenarios'!$C$6*(1+$E772)^5*$G772+'Sensitivity &amp; Scenarios'!$C$11*'Sensitivity &amp; Scenarios'!$C$6*((1+$E772)^5-(1+$E772)^4))/(1+$C772)^('Sensitivity &amp; Scenarios'!$C$18+4)</f>
        <v>25326.89992503871</v>
      </c>
      <c r="I772" s="209">
        <f>('Sensitivity &amp; Scenarios'!$C$6*(1+$E772)^5*$G772+'Sensitivity &amp; Scenarios'!$C$11*'Sensitivity &amp; Scenarios'!$C$6*((1+$E772)^5-(1+$E772)^4))*(1+$D772)/($C772-$D772)/(1+$C772)^('Sensitivity &amp; Scenarios'!$C$18+4)</f>
        <v>68955.648960640683</v>
      </c>
      <c r="J772" s="209">
        <f>($H772+$I772-'Sensitivity &amp; Scenarios'!$C$15+'Sensitivity &amp; Scenarios'!$C$16)/'Sensitivity &amp; Scenarios'!$C$17</f>
        <v>2271.0934469310619</v>
      </c>
    </row>
    <row r="773" spans="2:10" x14ac:dyDescent="0.3">
      <c r="B773" s="127">
        <v>743</v>
      </c>
      <c r="C773" s="206">
        <f>$D$7+2.0314*$E$7</f>
        <v>0.15786625943997798</v>
      </c>
      <c r="D773" s="206">
        <f>MIN($D$8+-0.032474*$E$8,'Debt &amp; Cost of Capital'!$C$38)</f>
        <v>5.4805156000000001E-2</v>
      </c>
      <c r="E773" s="207">
        <f>$D$9+1.028054*$E$9</f>
        <v>0.19806271770254635</v>
      </c>
      <c r="F773" s="207">
        <f>$D$10+-0.053303*$E$10</f>
        <v>0.14436036399999991</v>
      </c>
      <c r="G773" s="208">
        <f>$F773*(1-'Sensitivity &amp; Scenarios'!$C$12)+'Sensitivity &amp; Scenarios'!$C$9*'Sensitivity &amp; Scenarios'!$C$12-'Sensitivity &amp; Scenarios'!$C$10</f>
        <v>7.722027846966463E-2</v>
      </c>
      <c r="H773" s="209">
        <f>('Sensitivity &amp; Scenarios'!$C$6*(1+$E773)^1*$G773+'Sensitivity &amp; Scenarios'!$C$11*'Sensitivity &amp; Scenarios'!$C$6*((1+$E773)^1-(1+$E773)^0))*'Sensitivity &amp; Scenarios'!$C$18/(1+$C773)^'Sensitivity &amp; Scenarios'!$C$18+('Sensitivity &amp; Scenarios'!$C$6*(1+$E773)^2*$G773+'Sensitivity &amp; Scenarios'!$C$11*'Sensitivity &amp; Scenarios'!$C$6*((1+$E773)^2-(1+$E773)^1))/(1+$C773)^('Sensitivity &amp; Scenarios'!$C$18+1)+('Sensitivity &amp; Scenarios'!$C$6*(1+$E773)^3*$G773+'Sensitivity &amp; Scenarios'!$C$11*'Sensitivity &amp; Scenarios'!$C$6*((1+$E773)^3-(1+$E773)^2))/(1+$C773)^('Sensitivity &amp; Scenarios'!$C$18+2)+('Sensitivity &amp; Scenarios'!$C$6*(1+$E773)^4*$G773+'Sensitivity &amp; Scenarios'!$C$11*'Sensitivity &amp; Scenarios'!$C$6*((1+$E773)^4-(1+$E773)^3))/(1+$C773)^('Sensitivity &amp; Scenarios'!$C$18+3)+('Sensitivity &amp; Scenarios'!$C$6*(1+$E773)^5*$G773+'Sensitivity &amp; Scenarios'!$C$11*'Sensitivity &amp; Scenarios'!$C$6*((1+$E773)^5-(1+$E773)^4))/(1+$C773)^('Sensitivity &amp; Scenarios'!$C$18+4)</f>
        <v>24583.897036070695</v>
      </c>
      <c r="I773" s="209">
        <f>('Sensitivity &amp; Scenarios'!$C$6*(1+$E773)^5*$G773+'Sensitivity &amp; Scenarios'!$C$11*'Sensitivity &amp; Scenarios'!$C$6*((1+$E773)^5-(1+$E773)^4))*(1+$D773)/($C773-$D773)/(1+$C773)^('Sensitivity &amp; Scenarios'!$C$18+4)</f>
        <v>57771.308644888071</v>
      </c>
      <c r="J773" s="209">
        <f>($H773+$I773-'Sensitivity &amp; Scenarios'!$C$15+'Sensitivity &amp; Scenarios'!$C$16)/'Sensitivity &amp; Scenarios'!$C$17</f>
        <v>2020.03746761105</v>
      </c>
    </row>
    <row r="774" spans="2:10" x14ac:dyDescent="0.3">
      <c r="B774" s="127">
        <v>744</v>
      </c>
      <c r="C774" s="206">
        <f>$D$7+-0.030744*$E$7</f>
        <v>0.13724481943997799</v>
      </c>
      <c r="D774" s="206">
        <f>MIN($D$8+-0.584029*$E$8,'Debt &amp; Cost of Capital'!$C$38)</f>
        <v>5.1495826000000001E-2</v>
      </c>
      <c r="E774" s="207">
        <f>$D$9+0.119124*$E$9</f>
        <v>0.17079481770254634</v>
      </c>
      <c r="F774" s="207">
        <f>$D$10+0.317999*$E$10</f>
        <v>0.1488159879999999</v>
      </c>
      <c r="G774" s="208">
        <f>$F774*(1-'Sensitivity &amp; Scenarios'!$C$12)+'Sensitivity &amp; Scenarios'!$C$9*'Sensitivity &amp; Scenarios'!$C$12-'Sensitivity &amp; Scenarios'!$C$10</f>
        <v>8.0554421908864624E-2</v>
      </c>
      <c r="H774" s="209">
        <f>('Sensitivity &amp; Scenarios'!$C$6*(1+$E774)^1*$G774+'Sensitivity &amp; Scenarios'!$C$11*'Sensitivity &amp; Scenarios'!$C$6*((1+$E774)^1-(1+$E774)^0))*'Sensitivity &amp; Scenarios'!$C$18/(1+$C774)^'Sensitivity &amp; Scenarios'!$C$18+('Sensitivity &amp; Scenarios'!$C$6*(1+$E774)^2*$G774+'Sensitivity &amp; Scenarios'!$C$11*'Sensitivity &amp; Scenarios'!$C$6*((1+$E774)^2-(1+$E774)^1))/(1+$C774)^('Sensitivity &amp; Scenarios'!$C$18+1)+('Sensitivity &amp; Scenarios'!$C$6*(1+$E774)^3*$G774+'Sensitivity &amp; Scenarios'!$C$11*'Sensitivity &amp; Scenarios'!$C$6*((1+$E774)^3-(1+$E774)^2))/(1+$C774)^('Sensitivity &amp; Scenarios'!$C$18+2)+('Sensitivity &amp; Scenarios'!$C$6*(1+$E774)^4*$G774+'Sensitivity &amp; Scenarios'!$C$11*'Sensitivity &amp; Scenarios'!$C$6*((1+$E774)^4-(1+$E774)^3))/(1+$C774)^('Sensitivity &amp; Scenarios'!$C$18+3)+('Sensitivity &amp; Scenarios'!$C$6*(1+$E774)^5*$G774+'Sensitivity &amp; Scenarios'!$C$11*'Sensitivity &amp; Scenarios'!$C$6*((1+$E774)^5-(1+$E774)^4))/(1+$C774)^('Sensitivity &amp; Scenarios'!$C$18+4)</f>
        <v>24329.80039141624</v>
      </c>
      <c r="I774" s="209">
        <f>('Sensitivity &amp; Scenarios'!$C$6*(1+$E774)^5*$G774+'Sensitivity &amp; Scenarios'!$C$11*'Sensitivity &amp; Scenarios'!$C$6*((1+$E774)^5-(1+$E774)^4))*(1+$D774)/($C774-$D774)/(1+$C774)^('Sensitivity &amp; Scenarios'!$C$18+4)</f>
        <v>67886.880004451421</v>
      </c>
      <c r="J774" s="209">
        <f>($H774+$I774-'Sensitivity &amp; Scenarios'!$C$15+'Sensitivity &amp; Scenarios'!$C$16)/'Sensitivity &amp; Scenarios'!$C$17</f>
        <v>2227.6094431630836</v>
      </c>
    </row>
    <row r="775" spans="2:10" x14ac:dyDescent="0.3">
      <c r="B775" s="127">
        <v>745</v>
      </c>
      <c r="C775" s="206">
        <f>$D$7+-0.784259*$E$7</f>
        <v>0.12970966943997797</v>
      </c>
      <c r="D775" s="206">
        <f>MIN($D$8+-0.125044*$E$8,'Debt &amp; Cost of Capital'!$C$38)</f>
        <v>5.4249736E-2</v>
      </c>
      <c r="E775" s="207">
        <f>$D$9+-0.610099*$E$9</f>
        <v>0.14891812770254634</v>
      </c>
      <c r="F775" s="207">
        <f>$D$10+2.299664*$E$10</f>
        <v>0.17259596799999991</v>
      </c>
      <c r="G775" s="208">
        <f>$F775*(1-'Sensitivity &amp; Scenarios'!$C$12)+'Sensitivity &amp; Scenarios'!$C$9*'Sensitivity &amp; Scenarios'!$C$12-'Sensitivity &amp; Scenarios'!$C$10</f>
        <v>9.8348980942864622E-2</v>
      </c>
      <c r="H775" s="209">
        <f>('Sensitivity &amp; Scenarios'!$C$6*(1+$E775)^1*$G775+'Sensitivity &amp; Scenarios'!$C$11*'Sensitivity &amp; Scenarios'!$C$6*((1+$E775)^1-(1+$E775)^0))*'Sensitivity &amp; Scenarios'!$C$18/(1+$C775)^'Sensitivity &amp; Scenarios'!$C$18+('Sensitivity &amp; Scenarios'!$C$6*(1+$E775)^2*$G775+'Sensitivity &amp; Scenarios'!$C$11*'Sensitivity &amp; Scenarios'!$C$6*((1+$E775)^2-(1+$E775)^1))/(1+$C775)^('Sensitivity &amp; Scenarios'!$C$18+1)+('Sensitivity &amp; Scenarios'!$C$6*(1+$E775)^3*$G775+'Sensitivity &amp; Scenarios'!$C$11*'Sensitivity &amp; Scenarios'!$C$6*((1+$E775)^3-(1+$E775)^2))/(1+$C775)^('Sensitivity &amp; Scenarios'!$C$18+2)+('Sensitivity &amp; Scenarios'!$C$6*(1+$E775)^4*$G775+'Sensitivity &amp; Scenarios'!$C$11*'Sensitivity &amp; Scenarios'!$C$6*((1+$E775)^4-(1+$E775)^3))/(1+$C775)^('Sensitivity &amp; Scenarios'!$C$18+3)+('Sensitivity &amp; Scenarios'!$C$6*(1+$E775)^5*$G775+'Sensitivity &amp; Scenarios'!$C$11*'Sensitivity &amp; Scenarios'!$C$6*((1+$E775)^5-(1+$E775)^4))/(1+$C775)^('Sensitivity &amp; Scenarios'!$C$18+4)</f>
        <v>27207.290545358541</v>
      </c>
      <c r="I775" s="209">
        <f>('Sensitivity &amp; Scenarios'!$C$6*(1+$E775)^5*$G775+'Sensitivity &amp; Scenarios'!$C$11*'Sensitivity &amp; Scenarios'!$C$6*((1+$E775)^5-(1+$E775)^4))*(1+$D775)/($C775-$D775)/(1+$C775)^('Sensitivity &amp; Scenarios'!$C$18+4)</f>
        <v>84612.319404514157</v>
      </c>
      <c r="J775" s="209">
        <f>($H775+$I775-'Sensitivity &amp; Scenarios'!$C$15+'Sensitivity &amp; Scenarios'!$C$16)/'Sensitivity &amp; Scenarios'!$C$17</f>
        <v>2640.2271227460869</v>
      </c>
    </row>
    <row r="776" spans="2:10" x14ac:dyDescent="0.3">
      <c r="B776" s="127">
        <v>746</v>
      </c>
      <c r="C776" s="206">
        <f>$D$7+-0.089731*$E$7</f>
        <v>0.13665494943997797</v>
      </c>
      <c r="D776" s="206">
        <f>MIN($D$8+1.545232*$E$8,'Debt &amp; Cost of Capital'!$C$38)</f>
        <v>6.4271391999999997E-2</v>
      </c>
      <c r="E776" s="207">
        <f>$D$9+-0.195622*$E$9</f>
        <v>0.16135243770254634</v>
      </c>
      <c r="F776" s="207">
        <f>$D$10+0.259288*$E$10</f>
        <v>0.14811145599999992</v>
      </c>
      <c r="G776" s="208">
        <f>$F776*(1-'Sensitivity &amp; Scenarios'!$C$12)+'Sensitivity &amp; Scenarios'!$C$9*'Sensitivity &amp; Scenarios'!$C$12-'Sensitivity &amp; Scenarios'!$C$10</f>
        <v>8.0027220613264644E-2</v>
      </c>
      <c r="H776" s="209">
        <f>('Sensitivity &amp; Scenarios'!$C$6*(1+$E776)^1*$G776+'Sensitivity &amp; Scenarios'!$C$11*'Sensitivity &amp; Scenarios'!$C$6*((1+$E776)^1-(1+$E776)^0))*'Sensitivity &amp; Scenarios'!$C$18/(1+$C776)^'Sensitivity &amp; Scenarios'!$C$18+('Sensitivity &amp; Scenarios'!$C$6*(1+$E776)^2*$G776+'Sensitivity &amp; Scenarios'!$C$11*'Sensitivity &amp; Scenarios'!$C$6*((1+$E776)^2-(1+$E776)^1))/(1+$C776)^('Sensitivity &amp; Scenarios'!$C$18+1)+('Sensitivity &amp; Scenarios'!$C$6*(1+$E776)^3*$G776+'Sensitivity &amp; Scenarios'!$C$11*'Sensitivity &amp; Scenarios'!$C$6*((1+$E776)^3-(1+$E776)^2))/(1+$C776)^('Sensitivity &amp; Scenarios'!$C$18+2)+('Sensitivity &amp; Scenarios'!$C$6*(1+$E776)^4*$G776+'Sensitivity &amp; Scenarios'!$C$11*'Sensitivity &amp; Scenarios'!$C$6*((1+$E776)^4-(1+$E776)^3))/(1+$C776)^('Sensitivity &amp; Scenarios'!$C$18+3)+('Sensitivity &amp; Scenarios'!$C$6*(1+$E776)^5*$G776+'Sensitivity &amp; Scenarios'!$C$11*'Sensitivity &amp; Scenarios'!$C$6*((1+$E776)^5-(1+$E776)^4))/(1+$C776)^('Sensitivity &amp; Scenarios'!$C$18+4)</f>
        <v>23424.236287904459</v>
      </c>
      <c r="I776" s="209">
        <f>('Sensitivity &amp; Scenarios'!$C$6*(1+$E776)^5*$G776+'Sensitivity &amp; Scenarios'!$C$11*'Sensitivity &amp; Scenarios'!$C$6*((1+$E776)^5-(1+$E776)^4))*(1+$D776)/($C776-$D776)/(1+$C776)^('Sensitivity &amp; Scenarios'!$C$18+4)</f>
        <v>77310.119656232637</v>
      </c>
      <c r="J776" s="209">
        <f>($H776+$I776-'Sensitivity &amp; Scenarios'!$C$15+'Sensitivity &amp; Scenarios'!$C$16)/'Sensitivity &amp; Scenarios'!$C$17</f>
        <v>2406.8960906249054</v>
      </c>
    </row>
    <row r="777" spans="2:10" x14ac:dyDescent="0.3">
      <c r="B777" s="127">
        <v>747</v>
      </c>
      <c r="C777" s="206">
        <f>$D$7+-1.321364*$E$7</f>
        <v>0.12433861943997798</v>
      </c>
      <c r="D777" s="206">
        <f>MIN($D$8+-0.447073*$E$8,'Debt &amp; Cost of Capital'!$C$38)</f>
        <v>5.2317561999999998E-2</v>
      </c>
      <c r="E777" s="207">
        <f>$D$9+0.210535*$E$9</f>
        <v>0.17353714770254633</v>
      </c>
      <c r="F777" s="207">
        <f>$D$10+1.586004*$E$10</f>
        <v>0.1640320479999999</v>
      </c>
      <c r="G777" s="208">
        <f>$F777*(1-'Sensitivity &amp; Scenarios'!$C$12)+'Sensitivity &amp; Scenarios'!$C$9*'Sensitivity &amp; Scenarios'!$C$12-'Sensitivity &amp; Scenarios'!$C$10</f>
        <v>9.1940599606864626E-2</v>
      </c>
      <c r="H777" s="209">
        <f>('Sensitivity &amp; Scenarios'!$C$6*(1+$E777)^1*$G777+'Sensitivity &amp; Scenarios'!$C$11*'Sensitivity &amp; Scenarios'!$C$6*((1+$E777)^1-(1+$E777)^0))*'Sensitivity &amp; Scenarios'!$C$18/(1+$C777)^'Sensitivity &amp; Scenarios'!$C$18+('Sensitivity &amp; Scenarios'!$C$6*(1+$E777)^2*$G777+'Sensitivity &amp; Scenarios'!$C$11*'Sensitivity &amp; Scenarios'!$C$6*((1+$E777)^2-(1+$E777)^1))/(1+$C777)^('Sensitivity &amp; Scenarios'!$C$18+1)+('Sensitivity &amp; Scenarios'!$C$6*(1+$E777)^3*$G777+'Sensitivity &amp; Scenarios'!$C$11*'Sensitivity &amp; Scenarios'!$C$6*((1+$E777)^3-(1+$E777)^2))/(1+$C777)^('Sensitivity &amp; Scenarios'!$C$18+2)+('Sensitivity &amp; Scenarios'!$C$6*(1+$E777)^4*$G777+'Sensitivity &amp; Scenarios'!$C$11*'Sensitivity &amp; Scenarios'!$C$6*((1+$E777)^4-(1+$E777)^3))/(1+$C777)^('Sensitivity &amp; Scenarios'!$C$18+3)+('Sensitivity &amp; Scenarios'!$C$6*(1+$E777)^5*$G777+'Sensitivity &amp; Scenarios'!$C$11*'Sensitivity &amp; Scenarios'!$C$6*((1+$E777)^5-(1+$E777)^4))/(1+$C777)^('Sensitivity &amp; Scenarios'!$C$18+4)</f>
        <v>28369.100520221436</v>
      </c>
      <c r="I777" s="209">
        <f>('Sensitivity &amp; Scenarios'!$C$6*(1+$E777)^5*$G777+'Sensitivity &amp; Scenarios'!$C$11*'Sensitivity &amp; Scenarios'!$C$6*((1+$E777)^5-(1+$E777)^4))*(1+$D777)/($C777-$D777)/(1+$C777)^('Sensitivity &amp; Scenarios'!$C$18+4)</f>
        <v>96652.233793283187</v>
      </c>
      <c r="J777" s="209">
        <f>($H777+$I777-'Sensitivity &amp; Scenarios'!$C$15+'Sensitivity &amp; Scenarios'!$C$16)/'Sensitivity &amp; Scenarios'!$C$17</f>
        <v>2918.1072660384093</v>
      </c>
    </row>
    <row r="778" spans="2:10" x14ac:dyDescent="0.3">
      <c r="B778" s="127">
        <v>748</v>
      </c>
      <c r="C778" s="206">
        <f>$D$7+0.221983*$E$7</f>
        <v>0.13977208943997799</v>
      </c>
      <c r="D778" s="206">
        <f>MIN($D$8+1.38372*$E$8,'Debt &amp; Cost of Capital'!$C$38)</f>
        <v>6.3302319999999995E-2</v>
      </c>
      <c r="E778" s="207">
        <f>$D$9+0.640729*$E$9</f>
        <v>0.18644296770254634</v>
      </c>
      <c r="F778" s="207">
        <f>$D$10+1.627401*$E$10</f>
        <v>0.16452881199999991</v>
      </c>
      <c r="G778" s="208">
        <f>$F778*(1-'Sensitivity &amp; Scenarios'!$C$12)+'Sensitivity &amp; Scenarios'!$C$9*'Sensitivity &amp; Scenarios'!$C$12-'Sensitivity &amp; Scenarios'!$C$10</f>
        <v>9.231232810806464E-2</v>
      </c>
      <c r="H778" s="209">
        <f>('Sensitivity &amp; Scenarios'!$C$6*(1+$E778)^1*$G778+'Sensitivity &amp; Scenarios'!$C$11*'Sensitivity &amp; Scenarios'!$C$6*((1+$E778)^1-(1+$E778)^0))*'Sensitivity &amp; Scenarios'!$C$18/(1+$C778)^'Sensitivity &amp; Scenarios'!$C$18+('Sensitivity &amp; Scenarios'!$C$6*(1+$E778)^2*$G778+'Sensitivity &amp; Scenarios'!$C$11*'Sensitivity &amp; Scenarios'!$C$6*((1+$E778)^2-(1+$E778)^1))/(1+$C778)^('Sensitivity &amp; Scenarios'!$C$18+1)+('Sensitivity &amp; Scenarios'!$C$6*(1+$E778)^3*$G778+'Sensitivity &amp; Scenarios'!$C$11*'Sensitivity &amp; Scenarios'!$C$6*((1+$E778)^3-(1+$E778)^2))/(1+$C778)^('Sensitivity &amp; Scenarios'!$C$18+2)+('Sensitivity &amp; Scenarios'!$C$6*(1+$E778)^4*$G778+'Sensitivity &amp; Scenarios'!$C$11*'Sensitivity &amp; Scenarios'!$C$6*((1+$E778)^4-(1+$E778)^3))/(1+$C778)^('Sensitivity &amp; Scenarios'!$C$18+3)+('Sensitivity &amp; Scenarios'!$C$6*(1+$E778)^5*$G778+'Sensitivity &amp; Scenarios'!$C$11*'Sensitivity &amp; Scenarios'!$C$6*((1+$E778)^5-(1+$E778)^4))/(1+$C778)^('Sensitivity &amp; Scenarios'!$C$18+4)</f>
        <v>28627.393088201981</v>
      </c>
      <c r="I778" s="209">
        <f>('Sensitivity &amp; Scenarios'!$C$6*(1+$E778)^5*$G778+'Sensitivity &amp; Scenarios'!$C$11*'Sensitivity &amp; Scenarios'!$C$6*((1+$E778)^5-(1+$E778)^4))*(1+$D778)/($C778-$D778)/(1+$C778)^('Sensitivity &amp; Scenarios'!$C$18+4)</f>
        <v>92376.084478778677</v>
      </c>
      <c r="J778" s="209">
        <f>($H778+$I778-'Sensitivity &amp; Scenarios'!$C$15+'Sensitivity &amp; Scenarios'!$C$16)/'Sensitivity &amp; Scenarios'!$C$17</f>
        <v>2833.5362980573027</v>
      </c>
    </row>
    <row r="779" spans="2:10" x14ac:dyDescent="0.3">
      <c r="B779" s="127">
        <v>749</v>
      </c>
      <c r="C779" s="206">
        <f>$D$7+-0.059042*$E$7</f>
        <v>0.13696183943997797</v>
      </c>
      <c r="D779" s="206">
        <f>MIN($D$8+2.390223*$E$8,'Debt &amp; Cost of Capital'!$C$38)</f>
        <v>6.7799999999999999E-2</v>
      </c>
      <c r="E779" s="207">
        <f>$D$9+-0.485396*$E$9</f>
        <v>0.15265921770254634</v>
      </c>
      <c r="F779" s="207">
        <f>$D$10+-0.766462*$E$10</f>
        <v>0.1358024559999999</v>
      </c>
      <c r="G779" s="208">
        <f>$F779*(1-'Sensitivity &amp; Scenarios'!$C$12)+'Sensitivity &amp; Scenarios'!$C$9*'Sensitivity &amp; Scenarios'!$C$12-'Sensitivity &amp; Scenarios'!$C$10</f>
        <v>7.0816395913264635E-2</v>
      </c>
      <c r="H779" s="209">
        <f>('Sensitivity &amp; Scenarios'!$C$6*(1+$E779)^1*$G779+'Sensitivity &amp; Scenarios'!$C$11*'Sensitivity &amp; Scenarios'!$C$6*((1+$E779)^1-(1+$E779)^0))*'Sensitivity &amp; Scenarios'!$C$18/(1+$C779)^'Sensitivity &amp; Scenarios'!$C$18+('Sensitivity &amp; Scenarios'!$C$6*(1+$E779)^2*$G779+'Sensitivity &amp; Scenarios'!$C$11*'Sensitivity &amp; Scenarios'!$C$6*((1+$E779)^2-(1+$E779)^1))/(1+$C779)^('Sensitivity &amp; Scenarios'!$C$18+1)+('Sensitivity &amp; Scenarios'!$C$6*(1+$E779)^3*$G779+'Sensitivity &amp; Scenarios'!$C$11*'Sensitivity &amp; Scenarios'!$C$6*((1+$E779)^3-(1+$E779)^2))/(1+$C779)^('Sensitivity &amp; Scenarios'!$C$18+2)+('Sensitivity &amp; Scenarios'!$C$6*(1+$E779)^4*$G779+'Sensitivity &amp; Scenarios'!$C$11*'Sensitivity &amp; Scenarios'!$C$6*((1+$E779)^4-(1+$E779)^3))/(1+$C779)^('Sensitivity &amp; Scenarios'!$C$18+3)+('Sensitivity &amp; Scenarios'!$C$6*(1+$E779)^5*$G779+'Sensitivity &amp; Scenarios'!$C$11*'Sensitivity &amp; Scenarios'!$C$6*((1+$E779)^5-(1+$E779)^4))/(1+$C779)^('Sensitivity &amp; Scenarios'!$C$18+4)</f>
        <v>20472.271199744693</v>
      </c>
      <c r="I779" s="209">
        <f>('Sensitivity &amp; Scenarios'!$C$6*(1+$E779)^5*$G779+'Sensitivity &amp; Scenarios'!$C$11*'Sensitivity &amp; Scenarios'!$C$6*((1+$E779)^5-(1+$E779)^4))*(1+$D779)/($C779-$D779)/(1+$C779)^('Sensitivity &amp; Scenarios'!$C$18+4)</f>
        <v>69956.945441098505</v>
      </c>
      <c r="J779" s="209">
        <f>($H779+$I779-'Sensitivity &amp; Scenarios'!$C$15+'Sensitivity &amp; Scenarios'!$C$16)/'Sensitivity &amp; Scenarios'!$C$17</f>
        <v>2189.9855183866857</v>
      </c>
    </row>
    <row r="780" spans="2:10" x14ac:dyDescent="0.3">
      <c r="B780" s="127">
        <v>750</v>
      </c>
      <c r="C780" s="206">
        <f>$D$7+-1.210053*$E$7</f>
        <v>0.12545172943997798</v>
      </c>
      <c r="D780" s="206">
        <f>MIN($D$8+2.331025*$E$8,'Debt &amp; Cost of Capital'!$C$38)</f>
        <v>6.7799999999999999E-2</v>
      </c>
      <c r="E780" s="207">
        <f>$D$9+0.819448*$E$9</f>
        <v>0.19180453770254635</v>
      </c>
      <c r="F780" s="207">
        <f>$D$10+-0.334121*$E$10</f>
        <v>0.14099054799999991</v>
      </c>
      <c r="G780" s="208">
        <f>$F780*(1-'Sensitivity &amp; Scenarios'!$C$12)+'Sensitivity &amp; Scenarios'!$C$9*'Sensitivity &amp; Scenarios'!$C$12-'Sensitivity &amp; Scenarios'!$C$10</f>
        <v>7.469864515686464E-2</v>
      </c>
      <c r="H780" s="209">
        <f>('Sensitivity &amp; Scenarios'!$C$6*(1+$E780)^1*$G780+'Sensitivity &amp; Scenarios'!$C$11*'Sensitivity &amp; Scenarios'!$C$6*((1+$E780)^1-(1+$E780)^0))*'Sensitivity &amp; Scenarios'!$C$18/(1+$C780)^'Sensitivity &amp; Scenarios'!$C$18+('Sensitivity &amp; Scenarios'!$C$6*(1+$E780)^2*$G780+'Sensitivity &amp; Scenarios'!$C$11*'Sensitivity &amp; Scenarios'!$C$6*((1+$E780)^2-(1+$E780)^1))/(1+$C780)^('Sensitivity &amp; Scenarios'!$C$18+1)+('Sensitivity &amp; Scenarios'!$C$6*(1+$E780)^3*$G780+'Sensitivity &amp; Scenarios'!$C$11*'Sensitivity &amp; Scenarios'!$C$6*((1+$E780)^3-(1+$E780)^2))/(1+$C780)^('Sensitivity &amp; Scenarios'!$C$18+2)+('Sensitivity &amp; Scenarios'!$C$6*(1+$E780)^4*$G780+'Sensitivity &amp; Scenarios'!$C$11*'Sensitivity &amp; Scenarios'!$C$6*((1+$E780)^4-(1+$E780)^3))/(1+$C780)^('Sensitivity &amp; Scenarios'!$C$18+3)+('Sensitivity &amp; Scenarios'!$C$6*(1+$E780)^5*$G780+'Sensitivity &amp; Scenarios'!$C$11*'Sensitivity &amp; Scenarios'!$C$6*((1+$E780)^5-(1+$E780)^4))/(1+$C780)^('Sensitivity &amp; Scenarios'!$C$18+4)</f>
        <v>25399.604358936071</v>
      </c>
      <c r="I780" s="209">
        <f>('Sensitivity &amp; Scenarios'!$C$6*(1+$E780)^5*$G780+'Sensitivity &amp; Scenarios'!$C$11*'Sensitivity &amp; Scenarios'!$C$6*((1+$E780)^5-(1+$E780)^4))*(1+$D780)/($C780-$D780)/(1+$C780)^('Sensitivity &amp; Scenarios'!$C$18+4)</f>
        <v>112506.31920321578</v>
      </c>
      <c r="J780" s="209">
        <f>($H780+$I780-'Sensitivity &amp; Scenarios'!$C$15+'Sensitivity &amp; Scenarios'!$C$16)/'Sensitivity &amp; Scenarios'!$C$17</f>
        <v>3189.3121032292229</v>
      </c>
    </row>
    <row r="781" spans="2:10" x14ac:dyDescent="0.3">
      <c r="B781" s="127">
        <v>751</v>
      </c>
      <c r="C781" s="206">
        <f>$D$7+1.249023*$E$7</f>
        <v>0.15004248943997797</v>
      </c>
      <c r="D781" s="206">
        <f>MIN($D$8+0.687692*$E$8,'Debt &amp; Cost of Capital'!$C$38)</f>
        <v>5.9126152000000001E-2</v>
      </c>
      <c r="E781" s="207">
        <f>$D$9+1.966127*$E$9</f>
        <v>0.22620490770254634</v>
      </c>
      <c r="F781" s="207">
        <f>$D$10+-1.547833*$E$10</f>
        <v>0.1264260039999999</v>
      </c>
      <c r="G781" s="208">
        <f>$F781*(1-'Sensitivity &amp; Scenarios'!$C$12)+'Sensitivity &amp; Scenarios'!$C$9*'Sensitivity &amp; Scenarios'!$C$12-'Sensitivity &amp; Scenarios'!$C$10</f>
        <v>6.3799996881664628E-2</v>
      </c>
      <c r="H781" s="209">
        <f>('Sensitivity &amp; Scenarios'!$C$6*(1+$E781)^1*$G781+'Sensitivity &amp; Scenarios'!$C$11*'Sensitivity &amp; Scenarios'!$C$6*((1+$E781)^1-(1+$E781)^0))*'Sensitivity &amp; Scenarios'!$C$18/(1+$C781)^'Sensitivity &amp; Scenarios'!$C$18+('Sensitivity &amp; Scenarios'!$C$6*(1+$E781)^2*$G781+'Sensitivity &amp; Scenarios'!$C$11*'Sensitivity &amp; Scenarios'!$C$6*((1+$E781)^2-(1+$E781)^1))/(1+$C781)^('Sensitivity &amp; Scenarios'!$C$18+1)+('Sensitivity &amp; Scenarios'!$C$6*(1+$E781)^3*$G781+'Sensitivity &amp; Scenarios'!$C$11*'Sensitivity &amp; Scenarios'!$C$6*((1+$E781)^3-(1+$E781)^2))/(1+$C781)^('Sensitivity &amp; Scenarios'!$C$18+2)+('Sensitivity &amp; Scenarios'!$C$6*(1+$E781)^4*$G781+'Sensitivity &amp; Scenarios'!$C$11*'Sensitivity &amp; Scenarios'!$C$6*((1+$E781)^4-(1+$E781)^3))/(1+$C781)^('Sensitivity &amp; Scenarios'!$C$18+3)+('Sensitivity &amp; Scenarios'!$C$6*(1+$E781)^5*$G781+'Sensitivity &amp; Scenarios'!$C$11*'Sensitivity &amp; Scenarios'!$C$6*((1+$E781)^5-(1+$E781)^4))/(1+$C781)^('Sensitivity &amp; Scenarios'!$C$18+4)</f>
        <v>23826.462027953399</v>
      </c>
      <c r="I781" s="209">
        <f>('Sensitivity &amp; Scenarios'!$C$6*(1+$E781)^5*$G781+'Sensitivity &amp; Scenarios'!$C$11*'Sensitivity &amp; Scenarios'!$C$6*((1+$E781)^5-(1+$E781)^4))*(1+$D781)/($C781-$D781)/(1+$C781)^('Sensitivity &amp; Scenarios'!$C$18+4)</f>
        <v>67171.178938374738</v>
      </c>
      <c r="J781" s="209">
        <f>($H781+$I781-'Sensitivity &amp; Scenarios'!$C$15+'Sensitivity &amp; Scenarios'!$C$16)/'Sensitivity &amp; Scenarios'!$C$17</f>
        <v>2201.9501548740013</v>
      </c>
    </row>
    <row r="782" spans="2:10" x14ac:dyDescent="0.3">
      <c r="B782" s="127">
        <v>752</v>
      </c>
      <c r="C782" s="206">
        <f>$D$7+-0.26536*$E$7</f>
        <v>0.13489865943997797</v>
      </c>
      <c r="D782" s="206">
        <f>MIN($D$8+-0.462521*$E$8,'Debt &amp; Cost of Capital'!$C$38)</f>
        <v>5.2224873999999998E-2</v>
      </c>
      <c r="E782" s="207">
        <f>$D$9+-1.973683*$E$9</f>
        <v>0.10801060770254634</v>
      </c>
      <c r="F782" s="207">
        <f>$D$10+1.060327*$E$10</f>
        <v>0.1577239239999999</v>
      </c>
      <c r="G782" s="208">
        <f>$F782*(1-'Sensitivity &amp; Scenarios'!$C$12)+'Sensitivity &amp; Scenarios'!$C$9*'Sensitivity &amp; Scenarios'!$C$12-'Sensitivity &amp; Scenarios'!$C$10</f>
        <v>8.7220230417664635E-2</v>
      </c>
      <c r="H782" s="209">
        <f>('Sensitivity &amp; Scenarios'!$C$6*(1+$E782)^1*$G782+'Sensitivity &amp; Scenarios'!$C$11*'Sensitivity &amp; Scenarios'!$C$6*((1+$E782)^1-(1+$E782)^0))*'Sensitivity &amp; Scenarios'!$C$18/(1+$C782)^'Sensitivity &amp; Scenarios'!$C$18+('Sensitivity &amp; Scenarios'!$C$6*(1+$E782)^2*$G782+'Sensitivity &amp; Scenarios'!$C$11*'Sensitivity &amp; Scenarios'!$C$6*((1+$E782)^2-(1+$E782)^1))/(1+$C782)^('Sensitivity &amp; Scenarios'!$C$18+1)+('Sensitivity &amp; Scenarios'!$C$6*(1+$E782)^3*$G782+'Sensitivity &amp; Scenarios'!$C$11*'Sensitivity &amp; Scenarios'!$C$6*((1+$E782)^3-(1+$E782)^2))/(1+$C782)^('Sensitivity &amp; Scenarios'!$C$18+2)+('Sensitivity &amp; Scenarios'!$C$6*(1+$E782)^4*$G782+'Sensitivity &amp; Scenarios'!$C$11*'Sensitivity &amp; Scenarios'!$C$6*((1+$E782)^4-(1+$E782)^3))/(1+$C782)^('Sensitivity &amp; Scenarios'!$C$18+3)+('Sensitivity &amp; Scenarios'!$C$6*(1+$E782)^5*$G782+'Sensitivity &amp; Scenarios'!$C$11*'Sensitivity &amp; Scenarios'!$C$6*((1+$E782)^5-(1+$E782)^4))/(1+$C782)^('Sensitivity &amp; Scenarios'!$C$18+4)</f>
        <v>20841.251835971234</v>
      </c>
      <c r="I782" s="209">
        <f>('Sensitivity &amp; Scenarios'!$C$6*(1+$E782)^5*$G782+'Sensitivity &amp; Scenarios'!$C$11*'Sensitivity &amp; Scenarios'!$C$6*((1+$E782)^5-(1+$E782)^4))*(1+$D782)/($C782-$D782)/(1+$C782)^('Sensitivity &amp; Scenarios'!$C$18+4)</f>
        <v>54753.368692289485</v>
      </c>
      <c r="J782" s="209">
        <f>($H782+$I782-'Sensitivity &amp; Scenarios'!$C$15+'Sensitivity &amp; Scenarios'!$C$16)/'Sensitivity &amp; Scenarios'!$C$17</f>
        <v>1877.7354228761269</v>
      </c>
    </row>
    <row r="783" spans="2:10" x14ac:dyDescent="0.3">
      <c r="B783" s="127">
        <v>753</v>
      </c>
      <c r="C783" s="206">
        <f>$D$7+-0.270397*$E$7</f>
        <v>0.13484828943997798</v>
      </c>
      <c r="D783" s="206">
        <f>MIN($D$8+0.739631*$E$8,'Debt &amp; Cost of Capital'!$C$38)</f>
        <v>5.9437785999999999E-2</v>
      </c>
      <c r="E783" s="207">
        <f>$D$9+2.359772*$E$9</f>
        <v>0.23801425770254633</v>
      </c>
      <c r="F783" s="207">
        <f>$D$10+-0.353244*$E$10</f>
        <v>0.1407610719999999</v>
      </c>
      <c r="G783" s="208">
        <f>$F783*(1-'Sensitivity &amp; Scenarios'!$C$12)+'Sensitivity &amp; Scenarios'!$C$9*'Sensitivity &amp; Scenarios'!$C$12-'Sensitivity &amp; Scenarios'!$C$10</f>
        <v>7.4526928266064635E-2</v>
      </c>
      <c r="H783" s="209">
        <f>('Sensitivity &amp; Scenarios'!$C$6*(1+$E783)^1*$G783+'Sensitivity &amp; Scenarios'!$C$11*'Sensitivity &amp; Scenarios'!$C$6*((1+$E783)^1-(1+$E783)^0))*'Sensitivity &amp; Scenarios'!$C$18/(1+$C783)^'Sensitivity &amp; Scenarios'!$C$18+('Sensitivity &amp; Scenarios'!$C$6*(1+$E783)^2*$G783+'Sensitivity &amp; Scenarios'!$C$11*'Sensitivity &amp; Scenarios'!$C$6*((1+$E783)^2-(1+$E783)^1))/(1+$C783)^('Sensitivity &amp; Scenarios'!$C$18+1)+('Sensitivity &amp; Scenarios'!$C$6*(1+$E783)^3*$G783+'Sensitivity &amp; Scenarios'!$C$11*'Sensitivity &amp; Scenarios'!$C$6*((1+$E783)^3-(1+$E783)^2))/(1+$C783)^('Sensitivity &amp; Scenarios'!$C$18+2)+('Sensitivity &amp; Scenarios'!$C$6*(1+$E783)^4*$G783+'Sensitivity &amp; Scenarios'!$C$11*'Sensitivity &amp; Scenarios'!$C$6*((1+$E783)^4-(1+$E783)^3))/(1+$C783)^('Sensitivity &amp; Scenarios'!$C$18+3)+('Sensitivity &amp; Scenarios'!$C$6*(1+$E783)^5*$G783+'Sensitivity &amp; Scenarios'!$C$11*'Sensitivity &amp; Scenarios'!$C$6*((1+$E783)^5-(1+$E783)^4))/(1+$C783)^('Sensitivity &amp; Scenarios'!$C$18+4)</f>
        <v>29088.869242084256</v>
      </c>
      <c r="I783" s="209">
        <f>('Sensitivity &amp; Scenarios'!$C$6*(1+$E783)^5*$G783+'Sensitivity &amp; Scenarios'!$C$11*'Sensitivity &amp; Scenarios'!$C$6*((1+$E783)^5-(1+$E783)^4))*(1+$D783)/($C783-$D783)/(1+$C783)^('Sensitivity &amp; Scenarios'!$C$18+4)</f>
        <v>102833.74826416619</v>
      </c>
      <c r="J783" s="209">
        <f>($H783+$I783-'Sensitivity &amp; Scenarios'!$C$15+'Sensitivity &amp; Scenarios'!$C$16)/'Sensitivity &amp; Scenarios'!$C$17</f>
        <v>3063.3708323482815</v>
      </c>
    </row>
    <row r="784" spans="2:10" x14ac:dyDescent="0.3">
      <c r="B784" s="127">
        <v>754</v>
      </c>
      <c r="C784" s="206">
        <f>$D$7+-0.421153*$E$7</f>
        <v>0.13334072943997799</v>
      </c>
      <c r="D784" s="206">
        <f>MIN($D$8+0.118664*$E$8,'Debt &amp; Cost of Capital'!$C$38)</f>
        <v>5.5711983999999999E-2</v>
      </c>
      <c r="E784" s="207">
        <f>$D$9+0.987247*$E$9</f>
        <v>0.19683850770254635</v>
      </c>
      <c r="F784" s="207">
        <f>$D$10+-0.566713*$E$10</f>
        <v>0.13819944399999989</v>
      </c>
      <c r="G784" s="208">
        <f>$F784*(1-'Sensitivity &amp; Scenarios'!$C$12)+'Sensitivity &amp; Scenarios'!$C$9*'Sensitivity &amp; Scenarios'!$C$12-'Sensitivity &amp; Scenarios'!$C$10</f>
        <v>7.261006203366463E-2</v>
      </c>
      <c r="H784" s="209">
        <f>('Sensitivity &amp; Scenarios'!$C$6*(1+$E784)^1*$G784+'Sensitivity &amp; Scenarios'!$C$11*'Sensitivity &amp; Scenarios'!$C$6*((1+$E784)^1-(1+$E784)^0))*'Sensitivity &amp; Scenarios'!$C$18/(1+$C784)^'Sensitivity &amp; Scenarios'!$C$18+('Sensitivity &amp; Scenarios'!$C$6*(1+$E784)^2*$G784+'Sensitivity &amp; Scenarios'!$C$11*'Sensitivity &amp; Scenarios'!$C$6*((1+$E784)^2-(1+$E784)^1))/(1+$C784)^('Sensitivity &amp; Scenarios'!$C$18+1)+('Sensitivity &amp; Scenarios'!$C$6*(1+$E784)^3*$G784+'Sensitivity &amp; Scenarios'!$C$11*'Sensitivity &amp; Scenarios'!$C$6*((1+$E784)^3-(1+$E784)^2))/(1+$C784)^('Sensitivity &amp; Scenarios'!$C$18+2)+('Sensitivity &amp; Scenarios'!$C$6*(1+$E784)^4*$G784+'Sensitivity &amp; Scenarios'!$C$11*'Sensitivity &amp; Scenarios'!$C$6*((1+$E784)^4-(1+$E784)^3))/(1+$C784)^('Sensitivity &amp; Scenarios'!$C$18+3)+('Sensitivity &amp; Scenarios'!$C$6*(1+$E784)^5*$G784+'Sensitivity &amp; Scenarios'!$C$11*'Sensitivity &amp; Scenarios'!$C$6*((1+$E784)^5-(1+$E784)^4))/(1+$C784)^('Sensitivity &amp; Scenarios'!$C$18+4)</f>
        <v>24771.525536778343</v>
      </c>
      <c r="I784" s="209">
        <f>('Sensitivity &amp; Scenarios'!$C$6*(1+$E784)^5*$G784+'Sensitivity &amp; Scenarios'!$C$11*'Sensitivity &amp; Scenarios'!$C$6*((1+$E784)^5-(1+$E784)^4))*(1+$D784)/($C784-$D784)/(1+$C784)^('Sensitivity &amp; Scenarios'!$C$18+4)</f>
        <v>80177.788244773139</v>
      </c>
      <c r="J784" s="209">
        <f>($H784+$I784-'Sensitivity &amp; Scenarios'!$C$15+'Sensitivity &amp; Scenarios'!$C$16)/'Sensitivity &amp; Scenarios'!$C$17</f>
        <v>2495.6157953824418</v>
      </c>
    </row>
    <row r="785" spans="2:10" x14ac:dyDescent="0.3">
      <c r="B785" s="127">
        <v>755</v>
      </c>
      <c r="C785" s="206">
        <f>$D$7+-0.630962*$E$7</f>
        <v>0.13124263943997799</v>
      </c>
      <c r="D785" s="206">
        <f>MIN($D$8+1.057189*$E$8,'Debt &amp; Cost of Capital'!$C$38)</f>
        <v>6.1343134000000001E-2</v>
      </c>
      <c r="E785" s="207">
        <f>$D$9+0.378639*$E$9</f>
        <v>0.17858026770254634</v>
      </c>
      <c r="F785" s="207">
        <f>$D$10+-2.044728*$E$10</f>
        <v>0.1204632639999999</v>
      </c>
      <c r="G785" s="208">
        <f>$F785*(1-'Sensitivity &amp; Scenarios'!$C$12)+'Sensitivity &amp; Scenarios'!$C$9*'Sensitivity &amp; Scenarios'!$C$12-'Sensitivity &amp; Scenarios'!$C$10</f>
        <v>5.9338078539664635E-2</v>
      </c>
      <c r="H785" s="209">
        <f>('Sensitivity &amp; Scenarios'!$C$6*(1+$E785)^1*$G785+'Sensitivity &amp; Scenarios'!$C$11*'Sensitivity &amp; Scenarios'!$C$6*((1+$E785)^1-(1+$E785)^0))*'Sensitivity &amp; Scenarios'!$C$18/(1+$C785)^'Sensitivity &amp; Scenarios'!$C$18+('Sensitivity &amp; Scenarios'!$C$6*(1+$E785)^2*$G785+'Sensitivity &amp; Scenarios'!$C$11*'Sensitivity &amp; Scenarios'!$C$6*((1+$E785)^2-(1+$E785)^1))/(1+$C785)^('Sensitivity &amp; Scenarios'!$C$18+1)+('Sensitivity &amp; Scenarios'!$C$6*(1+$E785)^3*$G785+'Sensitivity &amp; Scenarios'!$C$11*'Sensitivity &amp; Scenarios'!$C$6*((1+$E785)^3-(1+$E785)^2))/(1+$C785)^('Sensitivity &amp; Scenarios'!$C$18+2)+('Sensitivity &amp; Scenarios'!$C$6*(1+$E785)^4*$G785+'Sensitivity &amp; Scenarios'!$C$11*'Sensitivity &amp; Scenarios'!$C$6*((1+$E785)^4-(1+$E785)^3))/(1+$C785)^('Sensitivity &amp; Scenarios'!$C$18+3)+('Sensitivity &amp; Scenarios'!$C$6*(1+$E785)^5*$G785+'Sensitivity &amp; Scenarios'!$C$11*'Sensitivity &amp; Scenarios'!$C$6*((1+$E785)^5-(1+$E785)^4))/(1+$C785)^('Sensitivity &amp; Scenarios'!$C$18+4)</f>
        <v>19853.444882028511</v>
      </c>
      <c r="I785" s="209">
        <f>('Sensitivity &amp; Scenarios'!$C$6*(1+$E785)^5*$G785+'Sensitivity &amp; Scenarios'!$C$11*'Sensitivity &amp; Scenarios'!$C$6*((1+$E785)^5-(1+$E785)^4))*(1+$D785)/($C785-$D785)/(1+$C785)^('Sensitivity &amp; Scenarios'!$C$18+4)</f>
        <v>70063.299612425675</v>
      </c>
      <c r="J785" s="209">
        <f>($H785+$I785-'Sensitivity &amp; Scenarios'!$C$15+'Sensitivity &amp; Scenarios'!$C$16)/'Sensitivity &amp; Scenarios'!$C$17</f>
        <v>2179.198606802302</v>
      </c>
    </row>
    <row r="786" spans="2:10" x14ac:dyDescent="0.3">
      <c r="B786" s="127">
        <v>756</v>
      </c>
      <c r="C786" s="206">
        <f>$D$7+-1.225392*$E$7</f>
        <v>0.12529833943997798</v>
      </c>
      <c r="D786" s="206">
        <f>MIN($D$8+1.501236*$E$8,'Debt &amp; Cost of Capital'!$C$38)</f>
        <v>6.4007415999999998E-2</v>
      </c>
      <c r="E786" s="207">
        <f>$D$9+0.401928*$E$9</f>
        <v>0.17927893770254633</v>
      </c>
      <c r="F786" s="207">
        <f>$D$10+-0.762196*$E$10</f>
        <v>0.13585364799999991</v>
      </c>
      <c r="G786" s="208">
        <f>$F786*(1-'Sensitivity &amp; Scenarios'!$C$12)+'Sensitivity &amp; Scenarios'!$C$9*'Sensitivity &amp; Scenarios'!$C$12-'Sensitivity &amp; Scenarios'!$C$10</f>
        <v>7.0854702886864643E-2</v>
      </c>
      <c r="H786" s="209">
        <f>('Sensitivity &amp; Scenarios'!$C$6*(1+$E786)^1*$G786+'Sensitivity &amp; Scenarios'!$C$11*'Sensitivity &amp; Scenarios'!$C$6*((1+$E786)^1-(1+$E786)^0))*'Sensitivity &amp; Scenarios'!$C$18/(1+$C786)^'Sensitivity &amp; Scenarios'!$C$18+('Sensitivity &amp; Scenarios'!$C$6*(1+$E786)^2*$G786+'Sensitivity &amp; Scenarios'!$C$11*'Sensitivity &amp; Scenarios'!$C$6*((1+$E786)^2-(1+$E786)^1))/(1+$C786)^('Sensitivity &amp; Scenarios'!$C$18+1)+('Sensitivity &amp; Scenarios'!$C$6*(1+$E786)^3*$G786+'Sensitivity &amp; Scenarios'!$C$11*'Sensitivity &amp; Scenarios'!$C$6*((1+$E786)^3-(1+$E786)^2))/(1+$C786)^('Sensitivity &amp; Scenarios'!$C$18+2)+('Sensitivity &amp; Scenarios'!$C$6*(1+$E786)^4*$G786+'Sensitivity &amp; Scenarios'!$C$11*'Sensitivity &amp; Scenarios'!$C$6*((1+$E786)^4-(1+$E786)^3))/(1+$C786)^('Sensitivity &amp; Scenarios'!$C$18+3)+('Sensitivity &amp; Scenarios'!$C$6*(1+$E786)^5*$G786+'Sensitivity &amp; Scenarios'!$C$11*'Sensitivity &amp; Scenarios'!$C$6*((1+$E786)^5-(1+$E786)^4))/(1+$C786)^('Sensitivity &amp; Scenarios'!$C$18+4)</f>
        <v>23269.401701499482</v>
      </c>
      <c r="I786" s="209">
        <f>('Sensitivity &amp; Scenarios'!$C$6*(1+$E786)^5*$G786+'Sensitivity &amp; Scenarios'!$C$11*'Sensitivity &amp; Scenarios'!$C$6*((1+$E786)^5-(1+$E786)^4))*(1+$D786)/($C786-$D786)/(1+$C786)^('Sensitivity &amp; Scenarios'!$C$18+4)</f>
        <v>94861.905643399354</v>
      </c>
      <c r="J786" s="209">
        <f>($H786+$I786-'Sensitivity &amp; Scenarios'!$C$15+'Sensitivity &amp; Scenarios'!$C$16)/'Sensitivity &amp; Scenarios'!$C$17</f>
        <v>2773.080629472774</v>
      </c>
    </row>
    <row r="787" spans="2:10" x14ac:dyDescent="0.3">
      <c r="B787" s="127">
        <v>757</v>
      </c>
      <c r="C787" s="206">
        <f>$D$7+-0.17041*$E$7</f>
        <v>0.13584815943997797</v>
      </c>
      <c r="D787" s="206">
        <f>MIN($D$8+0.013237*$E$8,'Debt &amp; Cost of Capital'!$C$38)</f>
        <v>5.5079422000000003E-2</v>
      </c>
      <c r="E787" s="207">
        <f>$D$9+0.735733*$E$9</f>
        <v>0.18929308770254633</v>
      </c>
      <c r="F787" s="207">
        <f>$D$10+-1.358263*$E$10</f>
        <v>0.1287008439999999</v>
      </c>
      <c r="G787" s="208">
        <f>$F787*(1-'Sensitivity &amp; Scenarios'!$C$12)+'Sensitivity &amp; Scenarios'!$C$9*'Sensitivity &amp; Scenarios'!$C$12-'Sensitivity &amp; Scenarios'!$C$10</f>
        <v>6.550225965366463E-2</v>
      </c>
      <c r="H787" s="209">
        <f>('Sensitivity &amp; Scenarios'!$C$6*(1+$E787)^1*$G787+'Sensitivity &amp; Scenarios'!$C$11*'Sensitivity &amp; Scenarios'!$C$6*((1+$E787)^1-(1+$E787)^0))*'Sensitivity &amp; Scenarios'!$C$18/(1+$C787)^'Sensitivity &amp; Scenarios'!$C$18+('Sensitivity &amp; Scenarios'!$C$6*(1+$E787)^2*$G787+'Sensitivity &amp; Scenarios'!$C$11*'Sensitivity &amp; Scenarios'!$C$6*((1+$E787)^2-(1+$E787)^1))/(1+$C787)^('Sensitivity &amp; Scenarios'!$C$18+1)+('Sensitivity &amp; Scenarios'!$C$6*(1+$E787)^3*$G787+'Sensitivity &amp; Scenarios'!$C$11*'Sensitivity &amp; Scenarios'!$C$6*((1+$E787)^3-(1+$E787)^2))/(1+$C787)^('Sensitivity &amp; Scenarios'!$C$18+2)+('Sensitivity &amp; Scenarios'!$C$6*(1+$E787)^4*$G787+'Sensitivity &amp; Scenarios'!$C$11*'Sensitivity &amp; Scenarios'!$C$6*((1+$E787)^4-(1+$E787)^3))/(1+$C787)^('Sensitivity &amp; Scenarios'!$C$18+3)+('Sensitivity &amp; Scenarios'!$C$6*(1+$E787)^5*$G787+'Sensitivity &amp; Scenarios'!$C$11*'Sensitivity &amp; Scenarios'!$C$6*((1+$E787)^5-(1+$E787)^4))/(1+$C787)^('Sensitivity &amp; Scenarios'!$C$18+4)</f>
        <v>22068.885247150407</v>
      </c>
      <c r="I787" s="209">
        <f>('Sensitivity &amp; Scenarios'!$C$6*(1+$E787)^5*$G787+'Sensitivity &amp; Scenarios'!$C$11*'Sensitivity &amp; Scenarios'!$C$6*((1+$E787)^5-(1+$E787)^4))*(1+$D787)/($C787-$D787)/(1+$C787)^('Sensitivity &amp; Scenarios'!$C$18+4)</f>
        <v>67594.615160838963</v>
      </c>
      <c r="J787" s="209">
        <f>($H787+$I787-'Sensitivity &amp; Scenarios'!$C$15+'Sensitivity &amp; Scenarios'!$C$16)/'Sensitivity &amp; Scenarios'!$C$17</f>
        <v>2173.8681286695642</v>
      </c>
    </row>
    <row r="788" spans="2:10" x14ac:dyDescent="0.3">
      <c r="B788" s="127">
        <v>758</v>
      </c>
      <c r="C788" s="206">
        <f>$D$7+-0.840949*$E$7</f>
        <v>0.12914276943997799</v>
      </c>
      <c r="D788" s="206">
        <f>MIN($D$8+0.272956*$E$8,'Debt &amp; Cost of Capital'!$C$38)</f>
        <v>5.6637736000000001E-2</v>
      </c>
      <c r="E788" s="207">
        <f>$D$9+-0.099835*$E$9</f>
        <v>0.16422604770254634</v>
      </c>
      <c r="F788" s="207">
        <f>$D$10+0.571859*$E$10</f>
        <v>0.15186230799999992</v>
      </c>
      <c r="G788" s="208">
        <f>$F788*(1-'Sensitivity &amp; Scenarios'!$C$12)+'Sensitivity &amp; Scenarios'!$C$9*'Sensitivity &amp; Scenarios'!$C$12-'Sensitivity &amp; Scenarios'!$C$10</f>
        <v>8.283398316486465E-2</v>
      </c>
      <c r="H788" s="209">
        <f>('Sensitivity &amp; Scenarios'!$C$6*(1+$E788)^1*$G788+'Sensitivity &amp; Scenarios'!$C$11*'Sensitivity &amp; Scenarios'!$C$6*((1+$E788)^1-(1+$E788)^0))*'Sensitivity &amp; Scenarios'!$C$18/(1+$C788)^'Sensitivity &amp; Scenarios'!$C$18+('Sensitivity &amp; Scenarios'!$C$6*(1+$E788)^2*$G788+'Sensitivity &amp; Scenarios'!$C$11*'Sensitivity &amp; Scenarios'!$C$6*((1+$E788)^2-(1+$E788)^1))/(1+$C788)^('Sensitivity &amp; Scenarios'!$C$18+1)+('Sensitivity &amp; Scenarios'!$C$6*(1+$E788)^3*$G788+'Sensitivity &amp; Scenarios'!$C$11*'Sensitivity &amp; Scenarios'!$C$6*((1+$E788)^3-(1+$E788)^2))/(1+$C788)^('Sensitivity &amp; Scenarios'!$C$18+2)+('Sensitivity &amp; Scenarios'!$C$6*(1+$E788)^4*$G788+'Sensitivity &amp; Scenarios'!$C$11*'Sensitivity &amp; Scenarios'!$C$6*((1+$E788)^4-(1+$E788)^3))/(1+$C788)^('Sensitivity &amp; Scenarios'!$C$18+3)+('Sensitivity &amp; Scenarios'!$C$6*(1+$E788)^5*$G788+'Sensitivity &amp; Scenarios'!$C$11*'Sensitivity &amp; Scenarios'!$C$6*((1+$E788)^5-(1+$E788)^4))/(1+$C788)^('Sensitivity &amp; Scenarios'!$C$18+4)</f>
        <v>24826.693000345447</v>
      </c>
      <c r="I788" s="209">
        <f>('Sensitivity &amp; Scenarios'!$C$6*(1+$E788)^5*$G788+'Sensitivity &amp; Scenarios'!$C$11*'Sensitivity &amp; Scenarios'!$C$6*((1+$E788)^5-(1+$E788)^4))*(1+$D788)/($C788-$D788)/(1+$C788)^('Sensitivity &amp; Scenarios'!$C$18+4)</f>
        <v>82552.121527897136</v>
      </c>
      <c r="J788" s="209">
        <f>($H788+$I788-'Sensitivity &amp; Scenarios'!$C$15+'Sensitivity &amp; Scenarios'!$C$16)/'Sensitivity &amp; Scenarios'!$C$17</f>
        <v>2546.753813191624</v>
      </c>
    </row>
    <row r="789" spans="2:10" x14ac:dyDescent="0.3">
      <c r="B789" s="127">
        <v>759</v>
      </c>
      <c r="C789" s="206">
        <f>$D$7+-1.229507*$E$7</f>
        <v>0.12525718943997799</v>
      </c>
      <c r="D789" s="206">
        <f>MIN($D$8+0.357129*$E$8,'Debt &amp; Cost of Capital'!$C$38)</f>
        <v>5.7142774E-2</v>
      </c>
      <c r="E789" s="207">
        <f>$D$9+1.091584*$E$9</f>
        <v>0.19996861770254634</v>
      </c>
      <c r="F789" s="207">
        <f>$D$10+0.486819*$E$10</f>
        <v>0.1508418279999999</v>
      </c>
      <c r="G789" s="208">
        <f>$F789*(1-'Sensitivity &amp; Scenarios'!$C$12)+'Sensitivity &amp; Scenarios'!$C$9*'Sensitivity &amp; Scenarios'!$C$12-'Sensitivity &amp; Scenarios'!$C$10</f>
        <v>8.2070357980864636E-2</v>
      </c>
      <c r="H789" s="209">
        <f>('Sensitivity &amp; Scenarios'!$C$6*(1+$E789)^1*$G789+'Sensitivity &amp; Scenarios'!$C$11*'Sensitivity &amp; Scenarios'!$C$6*((1+$E789)^1-(1+$E789)^0))*'Sensitivity &amp; Scenarios'!$C$18/(1+$C789)^'Sensitivity &amp; Scenarios'!$C$18+('Sensitivity &amp; Scenarios'!$C$6*(1+$E789)^2*$G789+'Sensitivity &amp; Scenarios'!$C$11*'Sensitivity &amp; Scenarios'!$C$6*((1+$E789)^2-(1+$E789)^1))/(1+$C789)^('Sensitivity &amp; Scenarios'!$C$18+1)+('Sensitivity &amp; Scenarios'!$C$6*(1+$E789)^3*$G789+'Sensitivity &amp; Scenarios'!$C$11*'Sensitivity &amp; Scenarios'!$C$6*((1+$E789)^3-(1+$E789)^2))/(1+$C789)^('Sensitivity &amp; Scenarios'!$C$18+2)+('Sensitivity &amp; Scenarios'!$C$6*(1+$E789)^4*$G789+'Sensitivity &amp; Scenarios'!$C$11*'Sensitivity &amp; Scenarios'!$C$6*((1+$E789)^4-(1+$E789)^3))/(1+$C789)^('Sensitivity &amp; Scenarios'!$C$18+3)+('Sensitivity &amp; Scenarios'!$C$6*(1+$E789)^5*$G789+'Sensitivity &amp; Scenarios'!$C$11*'Sensitivity &amp; Scenarios'!$C$6*((1+$E789)^5-(1+$E789)^4))/(1+$C789)^('Sensitivity &amp; Scenarios'!$C$18+4)</f>
        <v>28235.436730493835</v>
      </c>
      <c r="I789" s="209">
        <f>('Sensitivity &amp; Scenarios'!$C$6*(1+$E789)^5*$G789+'Sensitivity &amp; Scenarios'!$C$11*'Sensitivity &amp; Scenarios'!$C$6*((1+$E789)^5-(1+$E789)^4))*(1+$D789)/($C789-$D789)/(1+$C789)^('Sensitivity &amp; Scenarios'!$C$18+4)</f>
        <v>106078.09491053903</v>
      </c>
      <c r="J789" s="209">
        <f>($H789+$I789-'Sensitivity &amp; Scenarios'!$C$15+'Sensitivity &amp; Scenarios'!$C$16)/'Sensitivity &amp; Scenarios'!$C$17</f>
        <v>3113.6966491940889</v>
      </c>
    </row>
    <row r="790" spans="2:10" x14ac:dyDescent="0.3">
      <c r="B790" s="127">
        <v>760</v>
      </c>
      <c r="C790" s="206">
        <f>$D$7+0.139112*$E$7</f>
        <v>0.13894337943997798</v>
      </c>
      <c r="D790" s="206">
        <f>MIN($D$8+-0.095884*$E$8,'Debt &amp; Cost of Capital'!$C$38)</f>
        <v>5.4424696000000002E-2</v>
      </c>
      <c r="E790" s="207">
        <f>$D$9+-0.834851*$E$9</f>
        <v>0.14217556770254633</v>
      </c>
      <c r="F790" s="207">
        <f>$D$10+-0.071999*$E$10</f>
        <v>0.1441360119999999</v>
      </c>
      <c r="G790" s="208">
        <f>$F790*(1-'Sensitivity &amp; Scenarios'!$C$12)+'Sensitivity &amp; Scenarios'!$C$9*'Sensitivity &amp; Scenarios'!$C$12-'Sensitivity &amp; Scenarios'!$C$10</f>
        <v>7.705239586806463E-2</v>
      </c>
      <c r="H790" s="209">
        <f>('Sensitivity &amp; Scenarios'!$C$6*(1+$E790)^1*$G790+'Sensitivity &amp; Scenarios'!$C$11*'Sensitivity &amp; Scenarios'!$C$6*((1+$E790)^1-(1+$E790)^0))*'Sensitivity &amp; Scenarios'!$C$18/(1+$C790)^'Sensitivity &amp; Scenarios'!$C$18+('Sensitivity &amp; Scenarios'!$C$6*(1+$E790)^2*$G790+'Sensitivity &amp; Scenarios'!$C$11*'Sensitivity &amp; Scenarios'!$C$6*((1+$E790)^2-(1+$E790)^1))/(1+$C790)^('Sensitivity &amp; Scenarios'!$C$18+1)+('Sensitivity &amp; Scenarios'!$C$6*(1+$E790)^3*$G790+'Sensitivity &amp; Scenarios'!$C$11*'Sensitivity &amp; Scenarios'!$C$6*((1+$E790)^3-(1+$E790)^2))/(1+$C790)^('Sensitivity &amp; Scenarios'!$C$18+2)+('Sensitivity &amp; Scenarios'!$C$6*(1+$E790)^4*$G790+'Sensitivity &amp; Scenarios'!$C$11*'Sensitivity &amp; Scenarios'!$C$6*((1+$E790)^4-(1+$E790)^3))/(1+$C790)^('Sensitivity &amp; Scenarios'!$C$18+3)+('Sensitivity &amp; Scenarios'!$C$6*(1+$E790)^5*$G790+'Sensitivity &amp; Scenarios'!$C$11*'Sensitivity &amp; Scenarios'!$C$6*((1+$E790)^5-(1+$E790)^4))/(1+$C790)^('Sensitivity &amp; Scenarios'!$C$18+4)</f>
        <v>21032.578805191661</v>
      </c>
      <c r="I790" s="209">
        <f>('Sensitivity &amp; Scenarios'!$C$6*(1+$E790)^5*$G790+'Sensitivity &amp; Scenarios'!$C$11*'Sensitivity &amp; Scenarios'!$C$6*((1+$E790)^5-(1+$E790)^4))*(1+$D790)/($C790-$D790)/(1+$C790)^('Sensitivity &amp; Scenarios'!$C$18+4)</f>
        <v>56933.498220967042</v>
      </c>
      <c r="J790" s="209">
        <f>($H790+$I790-'Sensitivity &amp; Scenarios'!$C$15+'Sensitivity &amp; Scenarios'!$C$16)/'Sensitivity &amp; Scenarios'!$C$17</f>
        <v>1927.6516802752556</v>
      </c>
    </row>
    <row r="791" spans="2:10" x14ac:dyDescent="0.3">
      <c r="B791" s="127">
        <v>761</v>
      </c>
      <c r="C791" s="206">
        <f>$D$7+1.259706*$E$7</f>
        <v>0.15014931943997797</v>
      </c>
      <c r="D791" s="206">
        <f>MIN($D$8+-0.119029*$E$8,'Debt &amp; Cost of Capital'!$C$38)</f>
        <v>5.4285826000000002E-2</v>
      </c>
      <c r="E791" s="207">
        <f>$D$9+-0.889804*$E$9</f>
        <v>0.14052697770254635</v>
      </c>
      <c r="F791" s="207">
        <f>$D$10+-0.492247*$E$10</f>
        <v>0.13909303599999992</v>
      </c>
      <c r="G791" s="208">
        <f>$F791*(1-'Sensitivity &amp; Scenarios'!$C$12)+'Sensitivity &amp; Scenarios'!$C$9*'Sensitivity &amp; Scenarios'!$C$12-'Sensitivity &amp; Scenarios'!$C$10</f>
        <v>7.3278736927264651E-2</v>
      </c>
      <c r="H791" s="209">
        <f>('Sensitivity &amp; Scenarios'!$C$6*(1+$E791)^1*$G791+'Sensitivity &amp; Scenarios'!$C$11*'Sensitivity &amp; Scenarios'!$C$6*((1+$E791)^1-(1+$E791)^0))*'Sensitivity &amp; Scenarios'!$C$18/(1+$C791)^'Sensitivity &amp; Scenarios'!$C$18+('Sensitivity &amp; Scenarios'!$C$6*(1+$E791)^2*$G791+'Sensitivity &amp; Scenarios'!$C$11*'Sensitivity &amp; Scenarios'!$C$6*((1+$E791)^2-(1+$E791)^1))/(1+$C791)^('Sensitivity &amp; Scenarios'!$C$18+1)+('Sensitivity &amp; Scenarios'!$C$6*(1+$E791)^3*$G791+'Sensitivity &amp; Scenarios'!$C$11*'Sensitivity &amp; Scenarios'!$C$6*((1+$E791)^3-(1+$E791)^2))/(1+$C791)^('Sensitivity &amp; Scenarios'!$C$18+2)+('Sensitivity &amp; Scenarios'!$C$6*(1+$E791)^4*$G791+'Sensitivity &amp; Scenarios'!$C$11*'Sensitivity &amp; Scenarios'!$C$6*((1+$E791)^4-(1+$E791)^3))/(1+$C791)^('Sensitivity &amp; Scenarios'!$C$18+3)+('Sensitivity &amp; Scenarios'!$C$6*(1+$E791)^5*$G791+'Sensitivity &amp; Scenarios'!$C$11*'Sensitivity &amp; Scenarios'!$C$6*((1+$E791)^5-(1+$E791)^4))/(1+$C791)^('Sensitivity &amp; Scenarios'!$C$18+4)</f>
        <v>19495.056441721266</v>
      </c>
      <c r="I791" s="209">
        <f>('Sensitivity &amp; Scenarios'!$C$6*(1+$E791)^5*$G791+'Sensitivity &amp; Scenarios'!$C$11*'Sensitivity &amp; Scenarios'!$C$6*((1+$E791)^5-(1+$E791)^4))*(1+$D791)/($C791-$D791)/(1+$C791)^('Sensitivity &amp; Scenarios'!$C$18+4)</f>
        <v>45565.060856851516</v>
      </c>
      <c r="J791" s="209">
        <f>($H791+$I791-'Sensitivity &amp; Scenarios'!$C$15+'Sensitivity &amp; Scenarios'!$C$16)/'Sensitivity &amp; Scenarios'!$C$17</f>
        <v>1655.9970206532093</v>
      </c>
    </row>
    <row r="792" spans="2:10" x14ac:dyDescent="0.3">
      <c r="B792" s="127">
        <v>762</v>
      </c>
      <c r="C792" s="206">
        <f>$D$7+0.20085*$E$7</f>
        <v>0.13956075943997798</v>
      </c>
      <c r="D792" s="206">
        <f>MIN($D$8+-0.373514*$E$8,'Debt &amp; Cost of Capital'!$C$38)</f>
        <v>5.2758916000000003E-2</v>
      </c>
      <c r="E792" s="207">
        <f>$D$9+0.485303*$E$9</f>
        <v>0.18178018770254634</v>
      </c>
      <c r="F792" s="207">
        <f>$D$10+0.522844*$E$10</f>
        <v>0.1512741279999999</v>
      </c>
      <c r="G792" s="208">
        <f>$F792*(1-'Sensitivity &amp; Scenarios'!$C$12)+'Sensitivity &amp; Scenarios'!$C$9*'Sensitivity &amp; Scenarios'!$C$12-'Sensitivity &amp; Scenarios'!$C$10</f>
        <v>8.2393848070864625E-2</v>
      </c>
      <c r="H792" s="209">
        <f>('Sensitivity &amp; Scenarios'!$C$6*(1+$E792)^1*$G792+'Sensitivity &amp; Scenarios'!$C$11*'Sensitivity &amp; Scenarios'!$C$6*((1+$E792)^1-(1+$E792)^0))*'Sensitivity &amp; Scenarios'!$C$18/(1+$C792)^'Sensitivity &amp; Scenarios'!$C$18+('Sensitivity &amp; Scenarios'!$C$6*(1+$E792)^2*$G792+'Sensitivity &amp; Scenarios'!$C$11*'Sensitivity &amp; Scenarios'!$C$6*((1+$E792)^2-(1+$E792)^1))/(1+$C792)^('Sensitivity &amp; Scenarios'!$C$18+1)+('Sensitivity &amp; Scenarios'!$C$6*(1+$E792)^3*$G792+'Sensitivity &amp; Scenarios'!$C$11*'Sensitivity &amp; Scenarios'!$C$6*((1+$E792)^3-(1+$E792)^2))/(1+$C792)^('Sensitivity &amp; Scenarios'!$C$18+2)+('Sensitivity &amp; Scenarios'!$C$6*(1+$E792)^4*$G792+'Sensitivity &amp; Scenarios'!$C$11*'Sensitivity &amp; Scenarios'!$C$6*((1+$E792)^4-(1+$E792)^3))/(1+$C792)^('Sensitivity &amp; Scenarios'!$C$18+3)+('Sensitivity &amp; Scenarios'!$C$6*(1+$E792)^5*$G792+'Sensitivity &amp; Scenarios'!$C$11*'Sensitivity &amp; Scenarios'!$C$6*((1+$E792)^5-(1+$E792)^4))/(1+$C792)^('Sensitivity &amp; Scenarios'!$C$18+4)</f>
        <v>25627.063652547236</v>
      </c>
      <c r="I792" s="209">
        <f>('Sensitivity &amp; Scenarios'!$C$6*(1+$E792)^5*$G792+'Sensitivity &amp; Scenarios'!$C$11*'Sensitivity &amp; Scenarios'!$C$6*((1+$E792)^5-(1+$E792)^4))*(1+$D792)/($C792-$D792)/(1+$C792)^('Sensitivity &amp; Scenarios'!$C$18+4)</f>
        <v>71650.876578420735</v>
      </c>
      <c r="J792" s="209">
        <f>($H792+$I792-'Sensitivity &amp; Scenarios'!$C$15+'Sensitivity &amp; Scenarios'!$C$16)/'Sensitivity &amp; Scenarios'!$C$17</f>
        <v>2334.1427693770261</v>
      </c>
    </row>
    <row r="793" spans="2:10" x14ac:dyDescent="0.3">
      <c r="B793" s="127">
        <v>763</v>
      </c>
      <c r="C793" s="206">
        <f>$D$7+0.888983*$E$7</f>
        <v>0.14644208943997797</v>
      </c>
      <c r="D793" s="206">
        <f>MIN($D$8+1.423559*$E$8,'Debt &amp; Cost of Capital'!$C$38)</f>
        <v>6.3541353999999994E-2</v>
      </c>
      <c r="E793" s="207">
        <f>$D$9+0.995859*$E$9</f>
        <v>0.19709686770254634</v>
      </c>
      <c r="F793" s="207">
        <f>$D$10+-0.934239*$E$10</f>
        <v>0.13378913199999989</v>
      </c>
      <c r="G793" s="208">
        <f>$F793*(1-'Sensitivity &amp; Scenarios'!$C$12)+'Sensitivity &amp; Scenarios'!$C$9*'Sensitivity &amp; Scenarios'!$C$12-'Sensitivity &amp; Scenarios'!$C$10</f>
        <v>6.930982556406462E-2</v>
      </c>
      <c r="H793" s="209">
        <f>('Sensitivity &amp; Scenarios'!$C$6*(1+$E793)^1*$G793+'Sensitivity &amp; Scenarios'!$C$11*'Sensitivity &amp; Scenarios'!$C$6*((1+$E793)^1-(1+$E793)^0))*'Sensitivity &amp; Scenarios'!$C$18/(1+$C793)^'Sensitivity &amp; Scenarios'!$C$18+('Sensitivity &amp; Scenarios'!$C$6*(1+$E793)^2*$G793+'Sensitivity &amp; Scenarios'!$C$11*'Sensitivity &amp; Scenarios'!$C$6*((1+$E793)^2-(1+$E793)^1))/(1+$C793)^('Sensitivity &amp; Scenarios'!$C$18+1)+('Sensitivity &amp; Scenarios'!$C$6*(1+$E793)^3*$G793+'Sensitivity &amp; Scenarios'!$C$11*'Sensitivity &amp; Scenarios'!$C$6*((1+$E793)^3-(1+$E793)^2))/(1+$C793)^('Sensitivity &amp; Scenarios'!$C$18+2)+('Sensitivity &amp; Scenarios'!$C$6*(1+$E793)^4*$G793+'Sensitivity &amp; Scenarios'!$C$11*'Sensitivity &amp; Scenarios'!$C$6*((1+$E793)^4-(1+$E793)^3))/(1+$C793)^('Sensitivity &amp; Scenarios'!$C$18+3)+('Sensitivity &amp; Scenarios'!$C$6*(1+$E793)^5*$G793+'Sensitivity &amp; Scenarios'!$C$11*'Sensitivity &amp; Scenarios'!$C$6*((1+$E793)^5-(1+$E793)^4))/(1+$C793)^('Sensitivity &amp; Scenarios'!$C$18+4)</f>
        <v>23114.477470242084</v>
      </c>
      <c r="I793" s="209">
        <f>('Sensitivity &amp; Scenarios'!$C$6*(1+$E793)^5*$G793+'Sensitivity &amp; Scenarios'!$C$11*'Sensitivity &amp; Scenarios'!$C$6*((1+$E793)^5-(1+$E793)^4))*(1+$D793)/($C793-$D793)/(1+$C793)^('Sensitivity &amp; Scenarios'!$C$18+4)</f>
        <v>69194.576190793872</v>
      </c>
      <c r="J793" s="209">
        <f>($H793+$I793-'Sensitivity &amp; Scenarios'!$C$15+'Sensitivity &amp; Scenarios'!$C$16)/'Sensitivity &amp; Scenarios'!$C$17</f>
        <v>2229.5537873604267</v>
      </c>
    </row>
    <row r="794" spans="2:10" x14ac:dyDescent="0.3">
      <c r="B794" s="127">
        <v>764</v>
      </c>
      <c r="C794" s="206">
        <f>$D$7+-0.903534*$E$7</f>
        <v>0.12851691943997798</v>
      </c>
      <c r="D794" s="206">
        <f>MIN($D$8+-0.075771*$E$8,'Debt &amp; Cost of Capital'!$C$38)</f>
        <v>5.4545374000000001E-2</v>
      </c>
      <c r="E794" s="207">
        <f>$D$9+-0.451175*$E$9</f>
        <v>0.15368584770254634</v>
      </c>
      <c r="F794" s="207">
        <f>$D$10+-1.138327*$E$10</f>
        <v>0.13134007599999992</v>
      </c>
      <c r="G794" s="208">
        <f>$F794*(1-'Sensitivity &amp; Scenarios'!$C$12)+'Sensitivity &amp; Scenarios'!$C$9*'Sensitivity &amp; Scenarios'!$C$12-'Sensitivity &amp; Scenarios'!$C$10</f>
        <v>6.7477196959264643E-2</v>
      </c>
      <c r="H794" s="209">
        <f>('Sensitivity &amp; Scenarios'!$C$6*(1+$E794)^1*$G794+'Sensitivity &amp; Scenarios'!$C$11*'Sensitivity &amp; Scenarios'!$C$6*((1+$E794)^1-(1+$E794)^0))*'Sensitivity &amp; Scenarios'!$C$18/(1+$C794)^'Sensitivity &amp; Scenarios'!$C$18+('Sensitivity &amp; Scenarios'!$C$6*(1+$E794)^2*$G794+'Sensitivity &amp; Scenarios'!$C$11*'Sensitivity &amp; Scenarios'!$C$6*((1+$E794)^2-(1+$E794)^1))/(1+$C794)^('Sensitivity &amp; Scenarios'!$C$18+1)+('Sensitivity &amp; Scenarios'!$C$6*(1+$E794)^3*$G794+'Sensitivity &amp; Scenarios'!$C$11*'Sensitivity &amp; Scenarios'!$C$6*((1+$E794)^3-(1+$E794)^2))/(1+$C794)^('Sensitivity &amp; Scenarios'!$C$18+2)+('Sensitivity &amp; Scenarios'!$C$6*(1+$E794)^4*$G794+'Sensitivity &amp; Scenarios'!$C$11*'Sensitivity &amp; Scenarios'!$C$6*((1+$E794)^4-(1+$E794)^3))/(1+$C794)^('Sensitivity &amp; Scenarios'!$C$18+3)+('Sensitivity &amp; Scenarios'!$C$6*(1+$E794)^5*$G794+'Sensitivity &amp; Scenarios'!$C$11*'Sensitivity &amp; Scenarios'!$C$6*((1+$E794)^5-(1+$E794)^4))/(1+$C794)^('Sensitivity &amp; Scenarios'!$C$18+4)</f>
        <v>20168.182352522694</v>
      </c>
      <c r="I794" s="209">
        <f>('Sensitivity &amp; Scenarios'!$C$6*(1+$E794)^5*$G794+'Sensitivity &amp; Scenarios'!$C$11*'Sensitivity &amp; Scenarios'!$C$6*((1+$E794)^5-(1+$E794)^4))*(1+$D794)/($C794-$D794)/(1+$C794)^('Sensitivity &amp; Scenarios'!$C$18+4)</f>
        <v>64604.92928882259</v>
      </c>
      <c r="J794" s="209">
        <f>($H794+$I794-'Sensitivity &amp; Scenarios'!$C$15+'Sensitivity &amp; Scenarios'!$C$16)/'Sensitivity &amp; Scenarios'!$C$17</f>
        <v>2070.9314293567204</v>
      </c>
    </row>
    <row r="795" spans="2:10" x14ac:dyDescent="0.3">
      <c r="B795" s="127">
        <v>765</v>
      </c>
      <c r="C795" s="206">
        <f>$D$7+-0.441692*$E$7</f>
        <v>0.13313533943997799</v>
      </c>
      <c r="D795" s="206">
        <f>MIN($D$8+-0.474513*$E$8,'Debt &amp; Cost of Capital'!$C$38)</f>
        <v>5.2152921999999997E-2</v>
      </c>
      <c r="E795" s="207">
        <f>$D$9+-0.671848*$E$9</f>
        <v>0.14706565770254634</v>
      </c>
      <c r="F795" s="207">
        <f>$D$10+-0.315789*$E$10</f>
        <v>0.14121053199999992</v>
      </c>
      <c r="G795" s="208">
        <f>$F795*(1-'Sensitivity &amp; Scenarios'!$C$12)+'Sensitivity &amp; Scenarios'!$C$9*'Sensitivity &amp; Scenarios'!$C$12-'Sensitivity &amp; Scenarios'!$C$10</f>
        <v>7.486325918406464E-2</v>
      </c>
      <c r="H795" s="209">
        <f>('Sensitivity &amp; Scenarios'!$C$6*(1+$E795)^1*$G795+'Sensitivity &amp; Scenarios'!$C$11*'Sensitivity &amp; Scenarios'!$C$6*((1+$E795)^1-(1+$E795)^0))*'Sensitivity &amp; Scenarios'!$C$18/(1+$C795)^'Sensitivity &amp; Scenarios'!$C$18+('Sensitivity &amp; Scenarios'!$C$6*(1+$E795)^2*$G795+'Sensitivity &amp; Scenarios'!$C$11*'Sensitivity &amp; Scenarios'!$C$6*((1+$E795)^2-(1+$E795)^1))/(1+$C795)^('Sensitivity &amp; Scenarios'!$C$18+1)+('Sensitivity &amp; Scenarios'!$C$6*(1+$E795)^3*$G795+'Sensitivity &amp; Scenarios'!$C$11*'Sensitivity &amp; Scenarios'!$C$6*((1+$E795)^3-(1+$E795)^2))/(1+$C795)^('Sensitivity &amp; Scenarios'!$C$18+2)+('Sensitivity &amp; Scenarios'!$C$6*(1+$E795)^4*$G795+'Sensitivity &amp; Scenarios'!$C$11*'Sensitivity &amp; Scenarios'!$C$6*((1+$E795)^4-(1+$E795)^3))/(1+$C795)^('Sensitivity &amp; Scenarios'!$C$18+3)+('Sensitivity &amp; Scenarios'!$C$6*(1+$E795)^5*$G795+'Sensitivity &amp; Scenarios'!$C$11*'Sensitivity &amp; Scenarios'!$C$6*((1+$E795)^5-(1+$E795)^4))/(1+$C795)^('Sensitivity &amp; Scenarios'!$C$18+4)</f>
        <v>21203.608769632396</v>
      </c>
      <c r="I795" s="209">
        <f>('Sensitivity &amp; Scenarios'!$C$6*(1+$E795)^5*$G795+'Sensitivity &amp; Scenarios'!$C$11*'Sensitivity &amp; Scenarios'!$C$6*((1+$E795)^5-(1+$E795)^4))*(1+$D795)/($C795-$D795)/(1+$C795)^('Sensitivity &amp; Scenarios'!$C$18+4)</f>
        <v>60807.940641872221</v>
      </c>
      <c r="J795" s="209">
        <f>($H795+$I795-'Sensitivity &amp; Scenarios'!$C$15+'Sensitivity &amp; Scenarios'!$C$16)/'Sensitivity &amp; Scenarios'!$C$17</f>
        <v>2012.803923661118</v>
      </c>
    </row>
    <row r="796" spans="2:10" x14ac:dyDescent="0.3">
      <c r="B796" s="127">
        <v>766</v>
      </c>
      <c r="C796" s="206">
        <f>$D$7+1.178451*$E$7</f>
        <v>0.14933676943997798</v>
      </c>
      <c r="D796" s="206">
        <f>MIN($D$8+0.199238*$E$8,'Debt &amp; Cost of Capital'!$C$38)</f>
        <v>5.6195427999999999E-2</v>
      </c>
      <c r="E796" s="207">
        <f>$D$9+2.471809*$E$9</f>
        <v>0.24137536770254633</v>
      </c>
      <c r="F796" s="207">
        <f>$D$10+0.170508*$E$10</f>
        <v>0.1470460959999999</v>
      </c>
      <c r="G796" s="208">
        <f>$F796*(1-'Sensitivity &amp; Scenarios'!$C$12)+'Sensitivity &amp; Scenarios'!$C$9*'Sensitivity &amp; Scenarios'!$C$12-'Sensitivity &amp; Scenarios'!$C$10</f>
        <v>7.9230011725264629E-2</v>
      </c>
      <c r="H796" s="209">
        <f>('Sensitivity &amp; Scenarios'!$C$6*(1+$E796)^1*$G796+'Sensitivity &amp; Scenarios'!$C$11*'Sensitivity &amp; Scenarios'!$C$6*((1+$E796)^1-(1+$E796)^0))*'Sensitivity &amp; Scenarios'!$C$18/(1+$C796)^'Sensitivity &amp; Scenarios'!$C$18+('Sensitivity &amp; Scenarios'!$C$6*(1+$E796)^2*$G796+'Sensitivity &amp; Scenarios'!$C$11*'Sensitivity &amp; Scenarios'!$C$6*((1+$E796)^2-(1+$E796)^1))/(1+$C796)^('Sensitivity &amp; Scenarios'!$C$18+1)+('Sensitivity &amp; Scenarios'!$C$6*(1+$E796)^3*$G796+'Sensitivity &amp; Scenarios'!$C$11*'Sensitivity &amp; Scenarios'!$C$6*((1+$E796)^3-(1+$E796)^2))/(1+$C796)^('Sensitivity &amp; Scenarios'!$C$18+2)+('Sensitivity &amp; Scenarios'!$C$6*(1+$E796)^4*$G796+'Sensitivity &amp; Scenarios'!$C$11*'Sensitivity &amp; Scenarios'!$C$6*((1+$E796)^4-(1+$E796)^3))/(1+$C796)^('Sensitivity &amp; Scenarios'!$C$18+3)+('Sensitivity &amp; Scenarios'!$C$6*(1+$E796)^5*$G796+'Sensitivity &amp; Scenarios'!$C$11*'Sensitivity &amp; Scenarios'!$C$6*((1+$E796)^5-(1+$E796)^4))/(1+$C796)^('Sensitivity &amp; Scenarios'!$C$18+4)</f>
        <v>29737.640224190094</v>
      </c>
      <c r="I796" s="209">
        <f>('Sensitivity &amp; Scenarios'!$C$6*(1+$E796)^5*$G796+'Sensitivity &amp; Scenarios'!$C$11*'Sensitivity &amp; Scenarios'!$C$6*((1+$E796)^5-(1+$E796)^4))*(1+$D796)/($C796-$D796)/(1+$C796)^('Sensitivity &amp; Scenarios'!$C$18+4)</f>
        <v>83432.734074486507</v>
      </c>
      <c r="J796" s="209">
        <f>($H796+$I796-'Sensitivity &amp; Scenarios'!$C$15+'Sensitivity &amp; Scenarios'!$C$16)/'Sensitivity &amp; Scenarios'!$C$17</f>
        <v>2668.6590593977721</v>
      </c>
    </row>
    <row r="797" spans="2:10" x14ac:dyDescent="0.3">
      <c r="B797" s="127">
        <v>767</v>
      </c>
      <c r="C797" s="206">
        <f>$D$7+-0.290066*$E$7</f>
        <v>0.13465159943997798</v>
      </c>
      <c r="D797" s="206">
        <f>MIN($D$8+0.004133*$E$8,'Debt &amp; Cost of Capital'!$C$38)</f>
        <v>5.5024798E-2</v>
      </c>
      <c r="E797" s="207">
        <f>$D$9+0.256492*$E$9</f>
        <v>0.17491585770254633</v>
      </c>
      <c r="F797" s="207">
        <f>$D$10+0.435254*$E$10</f>
        <v>0.15022304799999991</v>
      </c>
      <c r="G797" s="208">
        <f>$F797*(1-'Sensitivity &amp; Scenarios'!$C$12)+'Sensitivity &amp; Scenarios'!$C$9*'Sensitivity &amp; Scenarios'!$C$12-'Sensitivity &amp; Scenarios'!$C$10</f>
        <v>8.1607324906864648E-2</v>
      </c>
      <c r="H797" s="209">
        <f>('Sensitivity &amp; Scenarios'!$C$6*(1+$E797)^1*$G797+'Sensitivity &amp; Scenarios'!$C$11*'Sensitivity &amp; Scenarios'!$C$6*((1+$E797)^1-(1+$E797)^0))*'Sensitivity &amp; Scenarios'!$C$18/(1+$C797)^'Sensitivity &amp; Scenarios'!$C$18+('Sensitivity &amp; Scenarios'!$C$6*(1+$E797)^2*$G797+'Sensitivity &amp; Scenarios'!$C$11*'Sensitivity &amp; Scenarios'!$C$6*((1+$E797)^2-(1+$E797)^1))/(1+$C797)^('Sensitivity &amp; Scenarios'!$C$18+1)+('Sensitivity &amp; Scenarios'!$C$6*(1+$E797)^3*$G797+'Sensitivity &amp; Scenarios'!$C$11*'Sensitivity &amp; Scenarios'!$C$6*((1+$E797)^3-(1+$E797)^2))/(1+$C797)^('Sensitivity &amp; Scenarios'!$C$18+2)+('Sensitivity &amp; Scenarios'!$C$6*(1+$E797)^4*$G797+'Sensitivity &amp; Scenarios'!$C$11*'Sensitivity &amp; Scenarios'!$C$6*((1+$E797)^4-(1+$E797)^3))/(1+$C797)^('Sensitivity &amp; Scenarios'!$C$18+3)+('Sensitivity &amp; Scenarios'!$C$6*(1+$E797)^5*$G797+'Sensitivity &amp; Scenarios'!$C$11*'Sensitivity &amp; Scenarios'!$C$6*((1+$E797)^5-(1+$E797)^4))/(1+$C797)^('Sensitivity &amp; Scenarios'!$C$18+4)</f>
        <v>25121.333828684932</v>
      </c>
      <c r="I797" s="209">
        <f>('Sensitivity &amp; Scenarios'!$C$6*(1+$E797)^5*$G797+'Sensitivity &amp; Scenarios'!$C$11*'Sensitivity &amp; Scenarios'!$C$6*((1+$E797)^5-(1+$E797)^4))*(1+$D797)/($C797-$D797)/(1+$C797)^('Sensitivity &amp; Scenarios'!$C$18+4)</f>
        <v>76525.271434358263</v>
      </c>
      <c r="J797" s="209">
        <f>($H797+$I797-'Sensitivity &amp; Scenarios'!$C$15+'Sensitivity &amp; Scenarios'!$C$16)/'Sensitivity &amp; Scenarios'!$C$17</f>
        <v>2426.0978224951964</v>
      </c>
    </row>
    <row r="798" spans="2:10" x14ac:dyDescent="0.3">
      <c r="B798" s="127">
        <v>768</v>
      </c>
      <c r="C798" s="206">
        <f>$D$7+2.076711*$E$7</f>
        <v>0.15831936943997799</v>
      </c>
      <c r="D798" s="206">
        <f>MIN($D$8+-0.84532*$E$8,'Debt &amp; Cost of Capital'!$C$38)</f>
        <v>4.992808E-2</v>
      </c>
      <c r="E798" s="207">
        <f>$D$9+0.859046*$E$9</f>
        <v>0.19299247770254635</v>
      </c>
      <c r="F798" s="207">
        <f>$D$10+0.207751*$E$10</f>
        <v>0.1474930119999999</v>
      </c>
      <c r="G798" s="208">
        <f>$F798*(1-'Sensitivity &amp; Scenarios'!$C$12)+'Sensitivity &amp; Scenarios'!$C$9*'Sensitivity &amp; Scenarios'!$C$12-'Sensitivity &amp; Scenarios'!$C$10</f>
        <v>7.956443896806463E-2</v>
      </c>
      <c r="H798" s="209">
        <f>('Sensitivity &amp; Scenarios'!$C$6*(1+$E798)^1*$G798+'Sensitivity &amp; Scenarios'!$C$11*'Sensitivity &amp; Scenarios'!$C$6*((1+$E798)^1-(1+$E798)^0))*'Sensitivity &amp; Scenarios'!$C$18/(1+$C798)^'Sensitivity &amp; Scenarios'!$C$18+('Sensitivity &amp; Scenarios'!$C$6*(1+$E798)^2*$G798+'Sensitivity &amp; Scenarios'!$C$11*'Sensitivity &amp; Scenarios'!$C$6*((1+$E798)^2-(1+$E798)^1))/(1+$C798)^('Sensitivity &amp; Scenarios'!$C$18+1)+('Sensitivity &amp; Scenarios'!$C$6*(1+$E798)^3*$G798+'Sensitivity &amp; Scenarios'!$C$11*'Sensitivity &amp; Scenarios'!$C$6*((1+$E798)^3-(1+$E798)^2))/(1+$C798)^('Sensitivity &amp; Scenarios'!$C$18+2)+('Sensitivity &amp; Scenarios'!$C$6*(1+$E798)^4*$G798+'Sensitivity &amp; Scenarios'!$C$11*'Sensitivity &amp; Scenarios'!$C$6*((1+$E798)^4-(1+$E798)^3))/(1+$C798)^('Sensitivity &amp; Scenarios'!$C$18+3)+('Sensitivity &amp; Scenarios'!$C$6*(1+$E798)^5*$G798+'Sensitivity &amp; Scenarios'!$C$11*'Sensitivity &amp; Scenarios'!$C$6*((1+$E798)^5-(1+$E798)^4))/(1+$C798)^('Sensitivity &amp; Scenarios'!$C$18+4)</f>
        <v>24719.956176242595</v>
      </c>
      <c r="I798" s="209">
        <f>('Sensitivity &amp; Scenarios'!$C$6*(1+$E798)^5*$G798+'Sensitivity &amp; Scenarios'!$C$11*'Sensitivity &amp; Scenarios'!$C$6*((1+$E798)^5-(1+$E798)^4))*(1+$D798)/($C798-$D798)/(1+$C798)^('Sensitivity &amp; Scenarios'!$C$18+4)</f>
        <v>54526.566013080963</v>
      </c>
      <c r="J798" s="209">
        <f>($H798+$I798-'Sensitivity &amp; Scenarios'!$C$15+'Sensitivity &amp; Scenarios'!$C$16)/'Sensitivity &amp; Scenarios'!$C$17</f>
        <v>1954.6034841167595</v>
      </c>
    </row>
    <row r="799" spans="2:10" x14ac:dyDescent="0.3">
      <c r="B799" s="127">
        <v>769</v>
      </c>
      <c r="C799" s="206">
        <f>$D$7+-1.571098*$E$7</f>
        <v>0.12184127943997798</v>
      </c>
      <c r="D799" s="206">
        <f>MIN($D$8+0.770699*$E$8,'Debt &amp; Cost of Capital'!$C$38)</f>
        <v>5.9624193999999998E-2</v>
      </c>
      <c r="E799" s="207">
        <f>$D$9+1.267624*$E$9</f>
        <v>0.20524981770254636</v>
      </c>
      <c r="F799" s="207">
        <f>$D$10+-0.857176*$E$10</f>
        <v>0.13471388799999989</v>
      </c>
      <c r="G799" s="208">
        <f>$F799*(1-'Sensitivity &amp; Scenarios'!$C$12)+'Sensitivity &amp; Scenarios'!$C$9*'Sensitivity &amp; Scenarios'!$C$12-'Sensitivity &amp; Scenarios'!$C$10</f>
        <v>7.0001820478864621E-2</v>
      </c>
      <c r="H799" s="209">
        <f>('Sensitivity &amp; Scenarios'!$C$6*(1+$E799)^1*$G799+'Sensitivity &amp; Scenarios'!$C$11*'Sensitivity &amp; Scenarios'!$C$6*((1+$E799)^1-(1+$E799)^0))*'Sensitivity &amp; Scenarios'!$C$18/(1+$C799)^'Sensitivity &amp; Scenarios'!$C$18+('Sensitivity &amp; Scenarios'!$C$6*(1+$E799)^2*$G799+'Sensitivity &amp; Scenarios'!$C$11*'Sensitivity &amp; Scenarios'!$C$6*((1+$E799)^2-(1+$E799)^1))/(1+$C799)^('Sensitivity &amp; Scenarios'!$C$18+1)+('Sensitivity &amp; Scenarios'!$C$6*(1+$E799)^3*$G799+'Sensitivity &amp; Scenarios'!$C$11*'Sensitivity &amp; Scenarios'!$C$6*((1+$E799)^3-(1+$E799)^2))/(1+$C799)^('Sensitivity &amp; Scenarios'!$C$18+2)+('Sensitivity &amp; Scenarios'!$C$6*(1+$E799)^4*$G799+'Sensitivity &amp; Scenarios'!$C$11*'Sensitivity &amp; Scenarios'!$C$6*((1+$E799)^4-(1+$E799)^3))/(1+$C799)^('Sensitivity &amp; Scenarios'!$C$18+3)+('Sensitivity &amp; Scenarios'!$C$6*(1+$E799)^5*$G799+'Sensitivity &amp; Scenarios'!$C$11*'Sensitivity &amp; Scenarios'!$C$6*((1+$E799)^5-(1+$E799)^4))/(1+$C799)^('Sensitivity &amp; Scenarios'!$C$18+4)</f>
        <v>25541.894675547082</v>
      </c>
      <c r="I799" s="209">
        <f>('Sensitivity &amp; Scenarios'!$C$6*(1+$E799)^5*$G799+'Sensitivity &amp; Scenarios'!$C$11*'Sensitivity &amp; Scenarios'!$C$6*((1+$E799)^5-(1+$E799)^4))*(1+$D799)/($C799-$D799)/(1+$C799)^('Sensitivity &amp; Scenarios'!$C$18+4)</f>
        <v>106654.52085493821</v>
      </c>
      <c r="J799" s="209">
        <f>($H799+$I799-'Sensitivity &amp; Scenarios'!$C$15+'Sensitivity &amp; Scenarios'!$C$16)/'Sensitivity &amp; Scenarios'!$C$17</f>
        <v>3069.1339457198287</v>
      </c>
    </row>
    <row r="800" spans="2:10" x14ac:dyDescent="0.3">
      <c r="B800" s="127">
        <v>770</v>
      </c>
      <c r="C800" s="206">
        <f>$D$7+-0.008934*$E$7</f>
        <v>0.13746291943997799</v>
      </c>
      <c r="D800" s="206">
        <f>MIN($D$8+-1.725354*$E$8,'Debt &amp; Cost of Capital'!$C$38)</f>
        <v>4.4647876000000003E-2</v>
      </c>
      <c r="E800" s="207">
        <f>$D$9+-1.258806*$E$9</f>
        <v>0.12945691770254633</v>
      </c>
      <c r="F800" s="207">
        <f>$D$10+1.04803*$E$10</f>
        <v>0.15757635999999992</v>
      </c>
      <c r="G800" s="208">
        <f>$F800*(1-'Sensitivity &amp; Scenarios'!$C$12)+'Sensitivity &amp; Scenarios'!$C$9*'Sensitivity &amp; Scenarios'!$C$12-'Sensitivity &amp; Scenarios'!$C$10</f>
        <v>8.710980827646464E-2</v>
      </c>
      <c r="H800" s="209">
        <f>('Sensitivity &amp; Scenarios'!$C$6*(1+$E800)^1*$G800+'Sensitivity &amp; Scenarios'!$C$11*'Sensitivity &amp; Scenarios'!$C$6*((1+$E800)^1-(1+$E800)^0))*'Sensitivity &amp; Scenarios'!$C$18/(1+$C800)^'Sensitivity &amp; Scenarios'!$C$18+('Sensitivity &amp; Scenarios'!$C$6*(1+$E800)^2*$G800+'Sensitivity &amp; Scenarios'!$C$11*'Sensitivity &amp; Scenarios'!$C$6*((1+$E800)^2-(1+$E800)^1))/(1+$C800)^('Sensitivity &amp; Scenarios'!$C$18+1)+('Sensitivity &amp; Scenarios'!$C$6*(1+$E800)^3*$G800+'Sensitivity &amp; Scenarios'!$C$11*'Sensitivity &amp; Scenarios'!$C$6*((1+$E800)^3-(1+$E800)^2))/(1+$C800)^('Sensitivity &amp; Scenarios'!$C$18+2)+('Sensitivity &amp; Scenarios'!$C$6*(1+$E800)^4*$G800+'Sensitivity &amp; Scenarios'!$C$11*'Sensitivity &amp; Scenarios'!$C$6*((1+$E800)^4-(1+$E800)^3))/(1+$C800)^('Sensitivity &amp; Scenarios'!$C$18+3)+('Sensitivity &amp; Scenarios'!$C$6*(1+$E800)^5*$G800+'Sensitivity &amp; Scenarios'!$C$11*'Sensitivity &amp; Scenarios'!$C$6*((1+$E800)^5-(1+$E800)^4))/(1+$C800)^('Sensitivity &amp; Scenarios'!$C$18+4)</f>
        <v>22391.128390690159</v>
      </c>
      <c r="I800" s="209">
        <f>('Sensitivity &amp; Scenarios'!$C$6*(1+$E800)^5*$G800+'Sensitivity &amp; Scenarios'!$C$11*'Sensitivity &amp; Scenarios'!$C$6*((1+$E800)^5-(1+$E800)^4))*(1+$D800)/($C800-$D800)/(1+$C800)^('Sensitivity &amp; Scenarios'!$C$18+4)</f>
        <v>53691.819137283892</v>
      </c>
      <c r="J800" s="209">
        <f>($H800+$I800-'Sensitivity &amp; Scenarios'!$C$15+'Sensitivity &amp; Scenarios'!$C$16)/'Sensitivity &amp; Scenarios'!$C$17</f>
        <v>1888.0141086686945</v>
      </c>
    </row>
    <row r="801" spans="2:10" x14ac:dyDescent="0.3">
      <c r="B801" s="127">
        <v>771</v>
      </c>
      <c r="C801" s="206">
        <f>$D$7+-0.466417*$E$7</f>
        <v>0.13288808943997799</v>
      </c>
      <c r="D801" s="206">
        <f>MIN($D$8+-1.108803*$E$8,'Debt &amp; Cost of Capital'!$C$38)</f>
        <v>4.8347182000000002E-2</v>
      </c>
      <c r="E801" s="207">
        <f>$D$9+0.22946*$E$9</f>
        <v>0.17410489770254634</v>
      </c>
      <c r="F801" s="207">
        <f>$D$10+-0.522412*$E$10</f>
        <v>0.13873105599999991</v>
      </c>
      <c r="G801" s="208">
        <f>$F801*(1-'Sensitivity &amp; Scenarios'!$C$12)+'Sensitivity &amp; Scenarios'!$C$9*'Sensitivity &amp; Scenarios'!$C$12-'Sensitivity &amp; Scenarios'!$C$10</f>
        <v>7.3007867293264639E-2</v>
      </c>
      <c r="H801" s="209">
        <f>('Sensitivity &amp; Scenarios'!$C$6*(1+$E801)^1*$G801+'Sensitivity &amp; Scenarios'!$C$11*'Sensitivity &amp; Scenarios'!$C$6*((1+$E801)^1-(1+$E801)^0))*'Sensitivity &amp; Scenarios'!$C$18/(1+$C801)^'Sensitivity &amp; Scenarios'!$C$18+('Sensitivity &amp; Scenarios'!$C$6*(1+$E801)^2*$G801+'Sensitivity &amp; Scenarios'!$C$11*'Sensitivity &amp; Scenarios'!$C$6*((1+$E801)^2-(1+$E801)^1))/(1+$C801)^('Sensitivity &amp; Scenarios'!$C$18+1)+('Sensitivity &amp; Scenarios'!$C$6*(1+$E801)^3*$G801+'Sensitivity &amp; Scenarios'!$C$11*'Sensitivity &amp; Scenarios'!$C$6*((1+$E801)^3-(1+$E801)^2))/(1+$C801)^('Sensitivity &amp; Scenarios'!$C$18+2)+('Sensitivity &amp; Scenarios'!$C$6*(1+$E801)^4*$G801+'Sensitivity &amp; Scenarios'!$C$11*'Sensitivity &amp; Scenarios'!$C$6*((1+$E801)^4-(1+$E801)^3))/(1+$C801)^('Sensitivity &amp; Scenarios'!$C$18+3)+('Sensitivity &amp; Scenarios'!$C$6*(1+$E801)^5*$G801+'Sensitivity &amp; Scenarios'!$C$11*'Sensitivity &amp; Scenarios'!$C$6*((1+$E801)^5-(1+$E801)^4))/(1+$C801)^('Sensitivity &amp; Scenarios'!$C$18+4)</f>
        <v>22950.80846518101</v>
      </c>
      <c r="I801" s="209">
        <f>('Sensitivity &amp; Scenarios'!$C$6*(1+$E801)^5*$G801+'Sensitivity &amp; Scenarios'!$C$11*'Sensitivity &amp; Scenarios'!$C$6*((1+$E801)^5-(1+$E801)^4))*(1+$D801)/($C801-$D801)/(1+$C801)^('Sensitivity &amp; Scenarios'!$C$18+4)</f>
        <v>65533.40740363465</v>
      </c>
      <c r="J801" s="209">
        <f>($H801+$I801-'Sensitivity &amp; Scenarios'!$C$15+'Sensitivity &amp; Scenarios'!$C$16)/'Sensitivity &amp; Scenarios'!$C$17</f>
        <v>2149.0456321757911</v>
      </c>
    </row>
    <row r="802" spans="2:10" x14ac:dyDescent="0.3">
      <c r="B802" s="127">
        <v>772</v>
      </c>
      <c r="C802" s="206">
        <f>$D$7+-0.470822*$E$7</f>
        <v>0.13284403943997797</v>
      </c>
      <c r="D802" s="206">
        <f>MIN($D$8+0.739326*$E$8,'Debt &amp; Cost of Capital'!$C$38)</f>
        <v>5.9435955999999998E-2</v>
      </c>
      <c r="E802" s="207">
        <f>$D$9+-1.161733*$E$9</f>
        <v>0.13236910770254634</v>
      </c>
      <c r="F802" s="207">
        <f>$D$10+-0.905365*$E$10</f>
        <v>0.1341356199999999</v>
      </c>
      <c r="G802" s="208">
        <f>$F802*(1-'Sensitivity &amp; Scenarios'!$C$12)+'Sensitivity &amp; Scenarios'!$C$9*'Sensitivity &amp; Scenarios'!$C$12-'Sensitivity &amp; Scenarios'!$C$10</f>
        <v>6.9569102534464633E-2</v>
      </c>
      <c r="H802" s="209">
        <f>('Sensitivity &amp; Scenarios'!$C$6*(1+$E802)^1*$G802+'Sensitivity &amp; Scenarios'!$C$11*'Sensitivity &amp; Scenarios'!$C$6*((1+$E802)^1-(1+$E802)^0))*'Sensitivity &amp; Scenarios'!$C$18/(1+$C802)^'Sensitivity &amp; Scenarios'!$C$18+('Sensitivity &amp; Scenarios'!$C$6*(1+$E802)^2*$G802+'Sensitivity &amp; Scenarios'!$C$11*'Sensitivity &amp; Scenarios'!$C$6*((1+$E802)^2-(1+$E802)^1))/(1+$C802)^('Sensitivity &amp; Scenarios'!$C$18+1)+('Sensitivity &amp; Scenarios'!$C$6*(1+$E802)^3*$G802+'Sensitivity &amp; Scenarios'!$C$11*'Sensitivity &amp; Scenarios'!$C$6*((1+$E802)^3-(1+$E802)^2))/(1+$C802)^('Sensitivity &amp; Scenarios'!$C$18+2)+('Sensitivity &amp; Scenarios'!$C$6*(1+$E802)^4*$G802+'Sensitivity &amp; Scenarios'!$C$11*'Sensitivity &amp; Scenarios'!$C$6*((1+$E802)^4-(1+$E802)^3))/(1+$C802)^('Sensitivity &amp; Scenarios'!$C$18+3)+('Sensitivity &amp; Scenarios'!$C$6*(1+$E802)^5*$G802+'Sensitivity &amp; Scenarios'!$C$11*'Sensitivity &amp; Scenarios'!$C$6*((1+$E802)^5-(1+$E802)^4))/(1+$C802)^('Sensitivity &amp; Scenarios'!$C$18+4)</f>
        <v>18872.140378380231</v>
      </c>
      <c r="I802" s="209">
        <f>('Sensitivity &amp; Scenarios'!$C$6*(1+$E802)^5*$G802+'Sensitivity &amp; Scenarios'!$C$11*'Sensitivity &amp; Scenarios'!$C$6*((1+$E802)^5-(1+$E802)^4))*(1+$D802)/($C802-$D802)/(1+$C802)^('Sensitivity &amp; Scenarios'!$C$18+4)</f>
        <v>58744.310195909136</v>
      </c>
      <c r="J802" s="209">
        <f>($H802+$I802-'Sensitivity &amp; Scenarios'!$C$15+'Sensitivity &amp; Scenarios'!$C$16)/'Sensitivity &amp; Scenarios'!$C$17</f>
        <v>1920.2924712910205</v>
      </c>
    </row>
    <row r="803" spans="2:10" x14ac:dyDescent="0.3">
      <c r="B803" s="127">
        <v>773</v>
      </c>
      <c r="C803" s="206">
        <f>$D$7+0.15408*$E$7</f>
        <v>0.13909305943997799</v>
      </c>
      <c r="D803" s="206">
        <f>MIN($D$8+0.96941*$E$8,'Debt &amp; Cost of Capital'!$C$38)</f>
        <v>6.0816460000000003E-2</v>
      </c>
      <c r="E803" s="207">
        <f>$D$9+1.23816*$E$9</f>
        <v>0.20436589770254635</v>
      </c>
      <c r="F803" s="207">
        <f>$D$10+-0.665062*$E$10</f>
        <v>0.13701925599999989</v>
      </c>
      <c r="G803" s="208">
        <f>$F803*(1-'Sensitivity &amp; Scenarios'!$C$12)+'Sensitivity &amp; Scenarios'!$C$9*'Sensitivity &amp; Scenarios'!$C$12-'Sensitivity &amp; Scenarios'!$C$10</f>
        <v>7.1726927353264622E-2</v>
      </c>
      <c r="H803" s="209">
        <f>('Sensitivity &amp; Scenarios'!$C$6*(1+$E803)^1*$G803+'Sensitivity &amp; Scenarios'!$C$11*'Sensitivity &amp; Scenarios'!$C$6*((1+$E803)^1-(1+$E803)^0))*'Sensitivity &amp; Scenarios'!$C$18/(1+$C803)^'Sensitivity &amp; Scenarios'!$C$18+('Sensitivity &amp; Scenarios'!$C$6*(1+$E803)^2*$G803+'Sensitivity &amp; Scenarios'!$C$11*'Sensitivity &amp; Scenarios'!$C$6*((1+$E803)^2-(1+$E803)^1))/(1+$C803)^('Sensitivity &amp; Scenarios'!$C$18+1)+('Sensitivity &amp; Scenarios'!$C$6*(1+$E803)^3*$G803+'Sensitivity &amp; Scenarios'!$C$11*'Sensitivity &amp; Scenarios'!$C$6*((1+$E803)^3-(1+$E803)^2))/(1+$C803)^('Sensitivity &amp; Scenarios'!$C$18+2)+('Sensitivity &amp; Scenarios'!$C$6*(1+$E803)^4*$G803+'Sensitivity &amp; Scenarios'!$C$11*'Sensitivity &amp; Scenarios'!$C$6*((1+$E803)^4-(1+$E803)^3))/(1+$C803)^('Sensitivity &amp; Scenarios'!$C$18+3)+('Sensitivity &amp; Scenarios'!$C$6*(1+$E803)^5*$G803+'Sensitivity &amp; Scenarios'!$C$11*'Sensitivity &amp; Scenarios'!$C$6*((1+$E803)^5-(1+$E803)^4))/(1+$C803)^('Sensitivity &amp; Scenarios'!$C$18+4)</f>
        <v>24830.599404617973</v>
      </c>
      <c r="I803" s="209">
        <f>('Sensitivity &amp; Scenarios'!$C$6*(1+$E803)^5*$G803+'Sensitivity &amp; Scenarios'!$C$11*'Sensitivity &amp; Scenarios'!$C$6*((1+$E803)^5-(1+$E803)^4))*(1+$D803)/($C803-$D803)/(1+$C803)^('Sensitivity &amp; Scenarios'!$C$18+4)</f>
        <v>80257.753449916971</v>
      </c>
      <c r="J803" s="209">
        <f>($H803+$I803-'Sensitivity &amp; Scenarios'!$C$15+'Sensitivity &amp; Scenarios'!$C$16)/'Sensitivity &amp; Scenarios'!$C$17</f>
        <v>2498.5423977307159</v>
      </c>
    </row>
    <row r="804" spans="2:10" x14ac:dyDescent="0.3">
      <c r="B804" s="127">
        <v>774</v>
      </c>
      <c r="C804" s="206">
        <f>$D$7+0.937377*$E$7</f>
        <v>0.14692602943997798</v>
      </c>
      <c r="D804" s="206">
        <f>MIN($D$8+-0.784142*$E$8,'Debt &amp; Cost of Capital'!$C$38)</f>
        <v>5.0295147999999998E-2</v>
      </c>
      <c r="E804" s="207">
        <f>$D$9+1.826209*$E$9</f>
        <v>0.22200736770254634</v>
      </c>
      <c r="F804" s="207">
        <f>$D$10+-1.133771*$E$10</f>
        <v>0.13139474799999989</v>
      </c>
      <c r="G804" s="208">
        <f>$F804*(1-'Sensitivity &amp; Scenarios'!$C$12)+'Sensitivity &amp; Scenarios'!$C$9*'Sensitivity &amp; Scenarios'!$C$12-'Sensitivity &amp; Scenarios'!$C$10</f>
        <v>6.7518108016864628E-2</v>
      </c>
      <c r="H804" s="209">
        <f>('Sensitivity &amp; Scenarios'!$C$6*(1+$E804)^1*$G804+'Sensitivity &amp; Scenarios'!$C$11*'Sensitivity &amp; Scenarios'!$C$6*((1+$E804)^1-(1+$E804)^0))*'Sensitivity &amp; Scenarios'!$C$18/(1+$C804)^'Sensitivity &amp; Scenarios'!$C$18+('Sensitivity &amp; Scenarios'!$C$6*(1+$E804)^2*$G804+'Sensitivity &amp; Scenarios'!$C$11*'Sensitivity &amp; Scenarios'!$C$6*((1+$E804)^2-(1+$E804)^1))/(1+$C804)^('Sensitivity &amp; Scenarios'!$C$18+1)+('Sensitivity &amp; Scenarios'!$C$6*(1+$E804)^3*$G804+'Sensitivity &amp; Scenarios'!$C$11*'Sensitivity &amp; Scenarios'!$C$6*((1+$E804)^3-(1+$E804)^2))/(1+$C804)^('Sensitivity &amp; Scenarios'!$C$18+2)+('Sensitivity &amp; Scenarios'!$C$6*(1+$E804)^4*$G804+'Sensitivity &amp; Scenarios'!$C$11*'Sensitivity &amp; Scenarios'!$C$6*((1+$E804)^4-(1+$E804)^3))/(1+$C804)^('Sensitivity &amp; Scenarios'!$C$18+3)+('Sensitivity &amp; Scenarios'!$C$6*(1+$E804)^5*$G804+'Sensitivity &amp; Scenarios'!$C$11*'Sensitivity &amp; Scenarios'!$C$6*((1+$E804)^5-(1+$E804)^4))/(1+$C804)^('Sensitivity &amp; Scenarios'!$C$18+4)</f>
        <v>24709.997803283746</v>
      </c>
      <c r="I804" s="209">
        <f>('Sensitivity &amp; Scenarios'!$C$6*(1+$E804)^5*$G804+'Sensitivity &amp; Scenarios'!$C$11*'Sensitivity &amp; Scenarios'!$C$6*((1+$E804)^5-(1+$E804)^4))*(1+$D804)/($C804-$D804)/(1+$C804)^('Sensitivity &amp; Scenarios'!$C$18+4)</f>
        <v>64915.636758571629</v>
      </c>
      <c r="J804" s="209">
        <f>($H804+$I804-'Sensitivity &amp; Scenarios'!$C$15+'Sensitivity &amp; Scenarios'!$C$16)/'Sensitivity &amp; Scenarios'!$C$17</f>
        <v>2173.0710989437666</v>
      </c>
    </row>
    <row r="805" spans="2:10" x14ac:dyDescent="0.3">
      <c r="B805" s="127">
        <v>775</v>
      </c>
      <c r="C805" s="206">
        <f>$D$7+1.328479*$E$7</f>
        <v>0.15083704943997797</v>
      </c>
      <c r="D805" s="206">
        <f>MIN($D$8+-0.656486*$E$8,'Debt &amp; Cost of Capital'!$C$38)</f>
        <v>5.1061084E-2</v>
      </c>
      <c r="E805" s="207">
        <f>$D$9+2.013246*$E$9</f>
        <v>0.22761847770254634</v>
      </c>
      <c r="F805" s="207">
        <f>$D$10+0.591321*$E$10</f>
        <v>0.15209585199999992</v>
      </c>
      <c r="G805" s="208">
        <f>$F805*(1-'Sensitivity &amp; Scenarios'!$C$12)+'Sensitivity &amp; Scenarios'!$C$9*'Sensitivity &amp; Scenarios'!$C$12-'Sensitivity &amp; Scenarios'!$C$10</f>
        <v>8.300874414006465E-2</v>
      </c>
      <c r="H805" s="209">
        <f>('Sensitivity &amp; Scenarios'!$C$6*(1+$E805)^1*$G805+'Sensitivity &amp; Scenarios'!$C$11*'Sensitivity &amp; Scenarios'!$C$6*((1+$E805)^1-(1+$E805)^0))*'Sensitivity &amp; Scenarios'!$C$18/(1+$C805)^'Sensitivity &amp; Scenarios'!$C$18+('Sensitivity &amp; Scenarios'!$C$6*(1+$E805)^2*$G805+'Sensitivity &amp; Scenarios'!$C$11*'Sensitivity &amp; Scenarios'!$C$6*((1+$E805)^2-(1+$E805)^1))/(1+$C805)^('Sensitivity &amp; Scenarios'!$C$18+1)+('Sensitivity &amp; Scenarios'!$C$6*(1+$E805)^3*$G805+'Sensitivity &amp; Scenarios'!$C$11*'Sensitivity &amp; Scenarios'!$C$6*((1+$E805)^3-(1+$E805)^2))/(1+$C805)^('Sensitivity &amp; Scenarios'!$C$18+2)+('Sensitivity &amp; Scenarios'!$C$6*(1+$E805)^4*$G805+'Sensitivity &amp; Scenarios'!$C$11*'Sensitivity &amp; Scenarios'!$C$6*((1+$E805)^4-(1+$E805)^3))/(1+$C805)^('Sensitivity &amp; Scenarios'!$C$18+3)+('Sensitivity &amp; Scenarios'!$C$6*(1+$E805)^5*$G805+'Sensitivity &amp; Scenarios'!$C$11*'Sensitivity &amp; Scenarios'!$C$6*((1+$E805)^5-(1+$E805)^4))/(1+$C805)^('Sensitivity &amp; Scenarios'!$C$18+4)</f>
        <v>29350.028406212186</v>
      </c>
      <c r="I805" s="209">
        <f>('Sensitivity &amp; Scenarios'!$C$6*(1+$E805)^5*$G805+'Sensitivity &amp; Scenarios'!$C$11*'Sensitivity &amp; Scenarios'!$C$6*((1+$E805)^5-(1+$E805)^4))*(1+$D805)/($C805-$D805)/(1+$C805)^('Sensitivity &amp; Scenarios'!$C$18+4)</f>
        <v>74881.402759668083</v>
      </c>
      <c r="J805" s="209">
        <f>($H805+$I805-'Sensitivity &amp; Scenarios'!$C$15+'Sensitivity &amp; Scenarios'!$C$16)/'Sensitivity &amp; Scenarios'!$C$17</f>
        <v>2480.5052447744224</v>
      </c>
    </row>
    <row r="806" spans="2:10" x14ac:dyDescent="0.3">
      <c r="B806" s="127">
        <v>776</v>
      </c>
      <c r="C806" s="206">
        <f>$D$7+-1.016017*$E$7</f>
        <v>0.12739208943997798</v>
      </c>
      <c r="D806" s="206">
        <f>MIN($D$8+-0.522238*$E$8,'Debt &amp; Cost of Capital'!$C$38)</f>
        <v>5.1866572E-2</v>
      </c>
      <c r="E806" s="207">
        <f>$D$9+0.781181*$E$9</f>
        <v>0.19065652770254635</v>
      </c>
      <c r="F806" s="207">
        <f>$D$10+1.052644*$E$10</f>
        <v>0.15763172799999992</v>
      </c>
      <c r="G806" s="208">
        <f>$F806*(1-'Sensitivity &amp; Scenarios'!$C$12)+'Sensitivity &amp; Scenarios'!$C$9*'Sensitivity &amp; Scenarios'!$C$12-'Sensitivity &amp; Scenarios'!$C$10</f>
        <v>8.7151240150864645E-2</v>
      </c>
      <c r="H806" s="209">
        <f>('Sensitivity &amp; Scenarios'!$C$6*(1+$E806)^1*$G806+'Sensitivity &amp; Scenarios'!$C$11*'Sensitivity &amp; Scenarios'!$C$6*((1+$E806)^1-(1+$E806)^0))*'Sensitivity &amp; Scenarios'!$C$18/(1+$C806)^'Sensitivity &amp; Scenarios'!$C$18+('Sensitivity &amp; Scenarios'!$C$6*(1+$E806)^2*$G806+'Sensitivity &amp; Scenarios'!$C$11*'Sensitivity &amp; Scenarios'!$C$6*((1+$E806)^2-(1+$E806)^1))/(1+$C806)^('Sensitivity &amp; Scenarios'!$C$18+1)+('Sensitivity &amp; Scenarios'!$C$6*(1+$E806)^3*$G806+'Sensitivity &amp; Scenarios'!$C$11*'Sensitivity &amp; Scenarios'!$C$6*((1+$E806)^3-(1+$E806)^2))/(1+$C806)^('Sensitivity &amp; Scenarios'!$C$18+2)+('Sensitivity &amp; Scenarios'!$C$6*(1+$E806)^4*$G806+'Sensitivity &amp; Scenarios'!$C$11*'Sensitivity &amp; Scenarios'!$C$6*((1+$E806)^4-(1+$E806)^3))/(1+$C806)^('Sensitivity &amp; Scenarios'!$C$18+3)+('Sensitivity &amp; Scenarios'!$C$6*(1+$E806)^5*$G806+'Sensitivity &amp; Scenarios'!$C$11*'Sensitivity &amp; Scenarios'!$C$6*((1+$E806)^5-(1+$E806)^4))/(1+$C806)^('Sensitivity &amp; Scenarios'!$C$18+4)</f>
        <v>28565.138211397301</v>
      </c>
      <c r="I806" s="209">
        <f>('Sensitivity &amp; Scenarios'!$C$6*(1+$E806)^5*$G806+'Sensitivity &amp; Scenarios'!$C$11*'Sensitivity &amp; Scenarios'!$C$6*((1+$E806)^5-(1+$E806)^4))*(1+$D806)/($C806-$D806)/(1+$C806)^('Sensitivity &amp; Scenarios'!$C$18+4)</f>
        <v>94698.968381184735</v>
      </c>
      <c r="J806" s="209">
        <f>($H806+$I806-'Sensitivity &amp; Scenarios'!$C$15+'Sensitivity &amp; Scenarios'!$C$16)/'Sensitivity &amp; Scenarios'!$C$17</f>
        <v>2881.1197727809094</v>
      </c>
    </row>
    <row r="807" spans="2:10" x14ac:dyDescent="0.3">
      <c r="B807" s="127">
        <v>777</v>
      </c>
      <c r="C807" s="206">
        <f>$D$7+-0.070716*$E$7</f>
        <v>0.13684509943997797</v>
      </c>
      <c r="D807" s="206">
        <f>MIN($D$8+0.044658*$E$8,'Debt &amp; Cost of Capital'!$C$38)</f>
        <v>5.5267947999999997E-2</v>
      </c>
      <c r="E807" s="207">
        <f>$D$9+0.758353*$E$9</f>
        <v>0.18997168770254635</v>
      </c>
      <c r="F807" s="207">
        <f>$D$10+0.131798*$E$10</f>
        <v>0.14658157599999991</v>
      </c>
      <c r="G807" s="208">
        <f>$F807*(1-'Sensitivity &amp; Scenarios'!$C$12)+'Sensitivity &amp; Scenarios'!$C$9*'Sensitivity &amp; Scenarios'!$C$12-'Sensitivity &amp; Scenarios'!$C$10</f>
        <v>7.8882411409264636E-2</v>
      </c>
      <c r="H807" s="209">
        <f>('Sensitivity &amp; Scenarios'!$C$6*(1+$E807)^1*$G807+'Sensitivity &amp; Scenarios'!$C$11*'Sensitivity &amp; Scenarios'!$C$6*((1+$E807)^1-(1+$E807)^0))*'Sensitivity &amp; Scenarios'!$C$18/(1+$C807)^'Sensitivity &amp; Scenarios'!$C$18+('Sensitivity &amp; Scenarios'!$C$6*(1+$E807)^2*$G807+'Sensitivity &amp; Scenarios'!$C$11*'Sensitivity &amp; Scenarios'!$C$6*((1+$E807)^2-(1+$E807)^1))/(1+$C807)^('Sensitivity &amp; Scenarios'!$C$18+1)+('Sensitivity &amp; Scenarios'!$C$6*(1+$E807)^3*$G807+'Sensitivity &amp; Scenarios'!$C$11*'Sensitivity &amp; Scenarios'!$C$6*((1+$E807)^3-(1+$E807)^2))/(1+$C807)^('Sensitivity &amp; Scenarios'!$C$18+2)+('Sensitivity &amp; Scenarios'!$C$6*(1+$E807)^4*$G807+'Sensitivity &amp; Scenarios'!$C$11*'Sensitivity &amp; Scenarios'!$C$6*((1+$E807)^4-(1+$E807)^3))/(1+$C807)^('Sensitivity &amp; Scenarios'!$C$18+3)+('Sensitivity &amp; Scenarios'!$C$6*(1+$E807)^5*$G807+'Sensitivity &amp; Scenarios'!$C$11*'Sensitivity &amp; Scenarios'!$C$6*((1+$E807)^5-(1+$E807)^4))/(1+$C807)^('Sensitivity &amp; Scenarios'!$C$18+4)</f>
        <v>25622.873905770721</v>
      </c>
      <c r="I807" s="209">
        <f>('Sensitivity &amp; Scenarios'!$C$6*(1+$E807)^5*$G807+'Sensitivity &amp; Scenarios'!$C$11*'Sensitivity &amp; Scenarios'!$C$6*((1+$E807)^5-(1+$E807)^4))*(1+$D807)/($C807-$D807)/(1+$C807)^('Sensitivity &amp; Scenarios'!$C$18+4)</f>
        <v>77674.32867401636</v>
      </c>
      <c r="J807" s="209">
        <f>($H807+$I807-'Sensitivity &amp; Scenarios'!$C$15+'Sensitivity &amp; Scenarios'!$C$16)/'Sensitivity &amp; Scenarios'!$C$17</f>
        <v>2460.8408762252266</v>
      </c>
    </row>
    <row r="808" spans="2:10" x14ac:dyDescent="0.3">
      <c r="B808" s="127">
        <v>778</v>
      </c>
      <c r="C808" s="206">
        <f>$D$7+-1.293505*$E$7</f>
        <v>0.12461720943997798</v>
      </c>
      <c r="D808" s="206">
        <f>MIN($D$8+-0.812974*$E$8,'Debt &amp; Cost of Capital'!$C$38)</f>
        <v>5.0122156000000001E-2</v>
      </c>
      <c r="E808" s="207">
        <f>$D$9+0.23512*$E$9</f>
        <v>0.17427469770254633</v>
      </c>
      <c r="F808" s="207">
        <f>$D$10+1.215482*$E$10</f>
        <v>0.1595857839999999</v>
      </c>
      <c r="G808" s="208">
        <f>$F808*(1-'Sensitivity &amp; Scenarios'!$C$12)+'Sensitivity &amp; Scenarios'!$C$9*'Sensitivity &amp; Scenarios'!$C$12-'Sensitivity &amp; Scenarios'!$C$10</f>
        <v>8.8613460255664633E-2</v>
      </c>
      <c r="H808" s="209">
        <f>('Sensitivity &amp; Scenarios'!$C$6*(1+$E808)^1*$G808+'Sensitivity &amp; Scenarios'!$C$11*'Sensitivity &amp; Scenarios'!$C$6*((1+$E808)^1-(1+$E808)^0))*'Sensitivity &amp; Scenarios'!$C$18/(1+$C808)^'Sensitivity &amp; Scenarios'!$C$18+('Sensitivity &amp; Scenarios'!$C$6*(1+$E808)^2*$G808+'Sensitivity &amp; Scenarios'!$C$11*'Sensitivity &amp; Scenarios'!$C$6*((1+$E808)^2-(1+$E808)^1))/(1+$C808)^('Sensitivity &amp; Scenarios'!$C$18+1)+('Sensitivity &amp; Scenarios'!$C$6*(1+$E808)^3*$G808+'Sensitivity &amp; Scenarios'!$C$11*'Sensitivity &amp; Scenarios'!$C$6*((1+$E808)^3-(1+$E808)^2))/(1+$C808)^('Sensitivity &amp; Scenarios'!$C$18+2)+('Sensitivity &amp; Scenarios'!$C$6*(1+$E808)^4*$G808+'Sensitivity &amp; Scenarios'!$C$11*'Sensitivity &amp; Scenarios'!$C$6*((1+$E808)^4-(1+$E808)^3))/(1+$C808)^('Sensitivity &amp; Scenarios'!$C$18+3)+('Sensitivity &amp; Scenarios'!$C$6*(1+$E808)^5*$G808+'Sensitivity &amp; Scenarios'!$C$11*'Sensitivity &amp; Scenarios'!$C$6*((1+$E808)^5-(1+$E808)^4))/(1+$C808)^('Sensitivity &amp; Scenarios'!$C$18+4)</f>
        <v>27548.653204076269</v>
      </c>
      <c r="I808" s="209">
        <f>('Sensitivity &amp; Scenarios'!$C$6*(1+$E808)^5*$G808+'Sensitivity &amp; Scenarios'!$C$11*'Sensitivity &amp; Scenarios'!$C$6*((1+$E808)^5-(1+$E808)^4))*(1+$D808)/($C808-$D808)/(1+$C808)^('Sensitivity &amp; Scenarios'!$C$18+4)</f>
        <v>90611.481462154974</v>
      </c>
      <c r="J808" s="209">
        <f>($H808+$I808-'Sensitivity &amp; Scenarios'!$C$15+'Sensitivity &amp; Scenarios'!$C$16)/'Sensitivity &amp; Scenarios'!$C$17</f>
        <v>2773.6874093116749</v>
      </c>
    </row>
    <row r="809" spans="2:10" x14ac:dyDescent="0.3">
      <c r="B809" s="127">
        <v>779</v>
      </c>
      <c r="C809" s="206">
        <f>$D$7+1.615982*$E$7</f>
        <v>0.15371207943997797</v>
      </c>
      <c r="D809" s="206">
        <f>MIN($D$8+0.779529*$E$8,'Debt &amp; Cost of Capital'!$C$38)</f>
        <v>5.9677173999999999E-2</v>
      </c>
      <c r="E809" s="207">
        <f>$D$9+0.287291*$E$9</f>
        <v>0.17583982770254633</v>
      </c>
      <c r="F809" s="207">
        <f>$D$10+0.748814*$E$10</f>
        <v>0.15398576799999991</v>
      </c>
      <c r="G809" s="208">
        <f>$F809*(1-'Sensitivity &amp; Scenarios'!$C$12)+'Sensitivity &amp; Scenarios'!$C$9*'Sensitivity &amp; Scenarios'!$C$12-'Sensitivity &amp; Scenarios'!$C$10</f>
        <v>8.4422968282864636E-2</v>
      </c>
      <c r="H809" s="209">
        <f>('Sensitivity &amp; Scenarios'!$C$6*(1+$E809)^1*$G809+'Sensitivity &amp; Scenarios'!$C$11*'Sensitivity &amp; Scenarios'!$C$6*((1+$E809)^1-(1+$E809)^0))*'Sensitivity &amp; Scenarios'!$C$18/(1+$C809)^'Sensitivity &amp; Scenarios'!$C$18+('Sensitivity &amp; Scenarios'!$C$6*(1+$E809)^2*$G809+'Sensitivity &amp; Scenarios'!$C$11*'Sensitivity &amp; Scenarios'!$C$6*((1+$E809)^2-(1+$E809)^1))/(1+$C809)^('Sensitivity &amp; Scenarios'!$C$18+1)+('Sensitivity &amp; Scenarios'!$C$6*(1+$E809)^3*$G809+'Sensitivity &amp; Scenarios'!$C$11*'Sensitivity &amp; Scenarios'!$C$6*((1+$E809)^3-(1+$E809)^2))/(1+$C809)^('Sensitivity &amp; Scenarios'!$C$18+2)+('Sensitivity &amp; Scenarios'!$C$6*(1+$E809)^4*$G809+'Sensitivity &amp; Scenarios'!$C$11*'Sensitivity &amp; Scenarios'!$C$6*((1+$E809)^4-(1+$E809)^3))/(1+$C809)^('Sensitivity &amp; Scenarios'!$C$18+3)+('Sensitivity &amp; Scenarios'!$C$6*(1+$E809)^5*$G809+'Sensitivity &amp; Scenarios'!$C$11*'Sensitivity &amp; Scenarios'!$C$6*((1+$E809)^5-(1+$E809)^4))/(1+$C809)^('Sensitivity &amp; Scenarios'!$C$18+4)</f>
        <v>24729.19196496821</v>
      </c>
      <c r="I809" s="209">
        <f>('Sensitivity &amp; Scenarios'!$C$6*(1+$E809)^5*$G809+'Sensitivity &amp; Scenarios'!$C$11*'Sensitivity &amp; Scenarios'!$C$6*((1+$E809)^5-(1+$E809)^4))*(1+$D809)/($C809-$D809)/(1+$C809)^('Sensitivity &amp; Scenarios'!$C$18+4)</f>
        <v>62272.351480167075</v>
      </c>
      <c r="J809" s="209">
        <f>($H809+$I809-'Sensitivity &amp; Scenarios'!$C$15+'Sensitivity &amp; Scenarios'!$C$16)/'Sensitivity &amp; Scenarios'!$C$17</f>
        <v>2117.8371919599913</v>
      </c>
    </row>
    <row r="810" spans="2:10" x14ac:dyDescent="0.3">
      <c r="B810" s="127">
        <v>780</v>
      </c>
      <c r="C810" s="206">
        <f>$D$7+-0.666751*$E$7</f>
        <v>0.13088474943997799</v>
      </c>
      <c r="D810" s="206">
        <f>MIN($D$8+-0.153231*$E$8,'Debt &amp; Cost of Capital'!$C$38)</f>
        <v>5.4080613999999999E-2</v>
      </c>
      <c r="E810" s="207">
        <f>$D$9+-0.824131*$E$9</f>
        <v>0.14249716770254633</v>
      </c>
      <c r="F810" s="207">
        <f>$D$10+-1.248743*$E$10</f>
        <v>0.13001508399999992</v>
      </c>
      <c r="G810" s="208">
        <f>$F810*(1-'Sensitivity &amp; Scenarios'!$C$12)+'Sensitivity &amp; Scenarios'!$C$9*'Sensitivity &amp; Scenarios'!$C$12-'Sensitivity &amp; Scenarios'!$C$10</f>
        <v>6.648570544566465E-2</v>
      </c>
      <c r="H810" s="209">
        <f>('Sensitivity &amp; Scenarios'!$C$6*(1+$E810)^1*$G810+'Sensitivity &amp; Scenarios'!$C$11*'Sensitivity &amp; Scenarios'!$C$6*((1+$E810)^1-(1+$E810)^0))*'Sensitivity &amp; Scenarios'!$C$18/(1+$C810)^'Sensitivity &amp; Scenarios'!$C$18+('Sensitivity &amp; Scenarios'!$C$6*(1+$E810)^2*$G810+'Sensitivity &amp; Scenarios'!$C$11*'Sensitivity &amp; Scenarios'!$C$6*((1+$E810)^2-(1+$E810)^1))/(1+$C810)^('Sensitivity &amp; Scenarios'!$C$18+1)+('Sensitivity &amp; Scenarios'!$C$6*(1+$E810)^3*$G810+'Sensitivity &amp; Scenarios'!$C$11*'Sensitivity &amp; Scenarios'!$C$6*((1+$E810)^3-(1+$E810)^2))/(1+$C810)^('Sensitivity &amp; Scenarios'!$C$18+2)+('Sensitivity &amp; Scenarios'!$C$6*(1+$E810)^4*$G810+'Sensitivity &amp; Scenarios'!$C$11*'Sensitivity &amp; Scenarios'!$C$6*((1+$E810)^4-(1+$E810)^3))/(1+$C810)^('Sensitivity &amp; Scenarios'!$C$18+3)+('Sensitivity &amp; Scenarios'!$C$6*(1+$E810)^5*$G810+'Sensitivity &amp; Scenarios'!$C$11*'Sensitivity &amp; Scenarios'!$C$6*((1+$E810)^5-(1+$E810)^4))/(1+$C810)^('Sensitivity &amp; Scenarios'!$C$18+4)</f>
        <v>18980.411806853284</v>
      </c>
      <c r="I810" s="209">
        <f>('Sensitivity &amp; Scenarios'!$C$6*(1+$E810)^5*$G810+'Sensitivity &amp; Scenarios'!$C$11*'Sensitivity &amp; Scenarios'!$C$6*((1+$E810)^5-(1+$E810)^4))*(1+$D810)/($C810-$D810)/(1+$C810)^('Sensitivity &amp; Scenarios'!$C$18+4)</f>
        <v>57289.279849601226</v>
      </c>
      <c r="J810" s="209">
        <f>($H810+$I810-'Sensitivity &amp; Scenarios'!$C$15+'Sensitivity &amp; Scenarios'!$C$16)/'Sensitivity &amp; Scenarios'!$C$17</f>
        <v>1891.9448440599056</v>
      </c>
    </row>
    <row r="811" spans="2:10" x14ac:dyDescent="0.3">
      <c r="B811" s="127">
        <v>781</v>
      </c>
      <c r="C811" s="206">
        <f>$D$7+0.333549*$E$7</f>
        <v>0.14088774943997798</v>
      </c>
      <c r="D811" s="206">
        <f>MIN($D$8+0.185513*$E$8,'Debt &amp; Cost of Capital'!$C$38)</f>
        <v>5.6113077999999997E-2</v>
      </c>
      <c r="E811" s="207">
        <f>$D$9+0.687652*$E$9</f>
        <v>0.18785065770254633</v>
      </c>
      <c r="F811" s="207">
        <f>$D$10+0.546112*$E$10</f>
        <v>0.1515533439999999</v>
      </c>
      <c r="G811" s="208">
        <f>$F811*(1-'Sensitivity &amp; Scenarios'!$C$12)+'Sensitivity &amp; Scenarios'!$C$9*'Sensitivity &amp; Scenarios'!$C$12-'Sensitivity &amp; Scenarios'!$C$10</f>
        <v>8.2602785403664628E-2</v>
      </c>
      <c r="H811" s="209">
        <f>('Sensitivity &amp; Scenarios'!$C$6*(1+$E811)^1*$G811+'Sensitivity &amp; Scenarios'!$C$11*'Sensitivity &amp; Scenarios'!$C$6*((1+$E811)^1-(1+$E811)^0))*'Sensitivity &amp; Scenarios'!$C$18/(1+$C811)^'Sensitivity &amp; Scenarios'!$C$18+('Sensitivity &amp; Scenarios'!$C$6*(1+$E811)^2*$G811+'Sensitivity &amp; Scenarios'!$C$11*'Sensitivity &amp; Scenarios'!$C$6*((1+$E811)^2-(1+$E811)^1))/(1+$C811)^('Sensitivity &amp; Scenarios'!$C$18+1)+('Sensitivity &amp; Scenarios'!$C$6*(1+$E811)^3*$G811+'Sensitivity &amp; Scenarios'!$C$11*'Sensitivity &amp; Scenarios'!$C$6*((1+$E811)^3-(1+$E811)^2))/(1+$C811)^('Sensitivity &amp; Scenarios'!$C$18+2)+('Sensitivity &amp; Scenarios'!$C$6*(1+$E811)^4*$G811+'Sensitivity &amp; Scenarios'!$C$11*'Sensitivity &amp; Scenarios'!$C$6*((1+$E811)^4-(1+$E811)^3))/(1+$C811)^('Sensitivity &amp; Scenarios'!$C$18+3)+('Sensitivity &amp; Scenarios'!$C$6*(1+$E811)^5*$G811+'Sensitivity &amp; Scenarios'!$C$11*'Sensitivity &amp; Scenarios'!$C$6*((1+$E811)^5-(1+$E811)^4))/(1+$C811)^('Sensitivity &amp; Scenarios'!$C$18+4)</f>
        <v>26146.831284736418</v>
      </c>
      <c r="I811" s="209">
        <f>('Sensitivity &amp; Scenarios'!$C$6*(1+$E811)^5*$G811+'Sensitivity &amp; Scenarios'!$C$11*'Sensitivity &amp; Scenarios'!$C$6*((1+$E811)^5-(1+$E811)^4))*(1+$D811)/($C811-$D811)/(1+$C811)^('Sensitivity &amp; Scenarios'!$C$18+4)</f>
        <v>75619.43942158451</v>
      </c>
      <c r="J811" s="209">
        <f>($H811+$I811-'Sensitivity &amp; Scenarios'!$C$15+'Sensitivity &amp; Scenarios'!$C$16)/'Sensitivity &amp; Scenarios'!$C$17</f>
        <v>2428.616633645106</v>
      </c>
    </row>
    <row r="812" spans="2:10" x14ac:dyDescent="0.3">
      <c r="B812" s="127">
        <v>782</v>
      </c>
      <c r="C812" s="206">
        <f>$D$7+0.242644*$E$7</f>
        <v>0.13997869943997798</v>
      </c>
      <c r="D812" s="206">
        <f>MIN($D$8+0.556617*$E$8,'Debt &amp; Cost of Capital'!$C$38)</f>
        <v>5.8339702E-2</v>
      </c>
      <c r="E812" s="207">
        <f>$D$9+-0.042683*$E$9</f>
        <v>0.16594060770254634</v>
      </c>
      <c r="F812" s="207">
        <f>$D$10+0.412891*$E$10</f>
        <v>0.14995469199999992</v>
      </c>
      <c r="G812" s="208">
        <f>$F812*(1-'Sensitivity &amp; Scenarios'!$C$12)+'Sensitivity &amp; Scenarios'!$C$9*'Sensitivity &amp; Scenarios'!$C$12-'Sensitivity &amp; Scenarios'!$C$10</f>
        <v>8.1406514112064648E-2</v>
      </c>
      <c r="H812" s="209">
        <f>('Sensitivity &amp; Scenarios'!$C$6*(1+$E812)^1*$G812+'Sensitivity &amp; Scenarios'!$C$11*'Sensitivity &amp; Scenarios'!$C$6*((1+$E812)^1-(1+$E812)^0))*'Sensitivity &amp; Scenarios'!$C$18/(1+$C812)^'Sensitivity &amp; Scenarios'!$C$18+('Sensitivity &amp; Scenarios'!$C$6*(1+$E812)^2*$G812+'Sensitivity &amp; Scenarios'!$C$11*'Sensitivity &amp; Scenarios'!$C$6*((1+$E812)^2-(1+$E812)^1))/(1+$C812)^('Sensitivity &amp; Scenarios'!$C$18+1)+('Sensitivity &amp; Scenarios'!$C$6*(1+$E812)^3*$G812+'Sensitivity &amp; Scenarios'!$C$11*'Sensitivity &amp; Scenarios'!$C$6*((1+$E812)^3-(1+$E812)^2))/(1+$C812)^('Sensitivity &amp; Scenarios'!$C$18+2)+('Sensitivity &amp; Scenarios'!$C$6*(1+$E812)^4*$G812+'Sensitivity &amp; Scenarios'!$C$11*'Sensitivity &amp; Scenarios'!$C$6*((1+$E812)^4-(1+$E812)^3))/(1+$C812)^('Sensitivity &amp; Scenarios'!$C$18+3)+('Sensitivity &amp; Scenarios'!$C$6*(1+$E812)^5*$G812+'Sensitivity &amp; Scenarios'!$C$11*'Sensitivity &amp; Scenarios'!$C$6*((1+$E812)^5-(1+$E812)^4))/(1+$C812)^('Sensitivity &amp; Scenarios'!$C$18+4)</f>
        <v>23958.680662726947</v>
      </c>
      <c r="I812" s="209">
        <f>('Sensitivity &amp; Scenarios'!$C$6*(1+$E812)^5*$G812+'Sensitivity &amp; Scenarios'!$C$11*'Sensitivity &amp; Scenarios'!$C$6*((1+$E812)^5-(1+$E812)^4))*(1+$D812)/($C812-$D812)/(1+$C812)^('Sensitivity &amp; Scenarios'!$C$18+4)</f>
        <v>69847.235769488689</v>
      </c>
      <c r="J812" s="209">
        <f>($H812+$I812-'Sensitivity &amp; Scenarios'!$C$15+'Sensitivity &amp; Scenarios'!$C$16)/'Sensitivity &amp; Scenarios'!$C$17</f>
        <v>2261.0609170267753</v>
      </c>
    </row>
    <row r="813" spans="2:10" x14ac:dyDescent="0.3">
      <c r="B813" s="127">
        <v>783</v>
      </c>
      <c r="C813" s="206">
        <f>$D$7+-0.726144*$E$7</f>
        <v>0.13029081943997797</v>
      </c>
      <c r="D813" s="206">
        <f>MIN($D$8+0.369706*$E$8,'Debt &amp; Cost of Capital'!$C$38)</f>
        <v>5.7218235999999999E-2</v>
      </c>
      <c r="E813" s="207">
        <f>$D$9+0.668418*$E$9</f>
        <v>0.18727363770254635</v>
      </c>
      <c r="F813" s="207">
        <f>$D$10+-0.669681*$E$10</f>
        <v>0.1369638279999999</v>
      </c>
      <c r="G813" s="208">
        <f>$F813*(1-'Sensitivity &amp; Scenarios'!$C$12)+'Sensitivity &amp; Scenarios'!$C$9*'Sensitivity &amp; Scenarios'!$C$12-'Sensitivity &amp; Scenarios'!$C$10</f>
        <v>7.1685450580864632E-2</v>
      </c>
      <c r="H813" s="209">
        <f>('Sensitivity &amp; Scenarios'!$C$6*(1+$E813)^1*$G813+'Sensitivity &amp; Scenarios'!$C$11*'Sensitivity &amp; Scenarios'!$C$6*((1+$E813)^1-(1+$E813)^0))*'Sensitivity &amp; Scenarios'!$C$18/(1+$C813)^'Sensitivity &amp; Scenarios'!$C$18+('Sensitivity &amp; Scenarios'!$C$6*(1+$E813)^2*$G813+'Sensitivity &amp; Scenarios'!$C$11*'Sensitivity &amp; Scenarios'!$C$6*((1+$E813)^2-(1+$E813)^1))/(1+$C813)^('Sensitivity &amp; Scenarios'!$C$18+1)+('Sensitivity &amp; Scenarios'!$C$6*(1+$E813)^3*$G813+'Sensitivity &amp; Scenarios'!$C$11*'Sensitivity &amp; Scenarios'!$C$6*((1+$E813)^3-(1+$E813)^2))/(1+$C813)^('Sensitivity &amp; Scenarios'!$C$18+2)+('Sensitivity &amp; Scenarios'!$C$6*(1+$E813)^4*$G813+'Sensitivity &amp; Scenarios'!$C$11*'Sensitivity &amp; Scenarios'!$C$6*((1+$E813)^4-(1+$E813)^3))/(1+$C813)^('Sensitivity &amp; Scenarios'!$C$18+3)+('Sensitivity &amp; Scenarios'!$C$6*(1+$E813)^5*$G813+'Sensitivity &amp; Scenarios'!$C$11*'Sensitivity &amp; Scenarios'!$C$6*((1+$E813)^5-(1+$E813)^4))/(1+$C813)^('Sensitivity &amp; Scenarios'!$C$18+4)</f>
        <v>23875.328156648469</v>
      </c>
      <c r="I813" s="209">
        <f>('Sensitivity &amp; Scenarios'!$C$6*(1+$E813)^5*$G813+'Sensitivity &amp; Scenarios'!$C$11*'Sensitivity &amp; Scenarios'!$C$6*((1+$E813)^5-(1+$E813)^4))*(1+$D813)/($C813-$D813)/(1+$C813)^('Sensitivity &amp; Scenarios'!$C$18+4)</f>
        <v>81450.347102603278</v>
      </c>
      <c r="J813" s="209">
        <f>($H813+$I813-'Sensitivity &amp; Scenarios'!$C$15+'Sensitivity &amp; Scenarios'!$C$16)/'Sensitivity &amp; Scenarios'!$C$17</f>
        <v>2503.5377439455524</v>
      </c>
    </row>
    <row r="814" spans="2:10" x14ac:dyDescent="0.3">
      <c r="B814" s="127">
        <v>784</v>
      </c>
      <c r="C814" s="206">
        <f>$D$7+0.051832*$E$7</f>
        <v>0.13807057943997797</v>
      </c>
      <c r="D814" s="206">
        <f>MIN($D$8+-0.623603*$E$8,'Debt &amp; Cost of Capital'!$C$38)</f>
        <v>5.1258381999999998E-2</v>
      </c>
      <c r="E814" s="207">
        <f>$D$9+-0.526507*$E$9</f>
        <v>0.15142588770254634</v>
      </c>
      <c r="F814" s="207">
        <f>$D$10+-1.124929*$E$10</f>
        <v>0.13150085199999992</v>
      </c>
      <c r="G814" s="208">
        <f>$F814*(1-'Sensitivity &amp; Scenarios'!$C$12)+'Sensitivity &amp; Scenarios'!$C$9*'Sensitivity &amp; Scenarios'!$C$12-'Sensitivity &amp; Scenarios'!$C$10</f>
        <v>6.7597505640064642E-2</v>
      </c>
      <c r="H814" s="209">
        <f>('Sensitivity &amp; Scenarios'!$C$6*(1+$E814)^1*$G814+'Sensitivity &amp; Scenarios'!$C$11*'Sensitivity &amp; Scenarios'!$C$6*((1+$E814)^1-(1+$E814)^0))*'Sensitivity &amp; Scenarios'!$C$18/(1+$C814)^'Sensitivity &amp; Scenarios'!$C$18+('Sensitivity &amp; Scenarios'!$C$6*(1+$E814)^2*$G814+'Sensitivity &amp; Scenarios'!$C$11*'Sensitivity &amp; Scenarios'!$C$6*((1+$E814)^2-(1+$E814)^1))/(1+$C814)^('Sensitivity &amp; Scenarios'!$C$18+1)+('Sensitivity &amp; Scenarios'!$C$6*(1+$E814)^3*$G814+'Sensitivity &amp; Scenarios'!$C$11*'Sensitivity &amp; Scenarios'!$C$6*((1+$E814)^3-(1+$E814)^2))/(1+$C814)^('Sensitivity &amp; Scenarios'!$C$18+2)+('Sensitivity &amp; Scenarios'!$C$6*(1+$E814)^4*$G814+'Sensitivity &amp; Scenarios'!$C$11*'Sensitivity &amp; Scenarios'!$C$6*((1+$E814)^4-(1+$E814)^3))/(1+$C814)^('Sensitivity &amp; Scenarios'!$C$18+3)+('Sensitivity &amp; Scenarios'!$C$6*(1+$E814)^5*$G814+'Sensitivity &amp; Scenarios'!$C$11*'Sensitivity &amp; Scenarios'!$C$6*((1+$E814)^5-(1+$E814)^4))/(1+$C814)^('Sensitivity &amp; Scenarios'!$C$18+4)</f>
        <v>19555.366461312231</v>
      </c>
      <c r="I814" s="209">
        <f>('Sensitivity &amp; Scenarios'!$C$6*(1+$E814)^5*$G814+'Sensitivity &amp; Scenarios'!$C$11*'Sensitivity &amp; Scenarios'!$C$6*((1+$E814)^5-(1+$E814)^4))*(1+$D814)/($C814-$D814)/(1+$C814)^('Sensitivity &amp; Scenarios'!$C$18+4)</f>
        <v>52218.074053381461</v>
      </c>
      <c r="J814" s="209">
        <f>($H814+$I814-'Sensitivity &amp; Scenarios'!$C$15+'Sensitivity &amp; Scenarios'!$C$16)/'Sensitivity &amp; Scenarios'!$C$17</f>
        <v>1797.3042594562262</v>
      </c>
    </row>
    <row r="815" spans="2:10" x14ac:dyDescent="0.3">
      <c r="B815" s="127">
        <v>785</v>
      </c>
      <c r="C815" s="206">
        <f>$D$7+1.265775*$E$7</f>
        <v>0.15021000943997798</v>
      </c>
      <c r="D815" s="206">
        <f>MIN($D$8+1.065685*$E$8,'Debt &amp; Cost of Capital'!$C$38)</f>
        <v>6.1394110000000002E-2</v>
      </c>
      <c r="E815" s="207">
        <f>$D$9+0.537434*$E$9</f>
        <v>0.18334411770254633</v>
      </c>
      <c r="F815" s="207">
        <f>$D$10+1.972196*$E$10</f>
        <v>0.16866635199999991</v>
      </c>
      <c r="G815" s="208">
        <f>$F815*(1-'Sensitivity &amp; Scenarios'!$C$12)+'Sensitivity &amp; Scenarios'!$C$9*'Sensitivity &amp; Scenarios'!$C$12-'Sensitivity &amp; Scenarios'!$C$10</f>
        <v>9.5408449290064645E-2</v>
      </c>
      <c r="H815" s="209">
        <f>('Sensitivity &amp; Scenarios'!$C$6*(1+$E815)^1*$G815+'Sensitivity &amp; Scenarios'!$C$11*'Sensitivity &amp; Scenarios'!$C$6*((1+$E815)^1-(1+$E815)^0))*'Sensitivity &amp; Scenarios'!$C$18/(1+$C815)^'Sensitivity &amp; Scenarios'!$C$18+('Sensitivity &amp; Scenarios'!$C$6*(1+$E815)^2*$G815+'Sensitivity &amp; Scenarios'!$C$11*'Sensitivity &amp; Scenarios'!$C$6*((1+$E815)^2-(1+$E815)^1))/(1+$C815)^('Sensitivity &amp; Scenarios'!$C$18+1)+('Sensitivity &amp; Scenarios'!$C$6*(1+$E815)^3*$G815+'Sensitivity &amp; Scenarios'!$C$11*'Sensitivity &amp; Scenarios'!$C$6*((1+$E815)^3-(1+$E815)^2))/(1+$C815)^('Sensitivity &amp; Scenarios'!$C$18+2)+('Sensitivity &amp; Scenarios'!$C$6*(1+$E815)^4*$G815+'Sensitivity &amp; Scenarios'!$C$11*'Sensitivity &amp; Scenarios'!$C$6*((1+$E815)^4-(1+$E815)^3))/(1+$C815)^('Sensitivity &amp; Scenarios'!$C$18+3)+('Sensitivity &amp; Scenarios'!$C$6*(1+$E815)^5*$G815+'Sensitivity &amp; Scenarios'!$C$11*'Sensitivity &amp; Scenarios'!$C$6*((1+$E815)^5-(1+$E815)^4))/(1+$C815)^('Sensitivity &amp; Scenarios'!$C$18+4)</f>
        <v>28378.450717219712</v>
      </c>
      <c r="I815" s="209">
        <f>('Sensitivity &amp; Scenarios'!$C$6*(1+$E815)^5*$G815+'Sensitivity &amp; Scenarios'!$C$11*'Sensitivity &amp; Scenarios'!$C$6*((1+$E815)^5-(1+$E815)^4))*(1+$D815)/($C815-$D815)/(1+$C815)^('Sensitivity &amp; Scenarios'!$C$18+4)</f>
        <v>77076.019142084217</v>
      </c>
      <c r="J815" s="209">
        <f>($H815+$I815-'Sensitivity &amp; Scenarios'!$C$15+'Sensitivity &amp; Scenarios'!$C$16)/'Sensitivity &amp; Scenarios'!$C$17</f>
        <v>2506.2487126744845</v>
      </c>
    </row>
    <row r="816" spans="2:10" x14ac:dyDescent="0.3">
      <c r="B816" s="127">
        <v>786</v>
      </c>
      <c r="C816" s="206">
        <f>$D$7+-0.189246*$E$7</f>
        <v>0.13565979943997797</v>
      </c>
      <c r="D816" s="206">
        <f>MIN($D$8+3.031762*$E$8,'Debt &amp; Cost of Capital'!$C$38)</f>
        <v>6.7799999999999999E-2</v>
      </c>
      <c r="E816" s="207">
        <f>$D$9+-0.227529*$E$9</f>
        <v>0.16039522770254633</v>
      </c>
      <c r="F816" s="207">
        <f>$D$10+0.255193*$E$10</f>
        <v>0.14806231599999992</v>
      </c>
      <c r="G816" s="208">
        <f>$F816*(1-'Sensitivity &amp; Scenarios'!$C$12)+'Sensitivity &amp; Scenarios'!$C$9*'Sensitivity &amp; Scenarios'!$C$12-'Sensitivity &amp; Scenarios'!$C$10</f>
        <v>7.9990449151264645E-2</v>
      </c>
      <c r="H816" s="209">
        <f>('Sensitivity &amp; Scenarios'!$C$6*(1+$E816)^1*$G816+'Sensitivity &amp; Scenarios'!$C$11*'Sensitivity &amp; Scenarios'!$C$6*((1+$E816)^1-(1+$E816)^0))*'Sensitivity &amp; Scenarios'!$C$18/(1+$C816)^'Sensitivity &amp; Scenarios'!$C$18+('Sensitivity &amp; Scenarios'!$C$6*(1+$E816)^2*$G816+'Sensitivity &amp; Scenarios'!$C$11*'Sensitivity &amp; Scenarios'!$C$6*((1+$E816)^2-(1+$E816)^1))/(1+$C816)^('Sensitivity &amp; Scenarios'!$C$18+1)+('Sensitivity &amp; Scenarios'!$C$6*(1+$E816)^3*$G816+'Sensitivity &amp; Scenarios'!$C$11*'Sensitivity &amp; Scenarios'!$C$6*((1+$E816)^3-(1+$E816)^2))/(1+$C816)^('Sensitivity &amp; Scenarios'!$C$18+2)+('Sensitivity &amp; Scenarios'!$C$6*(1+$E816)^4*$G816+'Sensitivity &amp; Scenarios'!$C$11*'Sensitivity &amp; Scenarios'!$C$6*((1+$E816)^4-(1+$E816)^3))/(1+$C816)^('Sensitivity &amp; Scenarios'!$C$18+3)+('Sensitivity &amp; Scenarios'!$C$6*(1+$E816)^5*$G816+'Sensitivity &amp; Scenarios'!$C$11*'Sensitivity &amp; Scenarios'!$C$6*((1+$E816)^5-(1+$E816)^4))/(1+$C816)^('Sensitivity &amp; Scenarios'!$C$18+4)</f>
        <v>23392.313668457075</v>
      </c>
      <c r="I816" s="209">
        <f>('Sensitivity &amp; Scenarios'!$C$6*(1+$E816)^5*$G816+'Sensitivity &amp; Scenarios'!$C$11*'Sensitivity &amp; Scenarios'!$C$6*((1+$E816)^5-(1+$E816)^4))*(1+$D816)/($C816-$D816)/(1+$C816)^('Sensitivity &amp; Scenarios'!$C$18+4)</f>
        <v>82632.167822672403</v>
      </c>
      <c r="J816" s="209">
        <f>($H816+$I816-'Sensitivity &amp; Scenarios'!$C$15+'Sensitivity &amp; Scenarios'!$C$16)/'Sensitivity &amp; Scenarios'!$C$17</f>
        <v>2518.2467600179298</v>
      </c>
    </row>
    <row r="817" spans="2:10" x14ac:dyDescent="0.3">
      <c r="B817" s="127">
        <v>787</v>
      </c>
      <c r="C817" s="206">
        <f>$D$7+-0.397778*$E$7</f>
        <v>0.13357447943997797</v>
      </c>
      <c r="D817" s="206">
        <f>MIN($D$8+0.372326*$E$8,'Debt &amp; Cost of Capital'!$C$38)</f>
        <v>5.7233956000000002E-2</v>
      </c>
      <c r="E817" s="207">
        <f>$D$9+0.835615*$E$9</f>
        <v>0.19228954770254633</v>
      </c>
      <c r="F817" s="207">
        <f>$D$10+-0.113916*$E$10</f>
        <v>0.1436330079999999</v>
      </c>
      <c r="G817" s="208">
        <f>$F817*(1-'Sensitivity &amp; Scenarios'!$C$12)+'Sensitivity &amp; Scenarios'!$C$9*'Sensitivity &amp; Scenarios'!$C$12-'Sensitivity &amp; Scenarios'!$C$10</f>
        <v>7.6675997974864629E-2</v>
      </c>
      <c r="H817" s="209">
        <f>('Sensitivity &amp; Scenarios'!$C$6*(1+$E817)^1*$G817+'Sensitivity &amp; Scenarios'!$C$11*'Sensitivity &amp; Scenarios'!$C$6*((1+$E817)^1-(1+$E817)^0))*'Sensitivity &amp; Scenarios'!$C$18/(1+$C817)^'Sensitivity &amp; Scenarios'!$C$18+('Sensitivity &amp; Scenarios'!$C$6*(1+$E817)^2*$G817+'Sensitivity &amp; Scenarios'!$C$11*'Sensitivity &amp; Scenarios'!$C$6*((1+$E817)^2-(1+$E817)^1))/(1+$C817)^('Sensitivity &amp; Scenarios'!$C$18+1)+('Sensitivity &amp; Scenarios'!$C$6*(1+$E817)^3*$G817+'Sensitivity &amp; Scenarios'!$C$11*'Sensitivity &amp; Scenarios'!$C$6*((1+$E817)^3-(1+$E817)^2))/(1+$C817)^('Sensitivity &amp; Scenarios'!$C$18+2)+('Sensitivity &amp; Scenarios'!$C$6*(1+$E817)^4*$G817+'Sensitivity &amp; Scenarios'!$C$11*'Sensitivity &amp; Scenarios'!$C$6*((1+$E817)^4-(1+$E817)^3))/(1+$C817)^('Sensitivity &amp; Scenarios'!$C$18+3)+('Sensitivity &amp; Scenarios'!$C$6*(1+$E817)^5*$G817+'Sensitivity &amp; Scenarios'!$C$11*'Sensitivity &amp; Scenarios'!$C$6*((1+$E817)^5-(1+$E817)^4))/(1+$C817)^('Sensitivity &amp; Scenarios'!$C$18+4)</f>
        <v>25453.551324182266</v>
      </c>
      <c r="I817" s="209">
        <f>('Sensitivity &amp; Scenarios'!$C$6*(1+$E817)^5*$G817+'Sensitivity &amp; Scenarios'!$C$11*'Sensitivity &amp; Scenarios'!$C$6*((1+$E817)^5-(1+$E817)^4))*(1+$D817)/($C817-$D817)/(1+$C817)^('Sensitivity &amp; Scenarios'!$C$18+4)</f>
        <v>83310.141794149473</v>
      </c>
      <c r="J817" s="209">
        <f>($H817+$I817-'Sensitivity &amp; Scenarios'!$C$15+'Sensitivity &amp; Scenarios'!$C$16)/'Sensitivity &amp; Scenarios'!$C$17</f>
        <v>2575.9038128777688</v>
      </c>
    </row>
    <row r="818" spans="2:10" x14ac:dyDescent="0.3">
      <c r="B818" s="127">
        <v>788</v>
      </c>
      <c r="C818" s="206">
        <f>$D$7+1.77672*$E$7</f>
        <v>0.15531945943997799</v>
      </c>
      <c r="D818" s="206">
        <f>MIN($D$8+0.239149*$E$8,'Debt &amp; Cost of Capital'!$C$38)</f>
        <v>5.6434893999999999E-2</v>
      </c>
      <c r="E818" s="207">
        <f>$D$9+0.270485*$E$9</f>
        <v>0.17533564770254634</v>
      </c>
      <c r="F818" s="207">
        <f>$D$10+-0.908998*$E$10</f>
        <v>0.13409202399999992</v>
      </c>
      <c r="G818" s="208">
        <f>$F818*(1-'Sensitivity &amp; Scenarios'!$C$12)+'Sensitivity &amp; Scenarios'!$C$9*'Sensitivity &amp; Scenarios'!$C$12-'Sensitivity &amp; Scenarios'!$C$10</f>
        <v>6.9536479647664642E-2</v>
      </c>
      <c r="H818" s="209">
        <f>('Sensitivity &amp; Scenarios'!$C$6*(1+$E818)^1*$G818+'Sensitivity &amp; Scenarios'!$C$11*'Sensitivity &amp; Scenarios'!$C$6*((1+$E818)^1-(1+$E818)^0))*'Sensitivity &amp; Scenarios'!$C$18/(1+$C818)^'Sensitivity &amp; Scenarios'!$C$18+('Sensitivity &amp; Scenarios'!$C$6*(1+$E818)^2*$G818+'Sensitivity &amp; Scenarios'!$C$11*'Sensitivity &amp; Scenarios'!$C$6*((1+$E818)^2-(1+$E818)^1))/(1+$C818)^('Sensitivity &amp; Scenarios'!$C$18+1)+('Sensitivity &amp; Scenarios'!$C$6*(1+$E818)^3*$G818+'Sensitivity &amp; Scenarios'!$C$11*'Sensitivity &amp; Scenarios'!$C$6*((1+$E818)^3-(1+$E818)^2))/(1+$C818)^('Sensitivity &amp; Scenarios'!$C$18+2)+('Sensitivity &amp; Scenarios'!$C$6*(1+$E818)^4*$G818+'Sensitivity &amp; Scenarios'!$C$11*'Sensitivity &amp; Scenarios'!$C$6*((1+$E818)^4-(1+$E818)^3))/(1+$C818)^('Sensitivity &amp; Scenarios'!$C$18+3)+('Sensitivity &amp; Scenarios'!$C$6*(1+$E818)^5*$G818+'Sensitivity &amp; Scenarios'!$C$11*'Sensitivity &amp; Scenarios'!$C$6*((1+$E818)^5-(1+$E818)^4))/(1+$C818)^('Sensitivity &amp; Scenarios'!$C$18+4)</f>
        <v>20958.510113925156</v>
      </c>
      <c r="I818" s="209">
        <f>('Sensitivity &amp; Scenarios'!$C$6*(1+$E818)^5*$G818+'Sensitivity &amp; Scenarios'!$C$11*'Sensitivity &amp; Scenarios'!$C$6*((1+$E818)^5-(1+$E818)^4))*(1+$D818)/($C818-$D818)/(1+$C818)^('Sensitivity &amp; Scenarios'!$C$18+4)</f>
        <v>49870.643555086019</v>
      </c>
      <c r="J818" s="209">
        <f>($H818+$I818-'Sensitivity &amp; Scenarios'!$C$15+'Sensitivity &amp; Scenarios'!$C$16)/'Sensitivity &amp; Scenarios'!$C$17</f>
        <v>1777.4281768506717</v>
      </c>
    </row>
    <row r="819" spans="2:10" x14ac:dyDescent="0.3">
      <c r="B819" s="127">
        <v>789</v>
      </c>
      <c r="C819" s="206">
        <f>$D$7+0.418499*$E$7</f>
        <v>0.14173724943997798</v>
      </c>
      <c r="D819" s="206">
        <f>MIN($D$8+-0.134027*$E$8,'Debt &amp; Cost of Capital'!$C$38)</f>
        <v>5.4195838000000003E-2</v>
      </c>
      <c r="E819" s="207">
        <f>$D$9+-0.60824*$E$9</f>
        <v>0.14897389770254635</v>
      </c>
      <c r="F819" s="207">
        <f>$D$10+-0.776474*$E$10</f>
        <v>0.13568231199999992</v>
      </c>
      <c r="G819" s="208">
        <f>$F819*(1-'Sensitivity &amp; Scenarios'!$C$12)+'Sensitivity &amp; Scenarios'!$C$9*'Sensitivity &amp; Scenarios'!$C$12-'Sensitivity &amp; Scenarios'!$C$10</f>
        <v>7.0726492158064647E-2</v>
      </c>
      <c r="H819" s="209">
        <f>('Sensitivity &amp; Scenarios'!$C$6*(1+$E819)^1*$G819+'Sensitivity &amp; Scenarios'!$C$11*'Sensitivity &amp; Scenarios'!$C$6*((1+$E819)^1-(1+$E819)^0))*'Sensitivity &amp; Scenarios'!$C$18/(1+$C819)^'Sensitivity &amp; Scenarios'!$C$18+('Sensitivity &amp; Scenarios'!$C$6*(1+$E819)^2*$G819+'Sensitivity &amp; Scenarios'!$C$11*'Sensitivity &amp; Scenarios'!$C$6*((1+$E819)^2-(1+$E819)^1))/(1+$C819)^('Sensitivity &amp; Scenarios'!$C$18+1)+('Sensitivity &amp; Scenarios'!$C$6*(1+$E819)^3*$G819+'Sensitivity &amp; Scenarios'!$C$11*'Sensitivity &amp; Scenarios'!$C$6*((1+$E819)^3-(1+$E819)^2))/(1+$C819)^('Sensitivity &amp; Scenarios'!$C$18+2)+('Sensitivity &amp; Scenarios'!$C$6*(1+$E819)^4*$G819+'Sensitivity &amp; Scenarios'!$C$11*'Sensitivity &amp; Scenarios'!$C$6*((1+$E819)^4-(1+$E819)^3))/(1+$C819)^('Sensitivity &amp; Scenarios'!$C$18+3)+('Sensitivity &amp; Scenarios'!$C$6*(1+$E819)^5*$G819+'Sensitivity &amp; Scenarios'!$C$11*'Sensitivity &amp; Scenarios'!$C$6*((1+$E819)^5-(1+$E819)^4))/(1+$C819)^('Sensitivity &amp; Scenarios'!$C$18+4)</f>
        <v>19934.94369654105</v>
      </c>
      <c r="I819" s="209">
        <f>('Sensitivity &amp; Scenarios'!$C$6*(1+$E819)^5*$G819+'Sensitivity &amp; Scenarios'!$C$11*'Sensitivity &amp; Scenarios'!$C$6*((1+$E819)^5-(1+$E819)^4))*(1+$D819)/($C819-$D819)/(1+$C819)^('Sensitivity &amp; Scenarios'!$C$18+4)</f>
        <v>52421.492497770516</v>
      </c>
      <c r="J819" s="209">
        <f>($H819+$I819-'Sensitivity &amp; Scenarios'!$C$15+'Sensitivity &amp; Scenarios'!$C$16)/'Sensitivity &amp; Scenarios'!$C$17</f>
        <v>1809.5756051175028</v>
      </c>
    </row>
    <row r="820" spans="2:10" x14ac:dyDescent="0.3">
      <c r="B820" s="127">
        <v>790</v>
      </c>
      <c r="C820" s="206">
        <f>$D$7+2.671763*$E$7</f>
        <v>0.16426988943997797</v>
      </c>
      <c r="D820" s="206">
        <f>MIN($D$8+-0.263477*$E$8,'Debt &amp; Cost of Capital'!$C$38)</f>
        <v>5.3419137999999998E-2</v>
      </c>
      <c r="E820" s="207">
        <f>$D$9+-1.456985*$E$9</f>
        <v>0.12351154770254634</v>
      </c>
      <c r="F820" s="207">
        <f>$D$10+-0.698221*$E$10</f>
        <v>0.13662134799999992</v>
      </c>
      <c r="G820" s="208">
        <f>$F820*(1-'Sensitivity &amp; Scenarios'!$C$12)+'Sensitivity &amp; Scenarios'!$C$9*'Sensitivity &amp; Scenarios'!$C$12-'Sensitivity &amp; Scenarios'!$C$10</f>
        <v>7.1429172796864643E-2</v>
      </c>
      <c r="H820" s="209">
        <f>('Sensitivity &amp; Scenarios'!$C$6*(1+$E820)^1*$G820+'Sensitivity &amp; Scenarios'!$C$11*'Sensitivity &amp; Scenarios'!$C$6*((1+$E820)^1-(1+$E820)^0))*'Sensitivity &amp; Scenarios'!$C$18/(1+$C820)^'Sensitivity &amp; Scenarios'!$C$18+('Sensitivity &amp; Scenarios'!$C$6*(1+$E820)^2*$G820+'Sensitivity &amp; Scenarios'!$C$11*'Sensitivity &amp; Scenarios'!$C$6*((1+$E820)^2-(1+$E820)^1))/(1+$C820)^('Sensitivity &amp; Scenarios'!$C$18+1)+('Sensitivity &amp; Scenarios'!$C$6*(1+$E820)^3*$G820+'Sensitivity &amp; Scenarios'!$C$11*'Sensitivity &amp; Scenarios'!$C$6*((1+$E820)^3-(1+$E820)^2))/(1+$C820)^('Sensitivity &amp; Scenarios'!$C$18+2)+('Sensitivity &amp; Scenarios'!$C$6*(1+$E820)^4*$G820+'Sensitivity &amp; Scenarios'!$C$11*'Sensitivity &amp; Scenarios'!$C$6*((1+$E820)^4-(1+$E820)^3))/(1+$C820)^('Sensitivity &amp; Scenarios'!$C$18+3)+('Sensitivity &amp; Scenarios'!$C$6*(1+$E820)^5*$G820+'Sensitivity &amp; Scenarios'!$C$11*'Sensitivity &amp; Scenarios'!$C$6*((1+$E820)^5-(1+$E820)^4))/(1+$C820)^('Sensitivity &amp; Scenarios'!$C$18+4)</f>
        <v>17302.414577243289</v>
      </c>
      <c r="I820" s="209">
        <f>('Sensitivity &amp; Scenarios'!$C$6*(1+$E820)^5*$G820+'Sensitivity &amp; Scenarios'!$C$11*'Sensitivity &amp; Scenarios'!$C$6*((1+$E820)^5-(1+$E820)^4))*(1+$D820)/($C820-$D820)/(1+$C820)^('Sensitivity &amp; Scenarios'!$C$18+4)</f>
        <v>33198.427948970879</v>
      </c>
      <c r="J820" s="209">
        <f>($H820+$I820-'Sensitivity &amp; Scenarios'!$C$15+'Sensitivity &amp; Scenarios'!$C$16)/'Sensitivity &amp; Scenarios'!$C$17</f>
        <v>1349.54210245173</v>
      </c>
    </row>
    <row r="821" spans="2:10" x14ac:dyDescent="0.3">
      <c r="B821" s="127">
        <v>791</v>
      </c>
      <c r="C821" s="206">
        <f>$D$7+-0.051568*$E$7</f>
        <v>0.13703657943997799</v>
      </c>
      <c r="D821" s="206">
        <f>MIN($D$8+0.546667*$E$8,'Debt &amp; Cost of Capital'!$C$38)</f>
        <v>5.8280001999999997E-2</v>
      </c>
      <c r="E821" s="207">
        <f>$D$9+0.554797*$E$9</f>
        <v>0.18386500770254632</v>
      </c>
      <c r="F821" s="207">
        <f>$D$10+0.676615*$E$10</f>
        <v>0.15311937999999992</v>
      </c>
      <c r="G821" s="208">
        <f>$F821*(1-'Sensitivity &amp; Scenarios'!$C$12)+'Sensitivity &amp; Scenarios'!$C$9*'Sensitivity &amp; Scenarios'!$C$12-'Sensitivity &amp; Scenarios'!$C$10</f>
        <v>8.3774650142464643E-2</v>
      </c>
      <c r="H821" s="209">
        <f>('Sensitivity &amp; Scenarios'!$C$6*(1+$E821)^1*$G821+'Sensitivity &amp; Scenarios'!$C$11*'Sensitivity &amp; Scenarios'!$C$6*((1+$E821)^1-(1+$E821)^0))*'Sensitivity &amp; Scenarios'!$C$18/(1+$C821)^'Sensitivity &amp; Scenarios'!$C$18+('Sensitivity &amp; Scenarios'!$C$6*(1+$E821)^2*$G821+'Sensitivity &amp; Scenarios'!$C$11*'Sensitivity &amp; Scenarios'!$C$6*((1+$E821)^2-(1+$E821)^1))/(1+$C821)^('Sensitivity &amp; Scenarios'!$C$18+1)+('Sensitivity &amp; Scenarios'!$C$6*(1+$E821)^3*$G821+'Sensitivity &amp; Scenarios'!$C$11*'Sensitivity &amp; Scenarios'!$C$6*((1+$E821)^3-(1+$E821)^2))/(1+$C821)^('Sensitivity &amp; Scenarios'!$C$18+2)+('Sensitivity &amp; Scenarios'!$C$6*(1+$E821)^4*$G821+'Sensitivity &amp; Scenarios'!$C$11*'Sensitivity &amp; Scenarios'!$C$6*((1+$E821)^4-(1+$E821)^3))/(1+$C821)^('Sensitivity &amp; Scenarios'!$C$18+3)+('Sensitivity &amp; Scenarios'!$C$6*(1+$E821)^5*$G821+'Sensitivity &amp; Scenarios'!$C$11*'Sensitivity &amp; Scenarios'!$C$6*((1+$E821)^5-(1+$E821)^4))/(1+$C821)^('Sensitivity &amp; Scenarios'!$C$18+4)</f>
        <v>26340.735949390059</v>
      </c>
      <c r="I821" s="209">
        <f>('Sensitivity &amp; Scenarios'!$C$6*(1+$E821)^5*$G821+'Sensitivity &amp; Scenarios'!$C$11*'Sensitivity &amp; Scenarios'!$C$6*((1+$E821)^5-(1+$E821)^4))*(1+$D821)/($C821-$D821)/(1+$C821)^('Sensitivity &amp; Scenarios'!$C$18+4)</f>
        <v>82172.659752205829</v>
      </c>
      <c r="J821" s="209">
        <f>($H821+$I821-'Sensitivity &amp; Scenarios'!$C$15+'Sensitivity &amp; Scenarios'!$C$16)/'Sensitivity &amp; Scenarios'!$C$17</f>
        <v>2570.6353585370725</v>
      </c>
    </row>
    <row r="822" spans="2:10" x14ac:dyDescent="0.3">
      <c r="B822" s="127">
        <v>792</v>
      </c>
      <c r="C822" s="206">
        <f>$D$7+-0.64486*$E$7</f>
        <v>0.13110365943997798</v>
      </c>
      <c r="D822" s="206">
        <f>MIN($D$8+0.34044*$E$8,'Debt &amp; Cost of Capital'!$C$38)</f>
        <v>5.7042639999999999E-2</v>
      </c>
      <c r="E822" s="207">
        <f>$D$9+-0.876059*$E$9</f>
        <v>0.14093932770254633</v>
      </c>
      <c r="F822" s="207">
        <f>$D$10+-0.619643*$E$10</f>
        <v>0.1375642839999999</v>
      </c>
      <c r="G822" s="208">
        <f>$F822*(1-'Sensitivity &amp; Scenarios'!$C$12)+'Sensitivity &amp; Scenarios'!$C$9*'Sensitivity &amp; Scenarios'!$C$12-'Sensitivity &amp; Scenarios'!$C$10</f>
        <v>7.2134771805664633E-2</v>
      </c>
      <c r="H822" s="209">
        <f>('Sensitivity &amp; Scenarios'!$C$6*(1+$E822)^1*$G822+'Sensitivity &amp; Scenarios'!$C$11*'Sensitivity &amp; Scenarios'!$C$6*((1+$E822)^1-(1+$E822)^0))*'Sensitivity &amp; Scenarios'!$C$18/(1+$C822)^'Sensitivity &amp; Scenarios'!$C$18+('Sensitivity &amp; Scenarios'!$C$6*(1+$E822)^2*$G822+'Sensitivity &amp; Scenarios'!$C$11*'Sensitivity &amp; Scenarios'!$C$6*((1+$E822)^2-(1+$E822)^1))/(1+$C822)^('Sensitivity &amp; Scenarios'!$C$18+1)+('Sensitivity &amp; Scenarios'!$C$6*(1+$E822)^3*$G822+'Sensitivity &amp; Scenarios'!$C$11*'Sensitivity &amp; Scenarios'!$C$6*((1+$E822)^3-(1+$E822)^2))/(1+$C822)^('Sensitivity &amp; Scenarios'!$C$18+2)+('Sensitivity &amp; Scenarios'!$C$6*(1+$E822)^4*$G822+'Sensitivity &amp; Scenarios'!$C$11*'Sensitivity &amp; Scenarios'!$C$6*((1+$E822)^4-(1+$E822)^3))/(1+$C822)^('Sensitivity &amp; Scenarios'!$C$18+3)+('Sensitivity &amp; Scenarios'!$C$6*(1+$E822)^5*$G822+'Sensitivity &amp; Scenarios'!$C$11*'Sensitivity &amp; Scenarios'!$C$6*((1+$E822)^5-(1+$E822)^4))/(1+$C822)^('Sensitivity &amp; Scenarios'!$C$18+4)</f>
        <v>20187.452677354453</v>
      </c>
      <c r="I822" s="209">
        <f>('Sensitivity &amp; Scenarios'!$C$6*(1+$E822)^5*$G822+'Sensitivity &amp; Scenarios'!$C$11*'Sensitivity &amp; Scenarios'!$C$6*((1+$E822)^5-(1+$E822)^4))*(1+$D822)/($C822-$D822)/(1+$C822)^('Sensitivity &amp; Scenarios'!$C$18+4)</f>
        <v>63187.096449615303</v>
      </c>
      <c r="J822" s="209">
        <f>($H822+$I822-'Sensitivity &amp; Scenarios'!$C$15+'Sensitivity &amp; Scenarios'!$C$16)/'Sensitivity &amp; Scenarios'!$C$17</f>
        <v>2041.493399808963</v>
      </c>
    </row>
    <row r="823" spans="2:10" x14ac:dyDescent="0.3">
      <c r="B823" s="127">
        <v>793</v>
      </c>
      <c r="C823" s="206">
        <f>$D$7+-0.917709*$E$7</f>
        <v>0.12837516943997798</v>
      </c>
      <c r="D823" s="206">
        <f>MIN($D$8+-1.188389*$E$8,'Debt &amp; Cost of Capital'!$C$38)</f>
        <v>4.7869665999999998E-2</v>
      </c>
      <c r="E823" s="207">
        <f>$D$9+1.064209*$E$9</f>
        <v>0.19914736770254635</v>
      </c>
      <c r="F823" s="207">
        <f>$D$10+0.688612*$E$10</f>
        <v>0.15326334399999991</v>
      </c>
      <c r="G823" s="208">
        <f>$F823*(1-'Sensitivity &amp; Scenarios'!$C$12)+'Sensitivity &amp; Scenarios'!$C$9*'Sensitivity &amp; Scenarios'!$C$12-'Sensitivity &amp; Scenarios'!$C$10</f>
        <v>8.3882378403664637E-2</v>
      </c>
      <c r="H823" s="209">
        <f>('Sensitivity &amp; Scenarios'!$C$6*(1+$E823)^1*$G823+'Sensitivity &amp; Scenarios'!$C$11*'Sensitivity &amp; Scenarios'!$C$6*((1+$E823)^1-(1+$E823)^0))*'Sensitivity &amp; Scenarios'!$C$18/(1+$C823)^'Sensitivity &amp; Scenarios'!$C$18+('Sensitivity &amp; Scenarios'!$C$6*(1+$E823)^2*$G823+'Sensitivity &amp; Scenarios'!$C$11*'Sensitivity &amp; Scenarios'!$C$6*((1+$E823)^2-(1+$E823)^1))/(1+$C823)^('Sensitivity &amp; Scenarios'!$C$18+1)+('Sensitivity &amp; Scenarios'!$C$6*(1+$E823)^3*$G823+'Sensitivity &amp; Scenarios'!$C$11*'Sensitivity &amp; Scenarios'!$C$6*((1+$E823)^3-(1+$E823)^2))/(1+$C823)^('Sensitivity &amp; Scenarios'!$C$18+2)+('Sensitivity &amp; Scenarios'!$C$6*(1+$E823)^4*$G823+'Sensitivity &amp; Scenarios'!$C$11*'Sensitivity &amp; Scenarios'!$C$6*((1+$E823)^4-(1+$E823)^3))/(1+$C823)^('Sensitivity &amp; Scenarios'!$C$18+3)+('Sensitivity &amp; Scenarios'!$C$6*(1+$E823)^5*$G823+'Sensitivity &amp; Scenarios'!$C$11*'Sensitivity &amp; Scenarios'!$C$6*((1+$E823)^5-(1+$E823)^4))/(1+$C823)^('Sensitivity &amp; Scenarios'!$C$18+4)</f>
        <v>28433.666604964597</v>
      </c>
      <c r="I823" s="209">
        <f>('Sensitivity &amp; Scenarios'!$C$6*(1+$E823)^5*$G823+'Sensitivity &amp; Scenarios'!$C$11*'Sensitivity &amp; Scenarios'!$C$6*((1+$E823)^5-(1+$E823)^4))*(1+$D823)/($C823-$D823)/(1+$C823)^('Sensitivity &amp; Scenarios'!$C$18+4)</f>
        <v>89055.354911301212</v>
      </c>
      <c r="J823" s="209">
        <f>($H823+$I823-'Sensitivity &amp; Scenarios'!$C$15+'Sensitivity &amp; Scenarios'!$C$16)/'Sensitivity &amp; Scenarios'!$C$17</f>
        <v>2759.5612987263416</v>
      </c>
    </row>
    <row r="824" spans="2:10" x14ac:dyDescent="0.3">
      <c r="B824" s="127">
        <v>794</v>
      </c>
      <c r="C824" s="206">
        <f>$D$7+0.976665*$E$7</f>
        <v>0.14731890943997797</v>
      </c>
      <c r="D824" s="206">
        <f>MIN($D$8+0.039313*$E$8,'Debt &amp; Cost of Capital'!$C$38)</f>
        <v>5.5235878000000002E-2</v>
      </c>
      <c r="E824" s="207">
        <f>$D$9+0.776808*$E$9</f>
        <v>0.19052533770254634</v>
      </c>
      <c r="F824" s="207">
        <f>$D$10+-1.761289*$E$10</f>
        <v>0.1238645319999999</v>
      </c>
      <c r="G824" s="208">
        <f>$F824*(1-'Sensitivity &amp; Scenarios'!$C$12)+'Sensitivity &amp; Scenarios'!$C$9*'Sensitivity &amp; Scenarios'!$C$12-'Sensitivity &amp; Scenarios'!$C$10</f>
        <v>6.188324738406463E-2</v>
      </c>
      <c r="H824" s="209">
        <f>('Sensitivity &amp; Scenarios'!$C$6*(1+$E824)^1*$G824+'Sensitivity &amp; Scenarios'!$C$11*'Sensitivity &amp; Scenarios'!$C$6*((1+$E824)^1-(1+$E824)^0))*'Sensitivity &amp; Scenarios'!$C$18/(1+$C824)^'Sensitivity &amp; Scenarios'!$C$18+('Sensitivity &amp; Scenarios'!$C$6*(1+$E824)^2*$G824+'Sensitivity &amp; Scenarios'!$C$11*'Sensitivity &amp; Scenarios'!$C$6*((1+$E824)^2-(1+$E824)^1))/(1+$C824)^('Sensitivity &amp; Scenarios'!$C$18+1)+('Sensitivity &amp; Scenarios'!$C$6*(1+$E824)^3*$G824+'Sensitivity &amp; Scenarios'!$C$11*'Sensitivity &amp; Scenarios'!$C$6*((1+$E824)^3-(1+$E824)^2))/(1+$C824)^('Sensitivity &amp; Scenarios'!$C$18+2)+('Sensitivity &amp; Scenarios'!$C$6*(1+$E824)^4*$G824+'Sensitivity &amp; Scenarios'!$C$11*'Sensitivity &amp; Scenarios'!$C$6*((1+$E824)^4-(1+$E824)^3))/(1+$C824)^('Sensitivity &amp; Scenarios'!$C$18+3)+('Sensitivity &amp; Scenarios'!$C$6*(1+$E824)^5*$G824+'Sensitivity &amp; Scenarios'!$C$11*'Sensitivity &amp; Scenarios'!$C$6*((1+$E824)^5-(1+$E824)^4))/(1+$C824)^('Sensitivity &amp; Scenarios'!$C$18+4)</f>
        <v>20601.086833847818</v>
      </c>
      <c r="I824" s="209">
        <f>('Sensitivity &amp; Scenarios'!$C$6*(1+$E824)^5*$G824+'Sensitivity &amp; Scenarios'!$C$11*'Sensitivity &amp; Scenarios'!$C$6*((1+$E824)^5-(1+$E824)^4))*(1+$D824)/($C824-$D824)/(1+$C824)^('Sensitivity &amp; Scenarios'!$C$18+4)</f>
        <v>54479.847833065709</v>
      </c>
      <c r="J824" s="209">
        <f>($H824+$I824-'Sensitivity &amp; Scenarios'!$C$15+'Sensitivity &amp; Scenarios'!$C$16)/'Sensitivity &amp; Scenarios'!$C$17</f>
        <v>1866.9229640770609</v>
      </c>
    </row>
    <row r="825" spans="2:10" x14ac:dyDescent="0.3">
      <c r="B825" s="127">
        <v>795</v>
      </c>
      <c r="C825" s="206">
        <f>$D$7+0.863088*$E$7</f>
        <v>0.14618313943997799</v>
      </c>
      <c r="D825" s="206">
        <f>MIN($D$8+0.17712*$E$8,'Debt &amp; Cost of Capital'!$C$38)</f>
        <v>5.6062720000000003E-2</v>
      </c>
      <c r="E825" s="207">
        <f>$D$9+0.62711*$E$9</f>
        <v>0.18603439770254634</v>
      </c>
      <c r="F825" s="207">
        <f>$D$10+0.380023*$E$10</f>
        <v>0.14956027599999991</v>
      </c>
      <c r="G825" s="208">
        <f>$F825*(1-'Sensitivity &amp; Scenarios'!$C$12)+'Sensitivity &amp; Scenarios'!$C$9*'Sensitivity &amp; Scenarios'!$C$12-'Sensitivity &amp; Scenarios'!$C$10</f>
        <v>8.1111372619264641E-2</v>
      </c>
      <c r="H825" s="209">
        <f>('Sensitivity &amp; Scenarios'!$C$6*(1+$E825)^1*$G825+'Sensitivity &amp; Scenarios'!$C$11*'Sensitivity &amp; Scenarios'!$C$6*((1+$E825)^1-(1+$E825)^0))*'Sensitivity &amp; Scenarios'!$C$18/(1+$C825)^'Sensitivity &amp; Scenarios'!$C$18+('Sensitivity &amp; Scenarios'!$C$6*(1+$E825)^2*$G825+'Sensitivity &amp; Scenarios'!$C$11*'Sensitivity &amp; Scenarios'!$C$6*((1+$E825)^2-(1+$E825)^1))/(1+$C825)^('Sensitivity &amp; Scenarios'!$C$18+1)+('Sensitivity &amp; Scenarios'!$C$6*(1+$E825)^3*$G825+'Sensitivity &amp; Scenarios'!$C$11*'Sensitivity &amp; Scenarios'!$C$6*((1+$E825)^3-(1+$E825)^2))/(1+$C825)^('Sensitivity &amp; Scenarios'!$C$18+2)+('Sensitivity &amp; Scenarios'!$C$6*(1+$E825)^4*$G825+'Sensitivity &amp; Scenarios'!$C$11*'Sensitivity &amp; Scenarios'!$C$6*((1+$E825)^4-(1+$E825)^3))/(1+$C825)^('Sensitivity &amp; Scenarios'!$C$18+3)+('Sensitivity &amp; Scenarios'!$C$6*(1+$E825)^5*$G825+'Sensitivity &amp; Scenarios'!$C$11*'Sensitivity &amp; Scenarios'!$C$6*((1+$E825)^5-(1+$E825)^4))/(1+$C825)^('Sensitivity &amp; Scenarios'!$C$18+4)</f>
        <v>25256.556723899084</v>
      </c>
      <c r="I825" s="209">
        <f>('Sensitivity &amp; Scenarios'!$C$6*(1+$E825)^5*$G825+'Sensitivity &amp; Scenarios'!$C$11*'Sensitivity &amp; Scenarios'!$C$6*((1+$E825)^5-(1+$E825)^4))*(1+$D825)/($C825-$D825)/(1+$C825)^('Sensitivity &amp; Scenarios'!$C$18+4)</f>
        <v>67961.667453098358</v>
      </c>
      <c r="J825" s="209">
        <f>($H825+$I825-'Sensitivity &amp; Scenarios'!$C$15+'Sensitivity &amp; Scenarios'!$C$16)/'Sensitivity &amp; Scenarios'!$C$17</f>
        <v>2248.6907141961742</v>
      </c>
    </row>
    <row r="826" spans="2:10" x14ac:dyDescent="0.3">
      <c r="B826" s="127">
        <v>796</v>
      </c>
      <c r="C826" s="206">
        <f>$D$7+-0.987055*$E$7</f>
        <v>0.12768170943997798</v>
      </c>
      <c r="D826" s="206">
        <f>MIN($D$8+-1.49804*$E$8,'Debt &amp; Cost of Capital'!$C$38)</f>
        <v>4.6011759999999999E-2</v>
      </c>
      <c r="E826" s="207">
        <f>$D$9+-0.712054*$E$9</f>
        <v>0.14585947770254634</v>
      </c>
      <c r="F826" s="207">
        <f>$D$10+0.564917*$E$10</f>
        <v>0.15177900399999991</v>
      </c>
      <c r="G826" s="208">
        <f>$F826*(1-'Sensitivity &amp; Scenarios'!$C$12)+'Sensitivity &amp; Scenarios'!$C$9*'Sensitivity &amp; Scenarios'!$C$12-'Sensitivity &amp; Scenarios'!$C$10</f>
        <v>8.277164678166464E-2</v>
      </c>
      <c r="H826" s="209">
        <f>('Sensitivity &amp; Scenarios'!$C$6*(1+$E826)^1*$G826+'Sensitivity &amp; Scenarios'!$C$11*'Sensitivity &amp; Scenarios'!$C$6*((1+$E826)^1-(1+$E826)^0))*'Sensitivity &amp; Scenarios'!$C$18/(1+$C826)^'Sensitivity &amp; Scenarios'!$C$18+('Sensitivity &amp; Scenarios'!$C$6*(1+$E826)^2*$G826+'Sensitivity &amp; Scenarios'!$C$11*'Sensitivity &amp; Scenarios'!$C$6*((1+$E826)^2-(1+$E826)^1))/(1+$C826)^('Sensitivity &amp; Scenarios'!$C$18+1)+('Sensitivity &amp; Scenarios'!$C$6*(1+$E826)^3*$G826+'Sensitivity &amp; Scenarios'!$C$11*'Sensitivity &amp; Scenarios'!$C$6*((1+$E826)^3-(1+$E826)^2))/(1+$C826)^('Sensitivity &amp; Scenarios'!$C$18+2)+('Sensitivity &amp; Scenarios'!$C$6*(1+$E826)^4*$G826+'Sensitivity &amp; Scenarios'!$C$11*'Sensitivity &amp; Scenarios'!$C$6*((1+$E826)^4-(1+$E826)^3))/(1+$C826)^('Sensitivity &amp; Scenarios'!$C$18+3)+('Sensitivity &amp; Scenarios'!$C$6*(1+$E826)^5*$G826+'Sensitivity &amp; Scenarios'!$C$11*'Sensitivity &amp; Scenarios'!$C$6*((1+$E826)^5-(1+$E826)^4))/(1+$C826)^('Sensitivity &amp; Scenarios'!$C$18+4)</f>
        <v>23301.781130830364</v>
      </c>
      <c r="I826" s="209">
        <f>('Sensitivity &amp; Scenarios'!$C$6*(1+$E826)^5*$G826+'Sensitivity &amp; Scenarios'!$C$11*'Sensitivity &amp; Scenarios'!$C$6*((1+$E826)^5-(1+$E826)^4))*(1+$D826)/($C826-$D826)/(1+$C826)^('Sensitivity &amp; Scenarios'!$C$18+4)</f>
        <v>66328.604681325058</v>
      </c>
      <c r="J826" s="209">
        <f>($H826+$I826-'Sensitivity &amp; Scenarios'!$C$15+'Sensitivity &amp; Scenarios'!$C$16)/'Sensitivity &amp; Scenarios'!$C$17</f>
        <v>2173.1711069486169</v>
      </c>
    </row>
    <row r="827" spans="2:10" x14ac:dyDescent="0.3">
      <c r="B827" s="127">
        <v>797</v>
      </c>
      <c r="C827" s="206">
        <f>$D$7+0.690091*$E$7</f>
        <v>0.14445316943997799</v>
      </c>
      <c r="D827" s="206">
        <f>MIN($D$8+-1.367942*$E$8,'Debt &amp; Cost of Capital'!$C$38)</f>
        <v>4.6792347999999997E-2</v>
      </c>
      <c r="E827" s="207">
        <f>$D$9+-0.981099*$E$9</f>
        <v>0.13778812770254634</v>
      </c>
      <c r="F827" s="207">
        <f>$D$10+-0.723236*$E$10</f>
        <v>0.13632116799999991</v>
      </c>
      <c r="G827" s="208">
        <f>$F827*(1-'Sensitivity &amp; Scenarios'!$C$12)+'Sensitivity &amp; Scenarios'!$C$9*'Sensitivity &amp; Scenarios'!$C$12-'Sensitivity &amp; Scenarios'!$C$10</f>
        <v>7.120454810286464E-2</v>
      </c>
      <c r="H827" s="209">
        <f>('Sensitivity &amp; Scenarios'!$C$6*(1+$E827)^1*$G827+'Sensitivity &amp; Scenarios'!$C$11*'Sensitivity &amp; Scenarios'!$C$6*((1+$E827)^1-(1+$E827)^0))*'Sensitivity &amp; Scenarios'!$C$18/(1+$C827)^'Sensitivity &amp; Scenarios'!$C$18+('Sensitivity &amp; Scenarios'!$C$6*(1+$E827)^2*$G827+'Sensitivity &amp; Scenarios'!$C$11*'Sensitivity &amp; Scenarios'!$C$6*((1+$E827)^2-(1+$E827)^1))/(1+$C827)^('Sensitivity &amp; Scenarios'!$C$18+1)+('Sensitivity &amp; Scenarios'!$C$6*(1+$E827)^3*$G827+'Sensitivity &amp; Scenarios'!$C$11*'Sensitivity &amp; Scenarios'!$C$6*((1+$E827)^3-(1+$E827)^2))/(1+$C827)^('Sensitivity &amp; Scenarios'!$C$18+2)+('Sensitivity &amp; Scenarios'!$C$6*(1+$E827)^4*$G827+'Sensitivity &amp; Scenarios'!$C$11*'Sensitivity &amp; Scenarios'!$C$6*((1+$E827)^4-(1+$E827)^3))/(1+$C827)^('Sensitivity &amp; Scenarios'!$C$18+3)+('Sensitivity &amp; Scenarios'!$C$6*(1+$E827)^5*$G827+'Sensitivity &amp; Scenarios'!$C$11*'Sensitivity &amp; Scenarios'!$C$6*((1+$E827)^5-(1+$E827)^4))/(1+$C827)^('Sensitivity &amp; Scenarios'!$C$18+4)</f>
        <v>19095.875775848013</v>
      </c>
      <c r="I827" s="209">
        <f>('Sensitivity &amp; Scenarios'!$C$6*(1+$E827)^5*$G827+'Sensitivity &amp; Scenarios'!$C$11*'Sensitivity &amp; Scenarios'!$C$6*((1+$E827)^5-(1+$E827)^4))*(1+$D827)/($C827-$D827)/(1+$C827)^('Sensitivity &amp; Scenarios'!$C$18+4)</f>
        <v>43706.326776080707</v>
      </c>
      <c r="J827" s="209">
        <f>($H827+$I827-'Sensitivity &amp; Scenarios'!$C$15+'Sensitivity &amp; Scenarios'!$C$16)/'Sensitivity &amp; Scenarios'!$C$17</f>
        <v>1608.4706781802715</v>
      </c>
    </row>
    <row r="828" spans="2:10" x14ac:dyDescent="0.3">
      <c r="B828" s="127">
        <v>798</v>
      </c>
      <c r="C828" s="206">
        <f>$D$7+-0.357305*$E$7</f>
        <v>0.13397920943997799</v>
      </c>
      <c r="D828" s="206">
        <f>MIN($D$8+-1.362051*$E$8,'Debt &amp; Cost of Capital'!$C$38)</f>
        <v>4.6827694000000003E-2</v>
      </c>
      <c r="E828" s="207">
        <f>$D$9+-1.422052*$E$9</f>
        <v>0.12455953770254634</v>
      </c>
      <c r="F828" s="207">
        <f>$D$10+-0.821835*$E$10</f>
        <v>0.13513797999999991</v>
      </c>
      <c r="G828" s="208">
        <f>$F828*(1-'Sensitivity &amp; Scenarios'!$C$12)+'Sensitivity &amp; Scenarios'!$C$9*'Sensitivity &amp; Scenarios'!$C$12-'Sensitivity &amp; Scenarios'!$C$10</f>
        <v>7.0319168522464642E-2</v>
      </c>
      <c r="H828" s="209">
        <f>('Sensitivity &amp; Scenarios'!$C$6*(1+$E828)^1*$G828+'Sensitivity &amp; Scenarios'!$C$11*'Sensitivity &amp; Scenarios'!$C$6*((1+$E828)^1-(1+$E828)^0))*'Sensitivity &amp; Scenarios'!$C$18/(1+$C828)^'Sensitivity &amp; Scenarios'!$C$18+('Sensitivity &amp; Scenarios'!$C$6*(1+$E828)^2*$G828+'Sensitivity &amp; Scenarios'!$C$11*'Sensitivity &amp; Scenarios'!$C$6*((1+$E828)^2-(1+$E828)^1))/(1+$C828)^('Sensitivity &amp; Scenarios'!$C$18+1)+('Sensitivity &amp; Scenarios'!$C$6*(1+$E828)^3*$G828+'Sensitivity &amp; Scenarios'!$C$11*'Sensitivity &amp; Scenarios'!$C$6*((1+$E828)^3-(1+$E828)^2))/(1+$C828)^('Sensitivity &amp; Scenarios'!$C$18+2)+('Sensitivity &amp; Scenarios'!$C$6*(1+$E828)^4*$G828+'Sensitivity &amp; Scenarios'!$C$11*'Sensitivity &amp; Scenarios'!$C$6*((1+$E828)^4-(1+$E828)^3))/(1+$C828)^('Sensitivity &amp; Scenarios'!$C$18+3)+('Sensitivity &amp; Scenarios'!$C$6*(1+$E828)^5*$G828+'Sensitivity &amp; Scenarios'!$C$11*'Sensitivity &amp; Scenarios'!$C$6*((1+$E828)^5-(1+$E828)^4))/(1+$C828)^('Sensitivity &amp; Scenarios'!$C$18+4)</f>
        <v>18430.570501914448</v>
      </c>
      <c r="I828" s="209">
        <f>('Sensitivity &amp; Scenarios'!$C$6*(1+$E828)^5*$G828+'Sensitivity &amp; Scenarios'!$C$11*'Sensitivity &amp; Scenarios'!$C$6*((1+$E828)^5-(1+$E828)^4))*(1+$D828)/($C828-$D828)/(1+$C828)^('Sensitivity &amp; Scenarios'!$C$18+4)</f>
        <v>47053.258293337043</v>
      </c>
      <c r="J828" s="209">
        <f>($H828+$I828-'Sensitivity &amp; Scenarios'!$C$15+'Sensitivity &amp; Scenarios'!$C$16)/'Sensitivity &amp; Scenarios'!$C$17</f>
        <v>1664.9156291749898</v>
      </c>
    </row>
    <row r="829" spans="2:10" x14ac:dyDescent="0.3">
      <c r="B829" s="127">
        <v>799</v>
      </c>
      <c r="C829" s="206">
        <f>$D$7+0.086254*$E$7</f>
        <v>0.13841479943997798</v>
      </c>
      <c r="D829" s="206">
        <f>MIN($D$8+-1.180594*$E$8,'Debt &amp; Cost of Capital'!$C$38)</f>
        <v>4.7916436E-2</v>
      </c>
      <c r="E829" s="207">
        <f>$D$9+-0.115804*$E$9</f>
        <v>0.16374697770254634</v>
      </c>
      <c r="F829" s="207">
        <f>$D$10+1.058553*$E$10</f>
        <v>0.1577026359999999</v>
      </c>
      <c r="G829" s="208">
        <f>$F829*(1-'Sensitivity &amp; Scenarios'!$C$12)+'Sensitivity &amp; Scenarios'!$C$9*'Sensitivity &amp; Scenarios'!$C$12-'Sensitivity &amp; Scenarios'!$C$10</f>
        <v>8.7204300607264626E-2</v>
      </c>
      <c r="H829" s="209">
        <f>('Sensitivity &amp; Scenarios'!$C$6*(1+$E829)^1*$G829+'Sensitivity &amp; Scenarios'!$C$11*'Sensitivity &amp; Scenarios'!$C$6*((1+$E829)^1-(1+$E829)^0))*'Sensitivity &amp; Scenarios'!$C$18/(1+$C829)^'Sensitivity &amp; Scenarios'!$C$18+('Sensitivity &amp; Scenarios'!$C$6*(1+$E829)^2*$G829+'Sensitivity &amp; Scenarios'!$C$11*'Sensitivity &amp; Scenarios'!$C$6*((1+$E829)^2-(1+$E829)^1))/(1+$C829)^('Sensitivity &amp; Scenarios'!$C$18+1)+('Sensitivity &amp; Scenarios'!$C$6*(1+$E829)^3*$G829+'Sensitivity &amp; Scenarios'!$C$11*'Sensitivity &amp; Scenarios'!$C$6*((1+$E829)^3-(1+$E829)^2))/(1+$C829)^('Sensitivity &amp; Scenarios'!$C$18+2)+('Sensitivity &amp; Scenarios'!$C$6*(1+$E829)^4*$G829+'Sensitivity &amp; Scenarios'!$C$11*'Sensitivity &amp; Scenarios'!$C$6*((1+$E829)^4-(1+$E829)^3))/(1+$C829)^('Sensitivity &amp; Scenarios'!$C$18+3)+('Sensitivity &amp; Scenarios'!$C$6*(1+$E829)^5*$G829+'Sensitivity &amp; Scenarios'!$C$11*'Sensitivity &amp; Scenarios'!$C$6*((1+$E829)^5-(1+$E829)^4))/(1+$C829)^('Sensitivity &amp; Scenarios'!$C$18+4)</f>
        <v>25291.804404226525</v>
      </c>
      <c r="I829" s="209">
        <f>('Sensitivity &amp; Scenarios'!$C$6*(1+$E829)^5*$G829+'Sensitivity &amp; Scenarios'!$C$11*'Sensitivity &amp; Scenarios'!$C$6*((1+$E829)^5-(1+$E829)^4))*(1+$D829)/($C829-$D829)/(1+$C829)^('Sensitivity &amp; Scenarios'!$C$18+4)</f>
        <v>65799.925492225055</v>
      </c>
      <c r="J829" s="209">
        <f>($H829+$I829-'Sensitivity &amp; Scenarios'!$C$15+'Sensitivity &amp; Scenarios'!$C$16)/'Sensitivity &amp; Scenarios'!$C$17</f>
        <v>2203.9306117192414</v>
      </c>
    </row>
    <row r="830" spans="2:10" x14ac:dyDescent="0.3">
      <c r="B830" s="127">
        <v>800</v>
      </c>
      <c r="C830" s="206">
        <f>$D$7+-1.30178*$E$7</f>
        <v>0.12453445943997798</v>
      </c>
      <c r="D830" s="206">
        <f>MIN($D$8+-0.206446*$E$8,'Debt &amp; Cost of Capital'!$C$38)</f>
        <v>5.3761323999999999E-2</v>
      </c>
      <c r="E830" s="207">
        <f>$D$9+1.024757*$E$9</f>
        <v>0.19796380770254635</v>
      </c>
      <c r="F830" s="207">
        <f>$D$10+-0.418268*$E$10</f>
        <v>0.13998078399999991</v>
      </c>
      <c r="G830" s="208">
        <f>$F830*(1-'Sensitivity &amp; Scenarios'!$C$12)+'Sensitivity &amp; Scenarios'!$C$9*'Sensitivity &amp; Scenarios'!$C$12-'Sensitivity &amp; Scenarios'!$C$10</f>
        <v>7.3943038755664645E-2</v>
      </c>
      <c r="H830" s="209">
        <f>('Sensitivity &amp; Scenarios'!$C$6*(1+$E830)^1*$G830+'Sensitivity &amp; Scenarios'!$C$11*'Sensitivity &amp; Scenarios'!$C$6*((1+$E830)^1-(1+$E830)^0))*'Sensitivity &amp; Scenarios'!$C$18/(1+$C830)^'Sensitivity &amp; Scenarios'!$C$18+('Sensitivity &amp; Scenarios'!$C$6*(1+$E830)^2*$G830+'Sensitivity &amp; Scenarios'!$C$11*'Sensitivity &amp; Scenarios'!$C$6*((1+$E830)^2-(1+$E830)^1))/(1+$C830)^('Sensitivity &amp; Scenarios'!$C$18+1)+('Sensitivity &amp; Scenarios'!$C$6*(1+$E830)^3*$G830+'Sensitivity &amp; Scenarios'!$C$11*'Sensitivity &amp; Scenarios'!$C$6*((1+$E830)^3-(1+$E830)^2))/(1+$C830)^('Sensitivity &amp; Scenarios'!$C$18+2)+('Sensitivity &amp; Scenarios'!$C$6*(1+$E830)^4*$G830+'Sensitivity &amp; Scenarios'!$C$11*'Sensitivity &amp; Scenarios'!$C$6*((1+$E830)^4-(1+$E830)^3))/(1+$C830)^('Sensitivity &amp; Scenarios'!$C$18+3)+('Sensitivity &amp; Scenarios'!$C$6*(1+$E830)^5*$G830+'Sensitivity &amp; Scenarios'!$C$11*'Sensitivity &amp; Scenarios'!$C$6*((1+$E830)^5-(1+$E830)^4))/(1+$C830)^('Sensitivity &amp; Scenarios'!$C$18+4)</f>
        <v>25813.416724403567</v>
      </c>
      <c r="I830" s="209">
        <f>('Sensitivity &amp; Scenarios'!$C$6*(1+$E830)^5*$G830+'Sensitivity &amp; Scenarios'!$C$11*'Sensitivity &amp; Scenarios'!$C$6*((1+$E830)^5-(1+$E830)^4))*(1+$D830)/($C830-$D830)/(1+$C830)^('Sensitivity &amp; Scenarios'!$C$18+4)</f>
        <v>92871.818992498695</v>
      </c>
      <c r="J830" s="209">
        <f>($H830+$I830-'Sensitivity &amp; Scenarios'!$C$15+'Sensitivity &amp; Scenarios'!$C$16)/'Sensitivity &amp; Scenarios'!$C$17</f>
        <v>2784.740143877576</v>
      </c>
    </row>
    <row r="831" spans="2:10" x14ac:dyDescent="0.3">
      <c r="B831" s="127">
        <v>801</v>
      </c>
      <c r="C831" s="206">
        <f>$D$7+-0.57367*$E$7</f>
        <v>0.13181555943997797</v>
      </c>
      <c r="D831" s="206">
        <f>MIN($D$8+1.163496*$E$8,'Debt &amp; Cost of Capital'!$C$38)</f>
        <v>6.1980976E-2</v>
      </c>
      <c r="E831" s="207">
        <f>$D$9+-0.306202*$E$9</f>
        <v>0.15803503770254634</v>
      </c>
      <c r="F831" s="207">
        <f>$D$10+1.104495*$E$10</f>
        <v>0.1582539399999999</v>
      </c>
      <c r="G831" s="208">
        <f>$F831*(1-'Sensitivity &amp; Scenarios'!$C$12)+'Sensitivity &amp; Scenarios'!$C$9*'Sensitivity &amp; Scenarios'!$C$12-'Sensitivity &amp; Scenarios'!$C$10</f>
        <v>8.7616841390464634E-2</v>
      </c>
      <c r="H831" s="209">
        <f>('Sensitivity &amp; Scenarios'!$C$6*(1+$E831)^1*$G831+'Sensitivity &amp; Scenarios'!$C$11*'Sensitivity &amp; Scenarios'!$C$6*((1+$E831)^1-(1+$E831)^0))*'Sensitivity &amp; Scenarios'!$C$18/(1+$C831)^'Sensitivity &amp; Scenarios'!$C$18+('Sensitivity &amp; Scenarios'!$C$6*(1+$E831)^2*$G831+'Sensitivity &amp; Scenarios'!$C$11*'Sensitivity &amp; Scenarios'!$C$6*((1+$E831)^2-(1+$E831)^1))/(1+$C831)^('Sensitivity &amp; Scenarios'!$C$18+1)+('Sensitivity &amp; Scenarios'!$C$6*(1+$E831)^3*$G831+'Sensitivity &amp; Scenarios'!$C$11*'Sensitivity &amp; Scenarios'!$C$6*((1+$E831)^3-(1+$E831)^2))/(1+$C831)^('Sensitivity &amp; Scenarios'!$C$18+2)+('Sensitivity &amp; Scenarios'!$C$6*(1+$E831)^4*$G831+'Sensitivity &amp; Scenarios'!$C$11*'Sensitivity &amp; Scenarios'!$C$6*((1+$E831)^4-(1+$E831)^3))/(1+$C831)^('Sensitivity &amp; Scenarios'!$C$18+3)+('Sensitivity &amp; Scenarios'!$C$6*(1+$E831)^5*$G831+'Sensitivity &amp; Scenarios'!$C$11*'Sensitivity &amp; Scenarios'!$C$6*((1+$E831)^5-(1+$E831)^4))/(1+$C831)^('Sensitivity &amp; Scenarios'!$C$18+4)</f>
        <v>25296.886278246682</v>
      </c>
      <c r="I831" s="209">
        <f>('Sensitivity &amp; Scenarios'!$C$6*(1+$E831)^5*$G831+'Sensitivity &amp; Scenarios'!$C$11*'Sensitivity &amp; Scenarios'!$C$6*((1+$E831)^5-(1+$E831)^4))*(1+$D831)/($C831-$D831)/(1+$C831)^('Sensitivity &amp; Scenarios'!$C$18+4)</f>
        <v>86570.841440907476</v>
      </c>
      <c r="J831" s="209">
        <f>($H831+$I831-'Sensitivity &amp; Scenarios'!$C$15+'Sensitivity &amp; Scenarios'!$C$16)/'Sensitivity &amp; Scenarios'!$C$17</f>
        <v>2641.239942909162</v>
      </c>
    </row>
    <row r="832" spans="2:10" x14ac:dyDescent="0.3">
      <c r="B832" s="127">
        <v>802</v>
      </c>
      <c r="C832" s="206">
        <f>$D$7+0.428965*$E$7</f>
        <v>0.14184190943997799</v>
      </c>
      <c r="D832" s="206">
        <f>MIN($D$8+-0.342845*$E$8,'Debt &amp; Cost of Capital'!$C$38)</f>
        <v>5.2942929999999999E-2</v>
      </c>
      <c r="E832" s="207">
        <f>$D$9+0.479691*$E$9</f>
        <v>0.18161182770254633</v>
      </c>
      <c r="F832" s="207">
        <f>$D$10+0.32045*$E$10</f>
        <v>0.14884539999999991</v>
      </c>
      <c r="G832" s="208">
        <f>$F832*(1-'Sensitivity &amp; Scenarios'!$C$12)+'Sensitivity &amp; Scenarios'!$C$9*'Sensitivity &amp; Scenarios'!$C$12-'Sensitivity &amp; Scenarios'!$C$10</f>
        <v>8.0576430908464641E-2</v>
      </c>
      <c r="H832" s="209">
        <f>('Sensitivity &amp; Scenarios'!$C$6*(1+$E832)^1*$G832+'Sensitivity &amp; Scenarios'!$C$11*'Sensitivity &amp; Scenarios'!$C$6*((1+$E832)^1-(1+$E832)^0))*'Sensitivity &amp; Scenarios'!$C$18/(1+$C832)^'Sensitivity &amp; Scenarios'!$C$18+('Sensitivity &amp; Scenarios'!$C$6*(1+$E832)^2*$G832+'Sensitivity &amp; Scenarios'!$C$11*'Sensitivity &amp; Scenarios'!$C$6*((1+$E832)^2-(1+$E832)^1))/(1+$C832)^('Sensitivity &amp; Scenarios'!$C$18+1)+('Sensitivity &amp; Scenarios'!$C$6*(1+$E832)^3*$G832+'Sensitivity &amp; Scenarios'!$C$11*'Sensitivity &amp; Scenarios'!$C$6*((1+$E832)^3-(1+$E832)^2))/(1+$C832)^('Sensitivity &amp; Scenarios'!$C$18+2)+('Sensitivity &amp; Scenarios'!$C$6*(1+$E832)^4*$G832+'Sensitivity &amp; Scenarios'!$C$11*'Sensitivity &amp; Scenarios'!$C$6*((1+$E832)^4-(1+$E832)^3))/(1+$C832)^('Sensitivity &amp; Scenarios'!$C$18+3)+('Sensitivity &amp; Scenarios'!$C$6*(1+$E832)^5*$G832+'Sensitivity &amp; Scenarios'!$C$11*'Sensitivity &amp; Scenarios'!$C$6*((1+$E832)^5-(1+$E832)^4))/(1+$C832)^('Sensitivity &amp; Scenarios'!$C$18+4)</f>
        <v>24999.968717189455</v>
      </c>
      <c r="I832" s="209">
        <f>('Sensitivity &amp; Scenarios'!$C$6*(1+$E832)^5*$G832+'Sensitivity &amp; Scenarios'!$C$11*'Sensitivity &amp; Scenarios'!$C$6*((1+$E832)^5-(1+$E832)^4))*(1+$D832)/($C832-$D832)/(1+$C832)^('Sensitivity &amp; Scenarios'!$C$18+4)</f>
        <v>68001.175815579554</v>
      </c>
      <c r="J832" s="209">
        <f>($H832+$I832-'Sensitivity &amp; Scenarios'!$C$15+'Sensitivity &amp; Scenarios'!$C$16)/'Sensitivity &amp; Scenarios'!$C$17</f>
        <v>2244.1214533191469</v>
      </c>
    </row>
    <row r="833" spans="2:10" x14ac:dyDescent="0.3">
      <c r="B833" s="127">
        <v>803</v>
      </c>
      <c r="C833" s="206">
        <f>$D$7+1.020883*$E$7</f>
        <v>0.14776108943997798</v>
      </c>
      <c r="D833" s="206">
        <f>MIN($D$8+-0.548346*$E$8,'Debt &amp; Cost of Capital'!$C$38)</f>
        <v>5.1709923999999997E-2</v>
      </c>
      <c r="E833" s="207">
        <f>$D$9+0.041206*$E$9</f>
        <v>0.16845727770254634</v>
      </c>
      <c r="F833" s="207">
        <f>$D$10+-0.061516*$E$10</f>
        <v>0.14426180799999991</v>
      </c>
      <c r="G833" s="208">
        <f>$F833*(1-'Sensitivity &amp; Scenarios'!$C$12)+'Sensitivity &amp; Scenarios'!$C$9*'Sensitivity &amp; Scenarios'!$C$12-'Sensitivity &amp; Scenarios'!$C$10</f>
        <v>7.7146529014864643E-2</v>
      </c>
      <c r="H833" s="209">
        <f>('Sensitivity &amp; Scenarios'!$C$6*(1+$E833)^1*$G833+'Sensitivity &amp; Scenarios'!$C$11*'Sensitivity &amp; Scenarios'!$C$6*((1+$E833)^1-(1+$E833)^0))*'Sensitivity &amp; Scenarios'!$C$18/(1+$C833)^'Sensitivity &amp; Scenarios'!$C$18+('Sensitivity &amp; Scenarios'!$C$6*(1+$E833)^2*$G833+'Sensitivity &amp; Scenarios'!$C$11*'Sensitivity &amp; Scenarios'!$C$6*((1+$E833)^2-(1+$E833)^1))/(1+$C833)^('Sensitivity &amp; Scenarios'!$C$18+1)+('Sensitivity &amp; Scenarios'!$C$6*(1+$E833)^3*$G833+'Sensitivity &amp; Scenarios'!$C$11*'Sensitivity &amp; Scenarios'!$C$6*((1+$E833)^3-(1+$E833)^2))/(1+$C833)^('Sensitivity &amp; Scenarios'!$C$18+2)+('Sensitivity &amp; Scenarios'!$C$6*(1+$E833)^4*$G833+'Sensitivity &amp; Scenarios'!$C$11*'Sensitivity &amp; Scenarios'!$C$6*((1+$E833)^4-(1+$E833)^3))/(1+$C833)^('Sensitivity &amp; Scenarios'!$C$18+3)+('Sensitivity &amp; Scenarios'!$C$6*(1+$E833)^5*$G833+'Sensitivity &amp; Scenarios'!$C$11*'Sensitivity &amp; Scenarios'!$C$6*((1+$E833)^5-(1+$E833)^4))/(1+$C833)^('Sensitivity &amp; Scenarios'!$C$18+4)</f>
        <v>22675.501001701006</v>
      </c>
      <c r="I833" s="209">
        <f>('Sensitivity &amp; Scenarios'!$C$6*(1+$E833)^5*$G833+'Sensitivity &amp; Scenarios'!$C$11*'Sensitivity &amp; Scenarios'!$C$6*((1+$E833)^5-(1+$E833)^4))*(1+$D833)/($C833-$D833)/(1+$C833)^('Sensitivity &amp; Scenarios'!$C$18+4)</f>
        <v>55368.942716975478</v>
      </c>
      <c r="J833" s="209">
        <f>($H833+$I833-'Sensitivity &amp; Scenarios'!$C$15+'Sensitivity &amp; Scenarios'!$C$16)/'Sensitivity &amp; Scenarios'!$C$17</f>
        <v>1929.3012032577365</v>
      </c>
    </row>
    <row r="834" spans="2:10" x14ac:dyDescent="0.3">
      <c r="B834" s="127">
        <v>804</v>
      </c>
      <c r="C834" s="206">
        <f>$D$7+0.704148*$E$7</f>
        <v>0.14459373943997797</v>
      </c>
      <c r="D834" s="206">
        <f>MIN($D$8+-1.025179*$E$8,'Debt &amp; Cost of Capital'!$C$38)</f>
        <v>4.8848926000000001E-2</v>
      </c>
      <c r="E834" s="207">
        <f>$D$9+1.016977*$E$9</f>
        <v>0.19773040770254635</v>
      </c>
      <c r="F834" s="207">
        <f>$D$10+0.466329*$E$10</f>
        <v>0.1505959479999999</v>
      </c>
      <c r="G834" s="208">
        <f>$F834*(1-'Sensitivity &amp; Scenarios'!$C$12)+'Sensitivity &amp; Scenarios'!$C$9*'Sensitivity &amp; Scenarios'!$C$12-'Sensitivity &amp; Scenarios'!$C$10</f>
        <v>8.1886365976864633E-2</v>
      </c>
      <c r="H834" s="209">
        <f>('Sensitivity &amp; Scenarios'!$C$6*(1+$E834)^1*$G834+'Sensitivity &amp; Scenarios'!$C$11*'Sensitivity &amp; Scenarios'!$C$6*((1+$E834)^1-(1+$E834)^0))*'Sensitivity &amp; Scenarios'!$C$18/(1+$C834)^'Sensitivity &amp; Scenarios'!$C$18+('Sensitivity &amp; Scenarios'!$C$6*(1+$E834)^2*$G834+'Sensitivity &amp; Scenarios'!$C$11*'Sensitivity &amp; Scenarios'!$C$6*((1+$E834)^2-(1+$E834)^1))/(1+$C834)^('Sensitivity &amp; Scenarios'!$C$18+1)+('Sensitivity &amp; Scenarios'!$C$6*(1+$E834)^3*$G834+'Sensitivity &amp; Scenarios'!$C$11*'Sensitivity &amp; Scenarios'!$C$6*((1+$E834)^3-(1+$E834)^2))/(1+$C834)^('Sensitivity &amp; Scenarios'!$C$18+2)+('Sensitivity &amp; Scenarios'!$C$6*(1+$E834)^4*$G834+'Sensitivity &amp; Scenarios'!$C$11*'Sensitivity &amp; Scenarios'!$C$6*((1+$E834)^4-(1+$E834)^3))/(1+$C834)^('Sensitivity &amp; Scenarios'!$C$18+3)+('Sensitivity &amp; Scenarios'!$C$6*(1+$E834)^5*$G834+'Sensitivity &amp; Scenarios'!$C$11*'Sensitivity &amp; Scenarios'!$C$6*((1+$E834)^5-(1+$E834)^4))/(1+$C834)^('Sensitivity &amp; Scenarios'!$C$18+4)</f>
        <v>26621.051647271441</v>
      </c>
      <c r="I834" s="209">
        <f>('Sensitivity &amp; Scenarios'!$C$6*(1+$E834)^5*$G834+'Sensitivity &amp; Scenarios'!$C$11*'Sensitivity &amp; Scenarios'!$C$6*((1+$E834)^5-(1+$E834)^4))*(1+$D834)/($C834-$D834)/(1+$C834)^('Sensitivity &amp; Scenarios'!$C$18+4)</f>
        <v>68305.211081818779</v>
      </c>
      <c r="J834" s="209">
        <f>($H834+$I834-'Sensitivity &amp; Scenarios'!$C$15+'Sensitivity &amp; Scenarios'!$C$16)/'Sensitivity &amp; Scenarios'!$C$17</f>
        <v>2284.6428356411466</v>
      </c>
    </row>
    <row r="835" spans="2:10" x14ac:dyDescent="0.3">
      <c r="B835" s="127">
        <v>805</v>
      </c>
      <c r="C835" s="206">
        <f>$D$7+-1.316925*$E$7</f>
        <v>0.12438300943997799</v>
      </c>
      <c r="D835" s="206">
        <f>MIN($D$8+1.208263*$E$8,'Debt &amp; Cost of Capital'!$C$38)</f>
        <v>6.2249578E-2</v>
      </c>
      <c r="E835" s="207">
        <f>$D$9+2.234093*$E$9</f>
        <v>0.23424388770254634</v>
      </c>
      <c r="F835" s="207">
        <f>$D$10+1.001834*$E$10</f>
        <v>0.15702200799999991</v>
      </c>
      <c r="G835" s="208">
        <f>$F835*(1-'Sensitivity &amp; Scenarios'!$C$12)+'Sensitivity &amp; Scenarios'!$C$9*'Sensitivity &amp; Scenarios'!$C$12-'Sensitivity &amp; Scenarios'!$C$10</f>
        <v>8.6694986674864638E-2</v>
      </c>
      <c r="H835" s="209">
        <f>('Sensitivity &amp; Scenarios'!$C$6*(1+$E835)^1*$G835+'Sensitivity &amp; Scenarios'!$C$11*'Sensitivity &amp; Scenarios'!$C$6*((1+$E835)^1-(1+$E835)^0))*'Sensitivity &amp; Scenarios'!$C$18/(1+$C835)^'Sensitivity &amp; Scenarios'!$C$18+('Sensitivity &amp; Scenarios'!$C$6*(1+$E835)^2*$G835+'Sensitivity &amp; Scenarios'!$C$11*'Sensitivity &amp; Scenarios'!$C$6*((1+$E835)^2-(1+$E835)^1))/(1+$C835)^('Sensitivity &amp; Scenarios'!$C$18+1)+('Sensitivity &amp; Scenarios'!$C$6*(1+$E835)^3*$G835+'Sensitivity &amp; Scenarios'!$C$11*'Sensitivity &amp; Scenarios'!$C$6*((1+$E835)^3-(1+$E835)^2))/(1+$C835)^('Sensitivity &amp; Scenarios'!$C$18+2)+('Sensitivity &amp; Scenarios'!$C$6*(1+$E835)^4*$G835+'Sensitivity &amp; Scenarios'!$C$11*'Sensitivity &amp; Scenarios'!$C$6*((1+$E835)^4-(1+$E835)^3))/(1+$C835)^('Sensitivity &amp; Scenarios'!$C$18+3)+('Sensitivity &amp; Scenarios'!$C$6*(1+$E835)^5*$G835+'Sensitivity &amp; Scenarios'!$C$11*'Sensitivity &amp; Scenarios'!$C$6*((1+$E835)^5-(1+$E835)^4))/(1+$C835)^('Sensitivity &amp; Scenarios'!$C$18+4)</f>
        <v>33274.481399472323</v>
      </c>
      <c r="I835" s="209">
        <f>('Sensitivity &amp; Scenarios'!$C$6*(1+$E835)^5*$G835+'Sensitivity &amp; Scenarios'!$C$11*'Sensitivity &amp; Scenarios'!$C$6*((1+$E835)^5-(1+$E835)^4))*(1+$D835)/($C835-$D835)/(1+$C835)^('Sensitivity &amp; Scenarios'!$C$18+4)</f>
        <v>144647.12733201799</v>
      </c>
      <c r="J835" s="209">
        <f>($H835+$I835-'Sensitivity &amp; Scenarios'!$C$15+'Sensitivity &amp; Scenarios'!$C$16)/'Sensitivity &amp; Scenarios'!$C$17</f>
        <v>4031.5933100258412</v>
      </c>
    </row>
    <row r="836" spans="2:10" x14ac:dyDescent="0.3">
      <c r="B836" s="127">
        <v>806</v>
      </c>
      <c r="C836" s="206">
        <f>$D$7+1.426985*$E$7</f>
        <v>0.15182210943997798</v>
      </c>
      <c r="D836" s="206">
        <f>MIN($D$8+0.085371*$E$8,'Debt &amp; Cost of Capital'!$C$38)</f>
        <v>5.5512225999999998E-2</v>
      </c>
      <c r="E836" s="207">
        <f>$D$9+-1.661505*$E$9</f>
        <v>0.11737594770254633</v>
      </c>
      <c r="F836" s="207">
        <f>$D$10+-1.84412*$E$10</f>
        <v>0.12287055999999991</v>
      </c>
      <c r="G836" s="208">
        <f>$F836*(1-'Sensitivity &amp; Scenarios'!$C$12)+'Sensitivity &amp; Scenarios'!$C$9*'Sensitivity &amp; Scenarios'!$C$12-'Sensitivity &amp; Scenarios'!$C$10</f>
        <v>6.1139458136464639E-2</v>
      </c>
      <c r="H836" s="209">
        <f>('Sensitivity &amp; Scenarios'!$C$6*(1+$E836)^1*$G836+'Sensitivity &amp; Scenarios'!$C$11*'Sensitivity &amp; Scenarios'!$C$6*((1+$E836)^1-(1+$E836)^0))*'Sensitivity &amp; Scenarios'!$C$18/(1+$C836)^'Sensitivity &amp; Scenarios'!$C$18+('Sensitivity &amp; Scenarios'!$C$6*(1+$E836)^2*$G836+'Sensitivity &amp; Scenarios'!$C$11*'Sensitivity &amp; Scenarios'!$C$6*((1+$E836)^2-(1+$E836)^1))/(1+$C836)^('Sensitivity &amp; Scenarios'!$C$18+1)+('Sensitivity &amp; Scenarios'!$C$6*(1+$E836)^3*$G836+'Sensitivity &amp; Scenarios'!$C$11*'Sensitivity &amp; Scenarios'!$C$6*((1+$E836)^3-(1+$E836)^2))/(1+$C836)^('Sensitivity &amp; Scenarios'!$C$18+2)+('Sensitivity &amp; Scenarios'!$C$6*(1+$E836)^4*$G836+'Sensitivity &amp; Scenarios'!$C$11*'Sensitivity &amp; Scenarios'!$C$6*((1+$E836)^4-(1+$E836)^3))/(1+$C836)^('Sensitivity &amp; Scenarios'!$C$18+3)+('Sensitivity &amp; Scenarios'!$C$6*(1+$E836)^5*$G836+'Sensitivity &amp; Scenarios'!$C$11*'Sensitivity &amp; Scenarios'!$C$6*((1+$E836)^5-(1+$E836)^4))/(1+$C836)^('Sensitivity &amp; Scenarios'!$C$18+4)</f>
        <v>15247.196336368906</v>
      </c>
      <c r="I836" s="209">
        <f>('Sensitivity &amp; Scenarios'!$C$6*(1+$E836)^5*$G836+'Sensitivity &amp; Scenarios'!$C$11*'Sensitivity &amp; Scenarios'!$C$6*((1+$E836)^5-(1+$E836)^4))*(1+$D836)/($C836-$D836)/(1+$C836)^('Sensitivity &amp; Scenarios'!$C$18+4)</f>
        <v>34078.876800162339</v>
      </c>
      <c r="J836" s="209">
        <f>($H836+$I836-'Sensitivity &amp; Scenarios'!$C$15+'Sensitivity &amp; Scenarios'!$C$16)/'Sensitivity &amp; Scenarios'!$C$17</f>
        <v>1324.8146443296826</v>
      </c>
    </row>
    <row r="837" spans="2:10" x14ac:dyDescent="0.3">
      <c r="B837" s="127">
        <v>807</v>
      </c>
      <c r="C837" s="206">
        <f>$D$7+0.255082*$E$7</f>
        <v>0.14010307943997799</v>
      </c>
      <c r="D837" s="206">
        <f>MIN($D$8+-0.591979*$E$8,'Debt &amp; Cost of Capital'!$C$38)</f>
        <v>5.1448125999999997E-2</v>
      </c>
      <c r="E837" s="207">
        <f>$D$9+-0.914576*$E$9</f>
        <v>0.13978381770254633</v>
      </c>
      <c r="F837" s="207">
        <f>$D$10+-0.062747*$E$10</f>
        <v>0.14424703599999991</v>
      </c>
      <c r="G837" s="208">
        <f>$F837*(1-'Sensitivity &amp; Scenarios'!$C$12)+'Sensitivity &amp; Scenarios'!$C$9*'Sensitivity &amp; Scenarios'!$C$12-'Sensitivity &amp; Scenarios'!$C$10</f>
        <v>7.7135475127264638E-2</v>
      </c>
      <c r="H837" s="209">
        <f>('Sensitivity &amp; Scenarios'!$C$6*(1+$E837)^1*$G837+'Sensitivity &amp; Scenarios'!$C$11*'Sensitivity &amp; Scenarios'!$C$6*((1+$E837)^1-(1+$E837)^0))*'Sensitivity &amp; Scenarios'!$C$18/(1+$C837)^'Sensitivity &amp; Scenarios'!$C$18+('Sensitivity &amp; Scenarios'!$C$6*(1+$E837)^2*$G837+'Sensitivity &amp; Scenarios'!$C$11*'Sensitivity &amp; Scenarios'!$C$6*((1+$E837)^2-(1+$E837)^1))/(1+$C837)^('Sensitivity &amp; Scenarios'!$C$18+1)+('Sensitivity &amp; Scenarios'!$C$6*(1+$E837)^3*$G837+'Sensitivity &amp; Scenarios'!$C$11*'Sensitivity &amp; Scenarios'!$C$6*((1+$E837)^3-(1+$E837)^2))/(1+$C837)^('Sensitivity &amp; Scenarios'!$C$18+2)+('Sensitivity &amp; Scenarios'!$C$6*(1+$E837)^4*$G837+'Sensitivity &amp; Scenarios'!$C$11*'Sensitivity &amp; Scenarios'!$C$6*((1+$E837)^4-(1+$E837)^3))/(1+$C837)^('Sensitivity &amp; Scenarios'!$C$18+3)+('Sensitivity &amp; Scenarios'!$C$6*(1+$E837)^5*$G837+'Sensitivity &amp; Scenarios'!$C$11*'Sensitivity &amp; Scenarios'!$C$6*((1+$E837)^5-(1+$E837)^4))/(1+$C837)^('Sensitivity &amp; Scenarios'!$C$18+4)</f>
        <v>20807.038298678428</v>
      </c>
      <c r="I837" s="209">
        <f>('Sensitivity &amp; Scenarios'!$C$6*(1+$E837)^5*$G837+'Sensitivity &amp; Scenarios'!$C$11*'Sensitivity &amp; Scenarios'!$C$6*((1+$E837)^5-(1+$E837)^4))*(1+$D837)/($C837-$D837)/(1+$C837)^('Sensitivity &amp; Scenarios'!$C$18+4)</f>
        <v>53237.830684089902</v>
      </c>
      <c r="J837" s="209">
        <f>($H837+$I837-'Sensitivity &amp; Scenarios'!$C$15+'Sensitivity &amp; Scenarios'!$C$16)/'Sensitivity &amp; Scenarios'!$C$17</f>
        <v>1845.1150492289341</v>
      </c>
    </row>
    <row r="838" spans="2:10" x14ac:dyDescent="0.3">
      <c r="B838" s="127">
        <v>808</v>
      </c>
      <c r="C838" s="206">
        <f>$D$7+0.615585*$E$7</f>
        <v>0.14370810943997797</v>
      </c>
      <c r="D838" s="206">
        <f>MIN($D$8+-1.452758*$E$8,'Debt &amp; Cost of Capital'!$C$38)</f>
        <v>4.6283452000000003E-2</v>
      </c>
      <c r="E838" s="207">
        <f>$D$9+-0.448878*$E$9</f>
        <v>0.15375475770254635</v>
      </c>
      <c r="F838" s="207">
        <f>$D$10+1.509871*$E$10</f>
        <v>0.16311845199999991</v>
      </c>
      <c r="G838" s="208">
        <f>$F838*(1-'Sensitivity &amp; Scenarios'!$C$12)+'Sensitivity &amp; Scenarios'!$C$9*'Sensitivity &amp; Scenarios'!$C$12-'Sensitivity &amp; Scenarios'!$C$10</f>
        <v>9.1256955720064648E-2</v>
      </c>
      <c r="H838" s="209">
        <f>('Sensitivity &amp; Scenarios'!$C$6*(1+$E838)^1*$G838+'Sensitivity &amp; Scenarios'!$C$11*'Sensitivity &amp; Scenarios'!$C$6*((1+$E838)^1-(1+$E838)^0))*'Sensitivity &amp; Scenarios'!$C$18/(1+$C838)^'Sensitivity &amp; Scenarios'!$C$18+('Sensitivity &amp; Scenarios'!$C$6*(1+$E838)^2*$G838+'Sensitivity &amp; Scenarios'!$C$11*'Sensitivity &amp; Scenarios'!$C$6*((1+$E838)^2-(1+$E838)^1))/(1+$C838)^('Sensitivity &amp; Scenarios'!$C$18+1)+('Sensitivity &amp; Scenarios'!$C$6*(1+$E838)^3*$G838+'Sensitivity &amp; Scenarios'!$C$11*'Sensitivity &amp; Scenarios'!$C$6*((1+$E838)^3-(1+$E838)^2))/(1+$C838)^('Sensitivity &amp; Scenarios'!$C$18+2)+('Sensitivity &amp; Scenarios'!$C$6*(1+$E838)^4*$G838+'Sensitivity &amp; Scenarios'!$C$11*'Sensitivity &amp; Scenarios'!$C$6*((1+$E838)^4-(1+$E838)^3))/(1+$C838)^('Sensitivity &amp; Scenarios'!$C$18+3)+('Sensitivity &amp; Scenarios'!$C$6*(1+$E838)^5*$G838+'Sensitivity &amp; Scenarios'!$C$11*'Sensitivity &amp; Scenarios'!$C$6*((1+$E838)^5-(1+$E838)^4))/(1+$C838)^('Sensitivity &amp; Scenarios'!$C$18+4)</f>
        <v>25051.522401165974</v>
      </c>
      <c r="I838" s="209">
        <f>('Sensitivity &amp; Scenarios'!$C$6*(1+$E838)^5*$G838+'Sensitivity &amp; Scenarios'!$C$11*'Sensitivity &amp; Scenarios'!$C$6*((1+$E838)^5-(1+$E838)^4))*(1+$D838)/($C838-$D838)/(1+$C838)^('Sensitivity &amp; Scenarios'!$C$18+4)</f>
        <v>59010.367807439419</v>
      </c>
      <c r="J838" s="209">
        <f>($H838+$I838-'Sensitivity &amp; Scenarios'!$C$15+'Sensitivity &amp; Scenarios'!$C$16)/'Sensitivity &amp; Scenarios'!$C$17</f>
        <v>2055.9610884983113</v>
      </c>
    </row>
    <row r="839" spans="2:10" x14ac:dyDescent="0.3">
      <c r="B839" s="127">
        <v>809</v>
      </c>
      <c r="C839" s="206">
        <f>$D$7+-1.075288*$E$7</f>
        <v>0.12679937943997799</v>
      </c>
      <c r="D839" s="206">
        <f>MIN($D$8+0.869761*$E$8,'Debt &amp; Cost of Capital'!$C$38)</f>
        <v>6.0218566000000001E-2</v>
      </c>
      <c r="E839" s="207">
        <f>$D$9+-0.484731*$E$9</f>
        <v>0.15267916770254633</v>
      </c>
      <c r="F839" s="207">
        <f>$D$10+0.545794*$E$10</f>
        <v>0.15154952799999991</v>
      </c>
      <c r="G839" s="208">
        <f>$F839*(1-'Sensitivity &amp; Scenarios'!$C$12)+'Sensitivity &amp; Scenarios'!$C$9*'Sensitivity &amp; Scenarios'!$C$12-'Sensitivity &amp; Scenarios'!$C$10</f>
        <v>8.2599929890864635E-2</v>
      </c>
      <c r="H839" s="209">
        <f>('Sensitivity &amp; Scenarios'!$C$6*(1+$E839)^1*$G839+'Sensitivity &amp; Scenarios'!$C$11*'Sensitivity &amp; Scenarios'!$C$6*((1+$E839)^1-(1+$E839)^0))*'Sensitivity &amp; Scenarios'!$C$18/(1+$C839)^'Sensitivity &amp; Scenarios'!$C$18+('Sensitivity &amp; Scenarios'!$C$6*(1+$E839)^2*$G839+'Sensitivity &amp; Scenarios'!$C$11*'Sensitivity &amp; Scenarios'!$C$6*((1+$E839)^2-(1+$E839)^1))/(1+$C839)^('Sensitivity &amp; Scenarios'!$C$18+1)+('Sensitivity &amp; Scenarios'!$C$6*(1+$E839)^3*$G839+'Sensitivity &amp; Scenarios'!$C$11*'Sensitivity &amp; Scenarios'!$C$6*((1+$E839)^3-(1+$E839)^2))/(1+$C839)^('Sensitivity &amp; Scenarios'!$C$18+2)+('Sensitivity &amp; Scenarios'!$C$6*(1+$E839)^4*$G839+'Sensitivity &amp; Scenarios'!$C$11*'Sensitivity &amp; Scenarios'!$C$6*((1+$E839)^4-(1+$E839)^3))/(1+$C839)^('Sensitivity &amp; Scenarios'!$C$18+3)+('Sensitivity &amp; Scenarios'!$C$6*(1+$E839)^5*$G839+'Sensitivity &amp; Scenarios'!$C$11*'Sensitivity &amp; Scenarios'!$C$6*((1+$E839)^5-(1+$E839)^4))/(1+$C839)^('Sensitivity &amp; Scenarios'!$C$18+4)</f>
        <v>23897.620780343437</v>
      </c>
      <c r="I839" s="209">
        <f>('Sensitivity &amp; Scenarios'!$C$6*(1+$E839)^5*$G839+'Sensitivity &amp; Scenarios'!$C$11*'Sensitivity &amp; Scenarios'!$C$6*((1+$E839)^5-(1+$E839)^4))*(1+$D839)/($C839-$D839)/(1+$C839)^('Sensitivity &amp; Scenarios'!$C$18+4)</f>
        <v>85606.706741814414</v>
      </c>
      <c r="J839" s="209">
        <f>($H839+$I839-'Sensitivity &amp; Scenarios'!$C$15+'Sensitivity &amp; Scenarios'!$C$16)/'Sensitivity &amp; Scenarios'!$C$17</f>
        <v>2591.4932607857545</v>
      </c>
    </row>
    <row r="840" spans="2:10" x14ac:dyDescent="0.3">
      <c r="B840" s="127">
        <v>810</v>
      </c>
      <c r="C840" s="206">
        <f>$D$7+1.097328*$E$7</f>
        <v>0.14852553943997798</v>
      </c>
      <c r="D840" s="206">
        <f>MIN($D$8+0.741282*$E$8,'Debt &amp; Cost of Capital'!$C$38)</f>
        <v>5.9447692000000003E-2</v>
      </c>
      <c r="E840" s="207">
        <f>$D$9+0.90916*$E$9</f>
        <v>0.19449589770254633</v>
      </c>
      <c r="F840" s="207">
        <f>$D$10+-1.151594*$E$10</f>
        <v>0.13118087199999989</v>
      </c>
      <c r="G840" s="208">
        <f>$F840*(1-'Sensitivity &amp; Scenarios'!$C$12)+'Sensitivity &amp; Scenarios'!$C$9*'Sensitivity &amp; Scenarios'!$C$12-'Sensitivity &amp; Scenarios'!$C$10</f>
        <v>6.7358064606064624E-2</v>
      </c>
      <c r="H840" s="209">
        <f>('Sensitivity &amp; Scenarios'!$C$6*(1+$E840)^1*$G840+'Sensitivity &amp; Scenarios'!$C$11*'Sensitivity &amp; Scenarios'!$C$6*((1+$E840)^1-(1+$E840)^0))*'Sensitivity &amp; Scenarios'!$C$18/(1+$C840)^'Sensitivity &amp; Scenarios'!$C$18+('Sensitivity &amp; Scenarios'!$C$6*(1+$E840)^2*$G840+'Sensitivity &amp; Scenarios'!$C$11*'Sensitivity &amp; Scenarios'!$C$6*((1+$E840)^2-(1+$E840)^1))/(1+$C840)^('Sensitivity &amp; Scenarios'!$C$18+1)+('Sensitivity &amp; Scenarios'!$C$6*(1+$E840)^3*$G840+'Sensitivity &amp; Scenarios'!$C$11*'Sensitivity &amp; Scenarios'!$C$6*((1+$E840)^3-(1+$E840)^2))/(1+$C840)^('Sensitivity &amp; Scenarios'!$C$18+2)+('Sensitivity &amp; Scenarios'!$C$6*(1+$E840)^4*$G840+'Sensitivity &amp; Scenarios'!$C$11*'Sensitivity &amp; Scenarios'!$C$6*((1+$E840)^4-(1+$E840)^3))/(1+$C840)^('Sensitivity &amp; Scenarios'!$C$18+3)+('Sensitivity &amp; Scenarios'!$C$6*(1+$E840)^5*$G840+'Sensitivity &amp; Scenarios'!$C$11*'Sensitivity &amp; Scenarios'!$C$6*((1+$E840)^5-(1+$E840)^4))/(1+$C840)^('Sensitivity &amp; Scenarios'!$C$18+4)</f>
        <v>22271.329718487676</v>
      </c>
      <c r="I840" s="209">
        <f>('Sensitivity &amp; Scenarios'!$C$6*(1+$E840)^5*$G840+'Sensitivity &amp; Scenarios'!$C$11*'Sensitivity &amp; Scenarios'!$C$6*((1+$E840)^5-(1+$E840)^4))*(1+$D840)/($C840-$D840)/(1+$C840)^('Sensitivity &amp; Scenarios'!$C$18+4)</f>
        <v>61374.177306624595</v>
      </c>
      <c r="J840" s="209">
        <f>($H840+$I840-'Sensitivity &amp; Scenarios'!$C$15+'Sensitivity &amp; Scenarios'!$C$16)/'Sensitivity &amp; Scenarios'!$C$17</f>
        <v>2047.1967320016458</v>
      </c>
    </row>
    <row r="841" spans="2:10" x14ac:dyDescent="0.3">
      <c r="B841" s="127">
        <v>811</v>
      </c>
      <c r="C841" s="206">
        <f>$D$7+1.11366*$E$7</f>
        <v>0.14868885943997798</v>
      </c>
      <c r="D841" s="206">
        <f>MIN($D$8+-0.852693*$E$8,'Debt &amp; Cost of Capital'!$C$38)</f>
        <v>4.9883841999999998E-2</v>
      </c>
      <c r="E841" s="207">
        <f>$D$9+0.259542*$E$9</f>
        <v>0.17500735770254633</v>
      </c>
      <c r="F841" s="207">
        <f>$D$10+0.258246*$E$10</f>
        <v>0.14809895199999989</v>
      </c>
      <c r="G841" s="208">
        <f>$F841*(1-'Sensitivity &amp; Scenarios'!$C$12)+'Sensitivity &amp; Scenarios'!$C$9*'Sensitivity &amp; Scenarios'!$C$12-'Sensitivity &amp; Scenarios'!$C$10</f>
        <v>8.0017863870064626E-2</v>
      </c>
      <c r="H841" s="209">
        <f>('Sensitivity &amp; Scenarios'!$C$6*(1+$E841)^1*$G841+'Sensitivity &amp; Scenarios'!$C$11*'Sensitivity &amp; Scenarios'!$C$6*((1+$E841)^1-(1+$E841)^0))*'Sensitivity &amp; Scenarios'!$C$18/(1+$C841)^'Sensitivity &amp; Scenarios'!$C$18+('Sensitivity &amp; Scenarios'!$C$6*(1+$E841)^2*$G841+'Sensitivity &amp; Scenarios'!$C$11*'Sensitivity &amp; Scenarios'!$C$6*((1+$E841)^2-(1+$E841)^1))/(1+$C841)^('Sensitivity &amp; Scenarios'!$C$18+1)+('Sensitivity &amp; Scenarios'!$C$6*(1+$E841)^3*$G841+'Sensitivity &amp; Scenarios'!$C$11*'Sensitivity &amp; Scenarios'!$C$6*((1+$E841)^3-(1+$E841)^2))/(1+$C841)^('Sensitivity &amp; Scenarios'!$C$18+2)+('Sensitivity &amp; Scenarios'!$C$6*(1+$E841)^4*$G841+'Sensitivity &amp; Scenarios'!$C$11*'Sensitivity &amp; Scenarios'!$C$6*((1+$E841)^4-(1+$E841)^3))/(1+$C841)^('Sensitivity &amp; Scenarios'!$C$18+3)+('Sensitivity &amp; Scenarios'!$C$6*(1+$E841)^5*$G841+'Sensitivity &amp; Scenarios'!$C$11*'Sensitivity &amp; Scenarios'!$C$6*((1+$E841)^5-(1+$E841)^4))/(1+$C841)^('Sensitivity &amp; Scenarios'!$C$18+4)</f>
        <v>23872.475680202519</v>
      </c>
      <c r="I841" s="209">
        <f>('Sensitivity &amp; Scenarios'!$C$6*(1+$E841)^5*$G841+'Sensitivity &amp; Scenarios'!$C$11*'Sensitivity &amp; Scenarios'!$C$6*((1+$E841)^5-(1+$E841)^4))*(1+$D841)/($C841-$D841)/(1+$C841)^('Sensitivity &amp; Scenarios'!$C$18+4)</f>
        <v>57058.968623763249</v>
      </c>
      <c r="J841" s="209">
        <f>($H841+$I841-'Sensitivity &amp; Scenarios'!$C$15+'Sensitivity &amp; Scenarios'!$C$16)/'Sensitivity &amp; Scenarios'!$C$17</f>
        <v>1990.0690328403027</v>
      </c>
    </row>
    <row r="842" spans="2:10" x14ac:dyDescent="0.3">
      <c r="B842" s="127">
        <v>812</v>
      </c>
      <c r="C842" s="206">
        <f>$D$7+0.485123*$E$7</f>
        <v>0.14240348943997799</v>
      </c>
      <c r="D842" s="206">
        <f>MIN($D$8+0.336957*$E$8,'Debt &amp; Cost of Capital'!$C$38)</f>
        <v>5.7021742E-2</v>
      </c>
      <c r="E842" s="207">
        <f>$D$9+-0.84381*$E$9</f>
        <v>0.14190679770254633</v>
      </c>
      <c r="F842" s="207">
        <f>$D$10+-1.349867*$E$10</f>
        <v>0.12880159599999991</v>
      </c>
      <c r="G842" s="208">
        <f>$F842*(1-'Sensitivity &amp; Scenarios'!$C$12)+'Sensitivity &amp; Scenarios'!$C$9*'Sensitivity &amp; Scenarios'!$C$12-'Sensitivity &amp; Scenarios'!$C$10</f>
        <v>6.5577652375264639E-2</v>
      </c>
      <c r="H842" s="209">
        <f>('Sensitivity &amp; Scenarios'!$C$6*(1+$E842)^1*$G842+'Sensitivity &amp; Scenarios'!$C$11*'Sensitivity &amp; Scenarios'!$C$6*((1+$E842)^1-(1+$E842)^0))*'Sensitivity &amp; Scenarios'!$C$18/(1+$C842)^'Sensitivity &amp; Scenarios'!$C$18+('Sensitivity &amp; Scenarios'!$C$6*(1+$E842)^2*$G842+'Sensitivity &amp; Scenarios'!$C$11*'Sensitivity &amp; Scenarios'!$C$6*((1+$E842)^2-(1+$E842)^1))/(1+$C842)^('Sensitivity &amp; Scenarios'!$C$18+1)+('Sensitivity &amp; Scenarios'!$C$6*(1+$E842)^3*$G842+'Sensitivity &amp; Scenarios'!$C$11*'Sensitivity &amp; Scenarios'!$C$6*((1+$E842)^3-(1+$E842)^2))/(1+$C842)^('Sensitivity &amp; Scenarios'!$C$18+2)+('Sensitivity &amp; Scenarios'!$C$6*(1+$E842)^4*$G842+'Sensitivity &amp; Scenarios'!$C$11*'Sensitivity &amp; Scenarios'!$C$6*((1+$E842)^4-(1+$E842)^3))/(1+$C842)^('Sensitivity &amp; Scenarios'!$C$18+3)+('Sensitivity &amp; Scenarios'!$C$6*(1+$E842)^5*$G842+'Sensitivity &amp; Scenarios'!$C$11*'Sensitivity &amp; Scenarios'!$C$6*((1+$E842)^5-(1+$E842)^4))/(1+$C842)^('Sensitivity &amp; Scenarios'!$C$18+4)</f>
        <v>18199.213964529867</v>
      </c>
      <c r="I842" s="209">
        <f>('Sensitivity &amp; Scenarios'!$C$6*(1+$E842)^5*$G842+'Sensitivity &amp; Scenarios'!$C$11*'Sensitivity &amp; Scenarios'!$C$6*((1+$E842)^5-(1+$E842)^4))*(1+$D842)/($C842-$D842)/(1+$C842)^('Sensitivity &amp; Scenarios'!$C$18+4)</f>
        <v>48592.909305968926</v>
      </c>
      <c r="J842" s="209">
        <f>($H842+$I842-'Sensitivity &amp; Scenarios'!$C$15+'Sensitivity &amp; Scenarios'!$C$16)/'Sensitivity &amp; Scenarios'!$C$17</f>
        <v>1692.4536269574444</v>
      </c>
    </row>
    <row r="843" spans="2:10" x14ac:dyDescent="0.3">
      <c r="B843" s="127">
        <v>813</v>
      </c>
      <c r="C843" s="206">
        <f>$D$7+0.872349*$E$7</f>
        <v>0.14627574943997798</v>
      </c>
      <c r="D843" s="206">
        <f>MIN($D$8+0.185835*$E$8,'Debt &amp; Cost of Capital'!$C$38)</f>
        <v>5.611501E-2</v>
      </c>
      <c r="E843" s="207">
        <f>$D$9+1.149377*$E$9</f>
        <v>0.20170240770254633</v>
      </c>
      <c r="F843" s="207">
        <f>$D$10+-0.044733*$E$10</f>
        <v>0.1444632039999999</v>
      </c>
      <c r="G843" s="208">
        <f>$F843*(1-'Sensitivity &amp; Scenarios'!$C$12)+'Sensitivity &amp; Scenarios'!$C$9*'Sensitivity &amp; Scenarios'!$C$12-'Sensitivity &amp; Scenarios'!$C$10</f>
        <v>7.7297233641664631E-2</v>
      </c>
      <c r="H843" s="209">
        <f>('Sensitivity &amp; Scenarios'!$C$6*(1+$E843)^1*$G843+'Sensitivity &amp; Scenarios'!$C$11*'Sensitivity &amp; Scenarios'!$C$6*((1+$E843)^1-(1+$E843)^0))*'Sensitivity &amp; Scenarios'!$C$18/(1+$C843)^'Sensitivity &amp; Scenarios'!$C$18+('Sensitivity &amp; Scenarios'!$C$6*(1+$E843)^2*$G843+'Sensitivity &amp; Scenarios'!$C$11*'Sensitivity &amp; Scenarios'!$C$6*((1+$E843)^2-(1+$E843)^1))/(1+$C843)^('Sensitivity &amp; Scenarios'!$C$18+1)+('Sensitivity &amp; Scenarios'!$C$6*(1+$E843)^3*$G843+'Sensitivity &amp; Scenarios'!$C$11*'Sensitivity &amp; Scenarios'!$C$6*((1+$E843)^3-(1+$E843)^2))/(1+$C843)^('Sensitivity &amp; Scenarios'!$C$18+2)+('Sensitivity &amp; Scenarios'!$C$6*(1+$E843)^4*$G843+'Sensitivity &amp; Scenarios'!$C$11*'Sensitivity &amp; Scenarios'!$C$6*((1+$E843)^4-(1+$E843)^3))/(1+$C843)^('Sensitivity &amp; Scenarios'!$C$18+3)+('Sensitivity &amp; Scenarios'!$C$6*(1+$E843)^5*$G843+'Sensitivity &amp; Scenarios'!$C$11*'Sensitivity &amp; Scenarios'!$C$6*((1+$E843)^5-(1+$E843)^4))/(1+$C843)^('Sensitivity &amp; Scenarios'!$C$18+4)</f>
        <v>25647.195629796322</v>
      </c>
      <c r="I843" s="209">
        <f>('Sensitivity &amp; Scenarios'!$C$6*(1+$E843)^5*$G843+'Sensitivity &amp; Scenarios'!$C$11*'Sensitivity &amp; Scenarios'!$C$6*((1+$E843)^5-(1+$E843)^4))*(1+$D843)/($C843-$D843)/(1+$C843)^('Sensitivity &amp; Scenarios'!$C$18+4)</f>
        <v>70594.517557243264</v>
      </c>
      <c r="J843" s="209">
        <f>($H843+$I843-'Sensitivity &amp; Scenarios'!$C$15+'Sensitivity &amp; Scenarios'!$C$16)/'Sensitivity &amp; Scenarios'!$C$17</f>
        <v>2312.331458102914</v>
      </c>
    </row>
    <row r="844" spans="2:10" x14ac:dyDescent="0.3">
      <c r="B844" s="127">
        <v>814</v>
      </c>
      <c r="C844" s="206">
        <f>$D$7+-1.405164*$E$7</f>
        <v>0.12350061943997798</v>
      </c>
      <c r="D844" s="206">
        <f>MIN($D$8+0.96613*$E$8,'Debt &amp; Cost of Capital'!$C$38)</f>
        <v>6.0796780000000002E-2</v>
      </c>
      <c r="E844" s="207">
        <f>$D$9+-0.370371*$E$9</f>
        <v>0.15610996770254634</v>
      </c>
      <c r="F844" s="207">
        <f>$D$10+0.342003*$E$10</f>
        <v>0.14910403599999991</v>
      </c>
      <c r="G844" s="208">
        <f>$F844*(1-'Sensitivity &amp; Scenarios'!$C$12)+'Sensitivity &amp; Scenarios'!$C$9*'Sensitivity &amp; Scenarios'!$C$12-'Sensitivity &amp; Scenarios'!$C$10</f>
        <v>8.0769968227264635E-2</v>
      </c>
      <c r="H844" s="209">
        <f>('Sensitivity &amp; Scenarios'!$C$6*(1+$E844)^1*$G844+'Sensitivity &amp; Scenarios'!$C$11*'Sensitivity &amp; Scenarios'!$C$6*((1+$E844)^1-(1+$E844)^0))*'Sensitivity &amp; Scenarios'!$C$18/(1+$C844)^'Sensitivity &amp; Scenarios'!$C$18+('Sensitivity &amp; Scenarios'!$C$6*(1+$E844)^2*$G844+'Sensitivity &amp; Scenarios'!$C$11*'Sensitivity &amp; Scenarios'!$C$6*((1+$E844)^2-(1+$E844)^1))/(1+$C844)^('Sensitivity &amp; Scenarios'!$C$18+1)+('Sensitivity &amp; Scenarios'!$C$6*(1+$E844)^3*$G844+'Sensitivity &amp; Scenarios'!$C$11*'Sensitivity &amp; Scenarios'!$C$6*((1+$E844)^3-(1+$E844)^2))/(1+$C844)^('Sensitivity &amp; Scenarios'!$C$18+2)+('Sensitivity &amp; Scenarios'!$C$6*(1+$E844)^4*$G844+'Sensitivity &amp; Scenarios'!$C$11*'Sensitivity &amp; Scenarios'!$C$6*((1+$E844)^4-(1+$E844)^3))/(1+$C844)^('Sensitivity &amp; Scenarios'!$C$18+3)+('Sensitivity &amp; Scenarios'!$C$6*(1+$E844)^5*$G844+'Sensitivity &amp; Scenarios'!$C$11*'Sensitivity &amp; Scenarios'!$C$6*((1+$E844)^5-(1+$E844)^4))/(1+$C844)^('Sensitivity &amp; Scenarios'!$C$18+4)</f>
        <v>23940.653996794939</v>
      </c>
      <c r="I844" s="209">
        <f>('Sensitivity &amp; Scenarios'!$C$6*(1+$E844)^5*$G844+'Sensitivity &amp; Scenarios'!$C$11*'Sensitivity &amp; Scenarios'!$C$6*((1+$E844)^5-(1+$E844)^4))*(1+$D844)/($C844-$D844)/(1+$C844)^('Sensitivity &amp; Scenarios'!$C$18+4)</f>
        <v>92083.797820014093</v>
      </c>
      <c r="J844" s="209">
        <f>($H844+$I844-'Sensitivity &amp; Scenarios'!$C$15+'Sensitivity &amp; Scenarios'!$C$16)/'Sensitivity &amp; Scenarios'!$C$17</f>
        <v>2728.7338987036765</v>
      </c>
    </row>
    <row r="845" spans="2:10" x14ac:dyDescent="0.3">
      <c r="B845" s="127">
        <v>815</v>
      </c>
      <c r="C845" s="206">
        <f>$D$7+-0.647459*$E$7</f>
        <v>0.13107766943997798</v>
      </c>
      <c r="D845" s="206">
        <f>MIN($D$8+1.644302*$E$8,'Debt &amp; Cost of Capital'!$C$38)</f>
        <v>6.4865811999999995E-2</v>
      </c>
      <c r="E845" s="207">
        <f>$D$9+-0.876565*$E$9</f>
        <v>0.14092414770254635</v>
      </c>
      <c r="F845" s="207">
        <f>$D$10+-0.33743*$E$10</f>
        <v>0.14095083999999991</v>
      </c>
      <c r="G845" s="208">
        <f>$F845*(1-'Sensitivity &amp; Scenarios'!$C$12)+'Sensitivity &amp; Scenarios'!$C$9*'Sensitivity &amp; Scenarios'!$C$12-'Sensitivity &amp; Scenarios'!$C$10</f>
        <v>7.4668931660464635E-2</v>
      </c>
      <c r="H845" s="209">
        <f>('Sensitivity &amp; Scenarios'!$C$6*(1+$E845)^1*$G845+'Sensitivity &amp; Scenarios'!$C$11*'Sensitivity &amp; Scenarios'!$C$6*((1+$E845)^1-(1+$E845)^0))*'Sensitivity &amp; Scenarios'!$C$18/(1+$C845)^'Sensitivity &amp; Scenarios'!$C$18+('Sensitivity &amp; Scenarios'!$C$6*(1+$E845)^2*$G845+'Sensitivity &amp; Scenarios'!$C$11*'Sensitivity &amp; Scenarios'!$C$6*((1+$E845)^2-(1+$E845)^1))/(1+$C845)^('Sensitivity &amp; Scenarios'!$C$18+1)+('Sensitivity &amp; Scenarios'!$C$6*(1+$E845)^3*$G845+'Sensitivity &amp; Scenarios'!$C$11*'Sensitivity &amp; Scenarios'!$C$6*((1+$E845)^3-(1+$E845)^2))/(1+$C845)^('Sensitivity &amp; Scenarios'!$C$18+2)+('Sensitivity &amp; Scenarios'!$C$6*(1+$E845)^4*$G845+'Sensitivity &amp; Scenarios'!$C$11*'Sensitivity &amp; Scenarios'!$C$6*((1+$E845)^4-(1+$E845)^3))/(1+$C845)^('Sensitivity &amp; Scenarios'!$C$18+3)+('Sensitivity &amp; Scenarios'!$C$6*(1+$E845)^5*$G845+'Sensitivity &amp; Scenarios'!$C$11*'Sensitivity &amp; Scenarios'!$C$6*((1+$E845)^5-(1+$E845)^4))/(1+$C845)^('Sensitivity &amp; Scenarios'!$C$18+4)</f>
        <v>20784.398895174949</v>
      </c>
      <c r="I845" s="209">
        <f>('Sensitivity &amp; Scenarios'!$C$6*(1+$E845)^5*$G845+'Sensitivity &amp; Scenarios'!$C$11*'Sensitivity &amp; Scenarios'!$C$6*((1+$E845)^5-(1+$E845)^4))*(1+$D845)/($C845-$D845)/(1+$C845)^('Sensitivity &amp; Scenarios'!$C$18+4)</f>
        <v>73307.482985187497</v>
      </c>
      <c r="J845" s="209">
        <f>($H845+$I845-'Sensitivity &amp; Scenarios'!$C$15+'Sensitivity &amp; Scenarios'!$C$16)/'Sensitivity &amp; Scenarios'!$C$17</f>
        <v>2267.0801397827508</v>
      </c>
    </row>
    <row r="846" spans="2:10" x14ac:dyDescent="0.3">
      <c r="B846" s="127">
        <v>816</v>
      </c>
      <c r="C846" s="206">
        <f>$D$7+0.107449*$E$7</f>
        <v>0.13862674943997799</v>
      </c>
      <c r="D846" s="206">
        <f>MIN($D$8+-1.092182*$E$8,'Debt &amp; Cost of Capital'!$C$38)</f>
        <v>4.8446907999999997E-2</v>
      </c>
      <c r="E846" s="207">
        <f>$D$9+0.33052*$E$9</f>
        <v>0.17713669770254634</v>
      </c>
      <c r="F846" s="207">
        <f>$D$10+1.61191*$E$10</f>
        <v>0.16434291999999989</v>
      </c>
      <c r="G846" s="208">
        <f>$F846*(1-'Sensitivity &amp; Scenarios'!$C$12)+'Sensitivity &amp; Scenarios'!$C$9*'Sensitivity &amp; Scenarios'!$C$12-'Sensitivity &amp; Scenarios'!$C$10</f>
        <v>9.2173225124464631E-2</v>
      </c>
      <c r="H846" s="209">
        <f>('Sensitivity &amp; Scenarios'!$C$6*(1+$E846)^1*$G846+'Sensitivity &amp; Scenarios'!$C$11*'Sensitivity &amp; Scenarios'!$C$6*((1+$E846)^1-(1+$E846)^0))*'Sensitivity &amp; Scenarios'!$C$18/(1+$C846)^'Sensitivity &amp; Scenarios'!$C$18+('Sensitivity &amp; Scenarios'!$C$6*(1+$E846)^2*$G846+'Sensitivity &amp; Scenarios'!$C$11*'Sensitivity &amp; Scenarios'!$C$6*((1+$E846)^2-(1+$E846)^1))/(1+$C846)^('Sensitivity &amp; Scenarios'!$C$18+1)+('Sensitivity &amp; Scenarios'!$C$6*(1+$E846)^3*$G846+'Sensitivity &amp; Scenarios'!$C$11*'Sensitivity &amp; Scenarios'!$C$6*((1+$E846)^3-(1+$E846)^2))/(1+$C846)^('Sensitivity &amp; Scenarios'!$C$18+2)+('Sensitivity &amp; Scenarios'!$C$6*(1+$E846)^4*$G846+'Sensitivity &amp; Scenarios'!$C$11*'Sensitivity &amp; Scenarios'!$C$6*((1+$E846)^4-(1+$E846)^3))/(1+$C846)^('Sensitivity &amp; Scenarios'!$C$18+3)+('Sensitivity &amp; Scenarios'!$C$6*(1+$E846)^5*$G846+'Sensitivity &amp; Scenarios'!$C$11*'Sensitivity &amp; Scenarios'!$C$6*((1+$E846)^5-(1+$E846)^4))/(1+$C846)^('Sensitivity &amp; Scenarios'!$C$18+4)</f>
        <v>27767.120372438199</v>
      </c>
      <c r="I846" s="209">
        <f>('Sensitivity &amp; Scenarios'!$C$6*(1+$E846)^5*$G846+'Sensitivity &amp; Scenarios'!$C$11*'Sensitivity &amp; Scenarios'!$C$6*((1+$E846)^5-(1+$E846)^4))*(1+$D846)/($C846-$D846)/(1+$C846)^('Sensitivity &amp; Scenarios'!$C$18+4)</f>
        <v>74008.742966915248</v>
      </c>
      <c r="J846" s="209">
        <f>($H846+$I846-'Sensitivity &amp; Scenarios'!$C$15+'Sensitivity &amp; Scenarios'!$C$16)/'Sensitivity &amp; Scenarios'!$C$17</f>
        <v>2428.8185468322176</v>
      </c>
    </row>
    <row r="847" spans="2:10" x14ac:dyDescent="0.3">
      <c r="B847" s="127">
        <v>817</v>
      </c>
      <c r="C847" s="206">
        <f>$D$7+-0.490462*$E$7</f>
        <v>0.13264763943997798</v>
      </c>
      <c r="D847" s="206">
        <f>MIN($D$8+0.395143*$E$8,'Debt &amp; Cost of Capital'!$C$38)</f>
        <v>5.7370857999999997E-2</v>
      </c>
      <c r="E847" s="207">
        <f>$D$9+-2.749435*$E$9</f>
        <v>8.4738047702546337E-2</v>
      </c>
      <c r="F847" s="207">
        <f>$D$10+-0.038929*$E$10</f>
        <v>0.14453285199999991</v>
      </c>
      <c r="G847" s="208">
        <f>$F847*(1-'Sensitivity &amp; Scenarios'!$C$12)+'Sensitivity &amp; Scenarios'!$C$9*'Sensitivity &amp; Scenarios'!$C$12-'Sensitivity &amp; Scenarios'!$C$10</f>
        <v>7.7349351240064632E-2</v>
      </c>
      <c r="H847" s="209">
        <f>('Sensitivity &amp; Scenarios'!$C$6*(1+$E847)^1*$G847+'Sensitivity &amp; Scenarios'!$C$11*'Sensitivity &amp; Scenarios'!$C$6*((1+$E847)^1-(1+$E847)^0))*'Sensitivity &amp; Scenarios'!$C$18/(1+$C847)^'Sensitivity &amp; Scenarios'!$C$18+('Sensitivity &amp; Scenarios'!$C$6*(1+$E847)^2*$G847+'Sensitivity &amp; Scenarios'!$C$11*'Sensitivity &amp; Scenarios'!$C$6*((1+$E847)^2-(1+$E847)^1))/(1+$C847)^('Sensitivity &amp; Scenarios'!$C$18+1)+('Sensitivity &amp; Scenarios'!$C$6*(1+$E847)^3*$G847+'Sensitivity &amp; Scenarios'!$C$11*'Sensitivity &amp; Scenarios'!$C$6*((1+$E847)^3-(1+$E847)^2))/(1+$C847)^('Sensitivity &amp; Scenarios'!$C$18+2)+('Sensitivity &amp; Scenarios'!$C$6*(1+$E847)^4*$G847+'Sensitivity &amp; Scenarios'!$C$11*'Sensitivity &amp; Scenarios'!$C$6*((1+$E847)^4-(1+$E847)^3))/(1+$C847)^('Sensitivity &amp; Scenarios'!$C$18+3)+('Sensitivity &amp; Scenarios'!$C$6*(1+$E847)^5*$G847+'Sensitivity &amp; Scenarios'!$C$11*'Sensitivity &amp; Scenarios'!$C$6*((1+$E847)^5-(1+$E847)^4))/(1+$C847)^('Sensitivity &amp; Scenarios'!$C$18+4)</f>
        <v>17216.95847398218</v>
      </c>
      <c r="I847" s="209">
        <f>('Sensitivity &amp; Scenarios'!$C$6*(1+$E847)^5*$G847+'Sensitivity &amp; Scenarios'!$C$11*'Sensitivity &amp; Scenarios'!$C$6*((1+$E847)^5-(1+$E847)^4))*(1+$D847)/($C847-$D847)/(1+$C847)^('Sensitivity &amp; Scenarios'!$C$18+4)</f>
        <v>48124.805769845421</v>
      </c>
      <c r="J847" s="209">
        <f>($H847+$I847-'Sensitivity &amp; Scenarios'!$C$15+'Sensitivity &amp; Scenarios'!$C$16)/'Sensitivity &amp; Scenarios'!$C$17</f>
        <v>1661.9253442077336</v>
      </c>
    </row>
    <row r="848" spans="2:10" x14ac:dyDescent="0.3">
      <c r="B848" s="127">
        <v>818</v>
      </c>
      <c r="C848" s="206">
        <f>$D$7+-0.313042*$E$7</f>
        <v>0.13442183943997799</v>
      </c>
      <c r="D848" s="206">
        <f>MIN($D$8+-0.818498*$E$8,'Debt &amp; Cost of Capital'!$C$38)</f>
        <v>5.0089012000000002E-2</v>
      </c>
      <c r="E848" s="207">
        <f>$D$9+1.08145*$E$9</f>
        <v>0.19966459770254635</v>
      </c>
      <c r="F848" s="207">
        <f>$D$10+-0.326244*$E$10</f>
        <v>0.14108507199999989</v>
      </c>
      <c r="G848" s="208">
        <f>$F848*(1-'Sensitivity &amp; Scenarios'!$C$12)+'Sensitivity &amp; Scenarios'!$C$9*'Sensitivity &amp; Scenarios'!$C$12-'Sensitivity &amp; Scenarios'!$C$10</f>
        <v>7.4769377466064629E-2</v>
      </c>
      <c r="H848" s="209">
        <f>('Sensitivity &amp; Scenarios'!$C$6*(1+$E848)^1*$G848+'Sensitivity &amp; Scenarios'!$C$11*'Sensitivity &amp; Scenarios'!$C$6*((1+$E848)^1-(1+$E848)^0))*'Sensitivity &amp; Scenarios'!$C$18/(1+$C848)^'Sensitivity &amp; Scenarios'!$C$18+('Sensitivity &amp; Scenarios'!$C$6*(1+$E848)^2*$G848+'Sensitivity &amp; Scenarios'!$C$11*'Sensitivity &amp; Scenarios'!$C$6*((1+$E848)^2-(1+$E848)^1))/(1+$C848)^('Sensitivity &amp; Scenarios'!$C$18+1)+('Sensitivity &amp; Scenarios'!$C$6*(1+$E848)^3*$G848+'Sensitivity &amp; Scenarios'!$C$11*'Sensitivity &amp; Scenarios'!$C$6*((1+$E848)^3-(1+$E848)^2))/(1+$C848)^('Sensitivity &amp; Scenarios'!$C$18+2)+('Sensitivity &amp; Scenarios'!$C$6*(1+$E848)^4*$G848+'Sensitivity &amp; Scenarios'!$C$11*'Sensitivity &amp; Scenarios'!$C$6*((1+$E848)^4-(1+$E848)^3))/(1+$C848)^('Sensitivity &amp; Scenarios'!$C$18+3)+('Sensitivity &amp; Scenarios'!$C$6*(1+$E848)^5*$G848+'Sensitivity &amp; Scenarios'!$C$11*'Sensitivity &amp; Scenarios'!$C$6*((1+$E848)^5-(1+$E848)^4))/(1+$C848)^('Sensitivity &amp; Scenarios'!$C$18+4)</f>
        <v>25545.975199736342</v>
      </c>
      <c r="I848" s="209">
        <f>('Sensitivity &amp; Scenarios'!$C$6*(1+$E848)^5*$G848+'Sensitivity &amp; Scenarios'!$C$11*'Sensitivity &amp; Scenarios'!$C$6*((1+$E848)^5-(1+$E848)^4))*(1+$D848)/($C848-$D848)/(1+$C848)^('Sensitivity &amp; Scenarios'!$C$18+4)</f>
        <v>75891.504386160494</v>
      </c>
      <c r="J848" s="209">
        <f>($H848+$I848-'Sensitivity &amp; Scenarios'!$C$15+'Sensitivity &amp; Scenarios'!$C$16)/'Sensitivity &amp; Scenarios'!$C$17</f>
        <v>2421.6959828922108</v>
      </c>
    </row>
    <row r="849" spans="2:10" x14ac:dyDescent="0.3">
      <c r="B849" s="127">
        <v>819</v>
      </c>
      <c r="C849" s="206">
        <f>$D$7+-0.177477*$E$7</f>
        <v>0.13577748943997797</v>
      </c>
      <c r="D849" s="206">
        <f>MIN($D$8+-0.377193*$E$8,'Debt &amp; Cost of Capital'!$C$38)</f>
        <v>5.2736841999999999E-2</v>
      </c>
      <c r="E849" s="207">
        <f>$D$9+-1.916816*$E$9</f>
        <v>0.10971661770254634</v>
      </c>
      <c r="F849" s="207">
        <f>$D$10+-1.131986*$E$10</f>
        <v>0.13141616799999992</v>
      </c>
      <c r="G849" s="208">
        <f>$F849*(1-'Sensitivity &amp; Scenarios'!$C$12)+'Sensitivity &amp; Scenarios'!$C$9*'Sensitivity &amp; Scenarios'!$C$12-'Sensitivity &amp; Scenarios'!$C$10</f>
        <v>6.7534136602864642E-2</v>
      </c>
      <c r="H849" s="209">
        <f>('Sensitivity &amp; Scenarios'!$C$6*(1+$E849)^1*$G849+'Sensitivity &amp; Scenarios'!$C$11*'Sensitivity &amp; Scenarios'!$C$6*((1+$E849)^1-(1+$E849)^0))*'Sensitivity &amp; Scenarios'!$C$18/(1+$C849)^'Sensitivity &amp; Scenarios'!$C$18+('Sensitivity &amp; Scenarios'!$C$6*(1+$E849)^2*$G849+'Sensitivity &amp; Scenarios'!$C$11*'Sensitivity &amp; Scenarios'!$C$6*((1+$E849)^2-(1+$E849)^1))/(1+$C849)^('Sensitivity &amp; Scenarios'!$C$18+1)+('Sensitivity &amp; Scenarios'!$C$6*(1+$E849)^3*$G849+'Sensitivity &amp; Scenarios'!$C$11*'Sensitivity &amp; Scenarios'!$C$6*((1+$E849)^3-(1+$E849)^2))/(1+$C849)^('Sensitivity &amp; Scenarios'!$C$18+2)+('Sensitivity &amp; Scenarios'!$C$6*(1+$E849)^4*$G849+'Sensitivity &amp; Scenarios'!$C$11*'Sensitivity &amp; Scenarios'!$C$6*((1+$E849)^4-(1+$E849)^3))/(1+$C849)^('Sensitivity &amp; Scenarios'!$C$18+3)+('Sensitivity &amp; Scenarios'!$C$6*(1+$E849)^5*$G849+'Sensitivity &amp; Scenarios'!$C$11*'Sensitivity &amp; Scenarios'!$C$6*((1+$E849)^5-(1+$E849)^4))/(1+$C849)^('Sensitivity &amp; Scenarios'!$C$18+4)</f>
        <v>16729.279791942576</v>
      </c>
      <c r="I849" s="209">
        <f>('Sensitivity &amp; Scenarios'!$C$6*(1+$E849)^5*$G849+'Sensitivity &amp; Scenarios'!$C$11*'Sensitivity &amp; Scenarios'!$C$6*((1+$E849)^5-(1+$E849)^4))*(1+$D849)/($C849-$D849)/(1+$C849)^('Sensitivity &amp; Scenarios'!$C$18+4)</f>
        <v>43840.779504603612</v>
      </c>
      <c r="J849" s="209">
        <f>($H849+$I849-'Sensitivity &amp; Scenarios'!$C$15+'Sensitivity &amp; Scenarios'!$C$16)/'Sensitivity &amp; Scenarios'!$C$17</f>
        <v>1561.4867940625722</v>
      </c>
    </row>
    <row r="850" spans="2:10" x14ac:dyDescent="0.3">
      <c r="B850" s="127">
        <v>820</v>
      </c>
      <c r="C850" s="206">
        <f>$D$7+0.961093*$E$7</f>
        <v>0.14716318943997797</v>
      </c>
      <c r="D850" s="206">
        <f>MIN($D$8+-2.109951*$E$8,'Debt &amp; Cost of Capital'!$C$38)</f>
        <v>4.2340294000000001E-2</v>
      </c>
      <c r="E850" s="207">
        <f>$D$9+-0.766315*$E$9</f>
        <v>0.14423164770254635</v>
      </c>
      <c r="F850" s="207">
        <f>$D$10+-0.39972*$E$10</f>
        <v>0.14020335999999992</v>
      </c>
      <c r="G850" s="208">
        <f>$F850*(1-'Sensitivity &amp; Scenarios'!$C$12)+'Sensitivity &amp; Scenarios'!$C$9*'Sensitivity &amp; Scenarios'!$C$12-'Sensitivity &amp; Scenarios'!$C$10</f>
        <v>7.4109592376464639E-2</v>
      </c>
      <c r="H850" s="209">
        <f>('Sensitivity &amp; Scenarios'!$C$6*(1+$E850)^1*$G850+'Sensitivity &amp; Scenarios'!$C$11*'Sensitivity &amp; Scenarios'!$C$6*((1+$E850)^1-(1+$E850)^0))*'Sensitivity &amp; Scenarios'!$C$18/(1+$C850)^'Sensitivity &amp; Scenarios'!$C$18+('Sensitivity &amp; Scenarios'!$C$6*(1+$E850)^2*$G850+'Sensitivity &amp; Scenarios'!$C$11*'Sensitivity &amp; Scenarios'!$C$6*((1+$E850)^2-(1+$E850)^1))/(1+$C850)^('Sensitivity &amp; Scenarios'!$C$18+1)+('Sensitivity &amp; Scenarios'!$C$6*(1+$E850)^3*$G850+'Sensitivity &amp; Scenarios'!$C$11*'Sensitivity &amp; Scenarios'!$C$6*((1+$E850)^3-(1+$E850)^2))/(1+$C850)^('Sensitivity &amp; Scenarios'!$C$18+2)+('Sensitivity &amp; Scenarios'!$C$6*(1+$E850)^4*$G850+'Sensitivity &amp; Scenarios'!$C$11*'Sensitivity &amp; Scenarios'!$C$6*((1+$E850)^4-(1+$E850)^3))/(1+$C850)^('Sensitivity &amp; Scenarios'!$C$18+3)+('Sensitivity &amp; Scenarios'!$C$6*(1+$E850)^5*$G850+'Sensitivity &amp; Scenarios'!$C$11*'Sensitivity &amp; Scenarios'!$C$6*((1+$E850)^5-(1+$E850)^4))/(1+$C850)^('Sensitivity &amp; Scenarios'!$C$18+4)</f>
        <v>20099.219525755841</v>
      </c>
      <c r="I850" s="209">
        <f>('Sensitivity &amp; Scenarios'!$C$6*(1+$E850)^5*$G850+'Sensitivity &amp; Scenarios'!$C$11*'Sensitivity &amp; Scenarios'!$C$6*((1+$E850)^5-(1+$E850)^4))*(1+$D850)/($C850-$D850)/(1+$C850)^('Sensitivity &amp; Scenarios'!$C$18+4)</f>
        <v>42937.115528066068</v>
      </c>
      <c r="J850" s="209">
        <f>($H850+$I850-'Sensitivity &amp; Scenarios'!$C$15+'Sensitivity &amp; Scenarios'!$C$16)/'Sensitivity &amp; Scenarios'!$C$17</f>
        <v>1613.3988808440613</v>
      </c>
    </row>
    <row r="851" spans="2:10" x14ac:dyDescent="0.3">
      <c r="B851" s="127">
        <v>821</v>
      </c>
      <c r="C851" s="206">
        <f>$D$7+1.743622*$E$7</f>
        <v>0.15498847943997798</v>
      </c>
      <c r="D851" s="206">
        <f>MIN($D$8+0.768604*$E$8,'Debt &amp; Cost of Capital'!$C$38)</f>
        <v>5.9611624000000002E-2</v>
      </c>
      <c r="E851" s="207">
        <f>$D$9+-0.557171*$E$9</f>
        <v>0.15050596770254634</v>
      </c>
      <c r="F851" s="207">
        <f>$D$10+1.304514*$E$10</f>
        <v>0.1606541679999999</v>
      </c>
      <c r="G851" s="208">
        <f>$F851*(1-'Sensitivity &amp; Scenarios'!$C$12)+'Sensitivity &amp; Scenarios'!$C$9*'Sensitivity &amp; Scenarios'!$C$12-'Sensitivity &amp; Scenarios'!$C$10</f>
        <v>8.9412932002864626E-2</v>
      </c>
      <c r="H851" s="209">
        <f>('Sensitivity &amp; Scenarios'!$C$6*(1+$E851)^1*$G851+'Sensitivity &amp; Scenarios'!$C$11*'Sensitivity &amp; Scenarios'!$C$6*((1+$E851)^1-(1+$E851)^0))*'Sensitivity &amp; Scenarios'!$C$18/(1+$C851)^'Sensitivity &amp; Scenarios'!$C$18+('Sensitivity &amp; Scenarios'!$C$6*(1+$E851)^2*$G851+'Sensitivity &amp; Scenarios'!$C$11*'Sensitivity &amp; Scenarios'!$C$6*((1+$E851)^2-(1+$E851)^1))/(1+$C851)^('Sensitivity &amp; Scenarios'!$C$18+1)+('Sensitivity &amp; Scenarios'!$C$6*(1+$E851)^3*$G851+'Sensitivity &amp; Scenarios'!$C$11*'Sensitivity &amp; Scenarios'!$C$6*((1+$E851)^3-(1+$E851)^2))/(1+$C851)^('Sensitivity &amp; Scenarios'!$C$18+2)+('Sensitivity &amp; Scenarios'!$C$6*(1+$E851)^4*$G851+'Sensitivity &amp; Scenarios'!$C$11*'Sensitivity &amp; Scenarios'!$C$6*((1+$E851)^4-(1+$E851)^3))/(1+$C851)^('Sensitivity &amp; Scenarios'!$C$18+3)+('Sensitivity &amp; Scenarios'!$C$6*(1+$E851)^5*$G851+'Sensitivity &amp; Scenarios'!$C$11*'Sensitivity &amp; Scenarios'!$C$6*((1+$E851)^5-(1+$E851)^4))/(1+$C851)^('Sensitivity &amp; Scenarios'!$C$18+4)</f>
        <v>23675.066886632725</v>
      </c>
      <c r="I851" s="209">
        <f>('Sensitivity &amp; Scenarios'!$C$6*(1+$E851)^5*$G851+'Sensitivity &amp; Scenarios'!$C$11*'Sensitivity &amp; Scenarios'!$C$6*((1+$E851)^5-(1+$E851)^4))*(1+$D851)/($C851-$D851)/(1+$C851)^('Sensitivity &amp; Scenarios'!$C$18+4)</f>
        <v>56367.440494228395</v>
      </c>
      <c r="J851" s="209">
        <f>($H851+$I851-'Sensitivity &amp; Scenarios'!$C$15+'Sensitivity &amp; Scenarios'!$C$16)/'Sensitivity &amp; Scenarios'!$C$17</f>
        <v>1971.3579983749389</v>
      </c>
    </row>
    <row r="852" spans="2:10" x14ac:dyDescent="0.3">
      <c r="B852" s="127">
        <v>822</v>
      </c>
      <c r="C852" s="206">
        <f>$D$7+-0.740516*$E$7</f>
        <v>0.13014709943997799</v>
      </c>
      <c r="D852" s="206">
        <f>MIN($D$8+1.0091*$E$8,'Debt &amp; Cost of Capital'!$C$38)</f>
        <v>6.1054600000000001E-2</v>
      </c>
      <c r="E852" s="207">
        <f>$D$9+-1.358877*$E$9</f>
        <v>0.12645478770254634</v>
      </c>
      <c r="F852" s="207">
        <f>$D$10+1.073258*$E$10</f>
        <v>0.15787909599999991</v>
      </c>
      <c r="G852" s="208">
        <f>$F852*(1-'Sensitivity &amp; Scenarios'!$C$12)+'Sensitivity &amp; Scenarios'!$C$9*'Sensitivity &amp; Scenarios'!$C$12-'Sensitivity &amp; Scenarios'!$C$10</f>
        <v>8.7336345625264641E-2</v>
      </c>
      <c r="H852" s="209">
        <f>('Sensitivity &amp; Scenarios'!$C$6*(1+$E852)^1*$G852+'Sensitivity &amp; Scenarios'!$C$11*'Sensitivity &amp; Scenarios'!$C$6*((1+$E852)^1-(1+$E852)^0))*'Sensitivity &amp; Scenarios'!$C$18/(1+$C852)^'Sensitivity &amp; Scenarios'!$C$18+('Sensitivity &amp; Scenarios'!$C$6*(1+$E852)^2*$G852+'Sensitivity &amp; Scenarios'!$C$11*'Sensitivity &amp; Scenarios'!$C$6*((1+$E852)^2-(1+$E852)^1))/(1+$C852)^('Sensitivity &amp; Scenarios'!$C$18+1)+('Sensitivity &amp; Scenarios'!$C$6*(1+$E852)^3*$G852+'Sensitivity &amp; Scenarios'!$C$11*'Sensitivity &amp; Scenarios'!$C$6*((1+$E852)^3-(1+$E852)^2))/(1+$C852)^('Sensitivity &amp; Scenarios'!$C$18+2)+('Sensitivity &amp; Scenarios'!$C$6*(1+$E852)^4*$G852+'Sensitivity &amp; Scenarios'!$C$11*'Sensitivity &amp; Scenarios'!$C$6*((1+$E852)^4-(1+$E852)^3))/(1+$C852)^('Sensitivity &amp; Scenarios'!$C$18+3)+('Sensitivity &amp; Scenarios'!$C$6*(1+$E852)^5*$G852+'Sensitivity &amp; Scenarios'!$C$11*'Sensitivity &amp; Scenarios'!$C$6*((1+$E852)^5-(1+$E852)^4))/(1+$C852)^('Sensitivity &amp; Scenarios'!$C$18+4)</f>
        <v>22598.93252726522</v>
      </c>
      <c r="I852" s="209">
        <f>('Sensitivity &amp; Scenarios'!$C$6*(1+$E852)^5*$G852+'Sensitivity &amp; Scenarios'!$C$11*'Sensitivity &amp; Scenarios'!$C$6*((1+$E852)^5-(1+$E852)^4))*(1+$D852)/($C852-$D852)/(1+$C852)^('Sensitivity &amp; Scenarios'!$C$18+4)</f>
        <v>74459.927602172902</v>
      </c>
      <c r="J852" s="209">
        <f>($H852+$I852-'Sensitivity &amp; Scenarios'!$C$15+'Sensitivity &amp; Scenarios'!$C$16)/'Sensitivity &amp; Scenarios'!$C$17</f>
        <v>2329.5314013217044</v>
      </c>
    </row>
    <row r="853" spans="2:10" x14ac:dyDescent="0.3">
      <c r="B853" s="127">
        <v>823</v>
      </c>
      <c r="C853" s="206">
        <f>$D$7+-0.406134*$E$7</f>
        <v>0.13349091943997798</v>
      </c>
      <c r="D853" s="206">
        <f>MIN($D$8+-1.028504*$E$8,'Debt &amp; Cost of Capital'!$C$38)</f>
        <v>4.8828975999999996E-2</v>
      </c>
      <c r="E853" s="207">
        <f>$D$9+-0.217144*$E$9</f>
        <v>0.16070677770254635</v>
      </c>
      <c r="F853" s="207">
        <f>$D$10+0.277344*$E$10</f>
        <v>0.14832812799999989</v>
      </c>
      <c r="G853" s="208">
        <f>$F853*(1-'Sensitivity &amp; Scenarios'!$C$12)+'Sensitivity &amp; Scenarios'!$C$9*'Sensitivity &amp; Scenarios'!$C$12-'Sensitivity &amp; Scenarios'!$C$10</f>
        <v>8.0189356270864626E-2</v>
      </c>
      <c r="H853" s="209">
        <f>('Sensitivity &amp; Scenarios'!$C$6*(1+$E853)^1*$G853+'Sensitivity &amp; Scenarios'!$C$11*'Sensitivity &amp; Scenarios'!$C$6*((1+$E853)^1-(1+$E853)^0))*'Sensitivity &amp; Scenarios'!$C$18/(1+$C853)^'Sensitivity &amp; Scenarios'!$C$18+('Sensitivity &amp; Scenarios'!$C$6*(1+$E853)^2*$G853+'Sensitivity &amp; Scenarios'!$C$11*'Sensitivity &amp; Scenarios'!$C$6*((1+$E853)^2-(1+$E853)^1))/(1+$C853)^('Sensitivity &amp; Scenarios'!$C$18+1)+('Sensitivity &amp; Scenarios'!$C$6*(1+$E853)^3*$G853+'Sensitivity &amp; Scenarios'!$C$11*'Sensitivity &amp; Scenarios'!$C$6*((1+$E853)^3-(1+$E853)^2))/(1+$C853)^('Sensitivity &amp; Scenarios'!$C$18+2)+('Sensitivity &amp; Scenarios'!$C$6*(1+$E853)^4*$G853+'Sensitivity &amp; Scenarios'!$C$11*'Sensitivity &amp; Scenarios'!$C$6*((1+$E853)^4-(1+$E853)^3))/(1+$C853)^('Sensitivity &amp; Scenarios'!$C$18+3)+('Sensitivity &amp; Scenarios'!$C$6*(1+$E853)^5*$G853+'Sensitivity &amp; Scenarios'!$C$11*'Sensitivity &amp; Scenarios'!$C$6*((1+$E853)^5-(1+$E853)^4))/(1+$C853)^('Sensitivity &amp; Scenarios'!$C$18+4)</f>
        <v>23595.001651285213</v>
      </c>
      <c r="I853" s="209">
        <f>('Sensitivity &amp; Scenarios'!$C$6*(1+$E853)^5*$G853+'Sensitivity &amp; Scenarios'!$C$11*'Sensitivity &amp; Scenarios'!$C$6*((1+$E853)^5-(1+$E853)^4))*(1+$D853)/($C853-$D853)/(1+$C853)^('Sensitivity &amp; Scenarios'!$C$18+4)</f>
        <v>65877.899983756899</v>
      </c>
      <c r="J853" s="209">
        <f>($H853+$I853-'Sensitivity &amp; Scenarios'!$C$15+'Sensitivity &amp; Scenarios'!$C$16)/'Sensitivity &amp; Scenarios'!$C$17</f>
        <v>2169.8562577291409</v>
      </c>
    </row>
    <row r="854" spans="2:10" x14ac:dyDescent="0.3">
      <c r="B854" s="127">
        <v>824</v>
      </c>
      <c r="C854" s="206">
        <f>$D$7+-0.494748*$E$7</f>
        <v>0.13260477943997798</v>
      </c>
      <c r="D854" s="206">
        <f>MIN($D$8+0.553954*$E$8,'Debt &amp; Cost of Capital'!$C$38)</f>
        <v>5.8323724E-2</v>
      </c>
      <c r="E854" s="207">
        <f>$D$9+-0.582994*$E$9</f>
        <v>0.14973127770254635</v>
      </c>
      <c r="F854" s="207">
        <f>$D$10+0.620372*$E$10</f>
        <v>0.15244446399999992</v>
      </c>
      <c r="G854" s="208">
        <f>$F854*(1-'Sensitivity &amp; Scenarios'!$C$12)+'Sensitivity &amp; Scenarios'!$C$9*'Sensitivity &amp; Scenarios'!$C$12-'Sensitivity &amp; Scenarios'!$C$10</f>
        <v>8.3269610499664651E-2</v>
      </c>
      <c r="H854" s="209">
        <f>('Sensitivity &amp; Scenarios'!$C$6*(1+$E854)^1*$G854+'Sensitivity &amp; Scenarios'!$C$11*'Sensitivity &amp; Scenarios'!$C$6*((1+$E854)^1-(1+$E854)^0))*'Sensitivity &amp; Scenarios'!$C$18/(1+$C854)^'Sensitivity &amp; Scenarios'!$C$18+('Sensitivity &amp; Scenarios'!$C$6*(1+$E854)^2*$G854+'Sensitivity &amp; Scenarios'!$C$11*'Sensitivity &amp; Scenarios'!$C$6*((1+$E854)^2-(1+$E854)^1))/(1+$C854)^('Sensitivity &amp; Scenarios'!$C$18+1)+('Sensitivity &amp; Scenarios'!$C$6*(1+$E854)^3*$G854+'Sensitivity &amp; Scenarios'!$C$11*'Sensitivity &amp; Scenarios'!$C$6*((1+$E854)^3-(1+$E854)^2))/(1+$C854)^('Sensitivity &amp; Scenarios'!$C$18+2)+('Sensitivity &amp; Scenarios'!$C$6*(1+$E854)^4*$G854+'Sensitivity &amp; Scenarios'!$C$11*'Sensitivity &amp; Scenarios'!$C$6*((1+$E854)^4-(1+$E854)^3))/(1+$C854)^('Sensitivity &amp; Scenarios'!$C$18+3)+('Sensitivity &amp; Scenarios'!$C$6*(1+$E854)^5*$G854+'Sensitivity &amp; Scenarios'!$C$11*'Sensitivity &amp; Scenarios'!$C$6*((1+$E854)^5-(1+$E854)^4))/(1+$C854)^('Sensitivity &amp; Scenarios'!$C$18+4)</f>
        <v>23463.530642723199</v>
      </c>
      <c r="I854" s="209">
        <f>('Sensitivity &amp; Scenarios'!$C$6*(1+$E854)^5*$G854+'Sensitivity &amp; Scenarios'!$C$11*'Sensitivity &amp; Scenarios'!$C$6*((1+$E854)^5-(1+$E854)^4))*(1+$D854)/($C854-$D854)/(1+$C854)^('Sensitivity &amp; Scenarios'!$C$18+4)</f>
        <v>74164.694283663062</v>
      </c>
      <c r="J854" s="209">
        <f>($H854+$I854-'Sensitivity &amp; Scenarios'!$C$15+'Sensitivity &amp; Scenarios'!$C$16)/'Sensitivity &amp; Scenarios'!$C$17</f>
        <v>2341.5158335824935</v>
      </c>
    </row>
    <row r="855" spans="2:10" x14ac:dyDescent="0.3">
      <c r="B855" s="127">
        <v>825</v>
      </c>
      <c r="C855" s="206">
        <f>$D$7+0.442222*$E$7</f>
        <v>0.14197447943997799</v>
      </c>
      <c r="D855" s="206">
        <f>MIN($D$8+-0.060923*$E$8,'Debt &amp; Cost of Capital'!$C$38)</f>
        <v>5.4634462000000002E-2</v>
      </c>
      <c r="E855" s="207">
        <f>$D$9+-0.441382*$E$9</f>
        <v>0.15397963770254633</v>
      </c>
      <c r="F855" s="207">
        <f>$D$10+0.151541*$E$10</f>
        <v>0.14681849199999991</v>
      </c>
      <c r="G855" s="208">
        <f>$F855*(1-'Sensitivity &amp; Scenarios'!$C$12)+'Sensitivity &amp; Scenarios'!$C$9*'Sensitivity &amp; Scenarios'!$C$12-'Sensitivity &amp; Scenarios'!$C$10</f>
        <v>7.9059695652064638E-2</v>
      </c>
      <c r="H855" s="209">
        <f>('Sensitivity &amp; Scenarios'!$C$6*(1+$E855)^1*$G855+'Sensitivity &amp; Scenarios'!$C$11*'Sensitivity &amp; Scenarios'!$C$6*((1+$E855)^1-(1+$E855)^0))*'Sensitivity &amp; Scenarios'!$C$18/(1+$C855)^'Sensitivity &amp; Scenarios'!$C$18+('Sensitivity &amp; Scenarios'!$C$6*(1+$E855)^2*$G855+'Sensitivity &amp; Scenarios'!$C$11*'Sensitivity &amp; Scenarios'!$C$6*((1+$E855)^2-(1+$E855)^1))/(1+$C855)^('Sensitivity &amp; Scenarios'!$C$18+1)+('Sensitivity &amp; Scenarios'!$C$6*(1+$E855)^3*$G855+'Sensitivity &amp; Scenarios'!$C$11*'Sensitivity &amp; Scenarios'!$C$6*((1+$E855)^3-(1+$E855)^2))/(1+$C855)^('Sensitivity &amp; Scenarios'!$C$18+2)+('Sensitivity &amp; Scenarios'!$C$6*(1+$E855)^4*$G855+'Sensitivity &amp; Scenarios'!$C$11*'Sensitivity &amp; Scenarios'!$C$6*((1+$E855)^4-(1+$E855)^3))/(1+$C855)^('Sensitivity &amp; Scenarios'!$C$18+3)+('Sensitivity &amp; Scenarios'!$C$6*(1+$E855)^5*$G855+'Sensitivity &amp; Scenarios'!$C$11*'Sensitivity &amp; Scenarios'!$C$6*((1+$E855)^5-(1+$E855)^4))/(1+$C855)^('Sensitivity &amp; Scenarios'!$C$18+4)</f>
        <v>22279.445059717302</v>
      </c>
      <c r="I855" s="209">
        <f>('Sensitivity &amp; Scenarios'!$C$6*(1+$E855)^5*$G855+'Sensitivity &amp; Scenarios'!$C$11*'Sensitivity &amp; Scenarios'!$C$6*((1+$E855)^5-(1+$E855)^4))*(1+$D855)/($C855-$D855)/(1+$C855)^('Sensitivity &amp; Scenarios'!$C$18+4)</f>
        <v>59191.982331011299</v>
      </c>
      <c r="J855" s="209">
        <f>($H855+$I855-'Sensitivity &amp; Scenarios'!$C$15+'Sensitivity &amp; Scenarios'!$C$16)/'Sensitivity &amp; Scenarios'!$C$17</f>
        <v>2001.4350160552262</v>
      </c>
    </row>
    <row r="856" spans="2:10" x14ac:dyDescent="0.3">
      <c r="B856" s="127">
        <v>826</v>
      </c>
      <c r="C856" s="206">
        <f>$D$7+0.550254*$E$7</f>
        <v>0.14305479943997798</v>
      </c>
      <c r="D856" s="206">
        <f>MIN($D$8+2.061799*$E$8,'Debt &amp; Cost of Capital'!$C$38)</f>
        <v>6.7370793999999998E-2</v>
      </c>
      <c r="E856" s="207">
        <f>$D$9+0.93942*$E$9</f>
        <v>0.19540369770254634</v>
      </c>
      <c r="F856" s="207">
        <f>$D$10+0.97599*$E$10</f>
        <v>0.15671187999999991</v>
      </c>
      <c r="G856" s="208">
        <f>$F856*(1-'Sensitivity &amp; Scenarios'!$C$12)+'Sensitivity &amp; Scenarios'!$C$9*'Sensitivity &amp; Scenarios'!$C$12-'Sensitivity &amp; Scenarios'!$C$10</f>
        <v>8.6462917892464644E-2</v>
      </c>
      <c r="H856" s="209">
        <f>('Sensitivity &amp; Scenarios'!$C$6*(1+$E856)^1*$G856+'Sensitivity &amp; Scenarios'!$C$11*'Sensitivity &amp; Scenarios'!$C$6*((1+$E856)^1-(1+$E856)^0))*'Sensitivity &amp; Scenarios'!$C$18/(1+$C856)^'Sensitivity &amp; Scenarios'!$C$18+('Sensitivity &amp; Scenarios'!$C$6*(1+$E856)^2*$G856+'Sensitivity &amp; Scenarios'!$C$11*'Sensitivity &amp; Scenarios'!$C$6*((1+$E856)^2-(1+$E856)^1))/(1+$C856)^('Sensitivity &amp; Scenarios'!$C$18+1)+('Sensitivity &amp; Scenarios'!$C$6*(1+$E856)^3*$G856+'Sensitivity &amp; Scenarios'!$C$11*'Sensitivity &amp; Scenarios'!$C$6*((1+$E856)^3-(1+$E856)^2))/(1+$C856)^('Sensitivity &amp; Scenarios'!$C$18+2)+('Sensitivity &amp; Scenarios'!$C$6*(1+$E856)^4*$G856+'Sensitivity &amp; Scenarios'!$C$11*'Sensitivity &amp; Scenarios'!$C$6*((1+$E856)^4-(1+$E856)^3))/(1+$C856)^('Sensitivity &amp; Scenarios'!$C$18+3)+('Sensitivity &amp; Scenarios'!$C$6*(1+$E856)^5*$G856+'Sensitivity &amp; Scenarios'!$C$11*'Sensitivity &amp; Scenarios'!$C$6*((1+$E856)^5-(1+$E856)^4))/(1+$C856)^('Sensitivity &amp; Scenarios'!$C$18+4)</f>
        <v>27723.665710683064</v>
      </c>
      <c r="I856" s="209">
        <f>('Sensitivity &amp; Scenarios'!$C$6*(1+$E856)^5*$G856+'Sensitivity &amp; Scenarios'!$C$11*'Sensitivity &amp; Scenarios'!$C$6*((1+$E856)^5-(1+$E856)^4))*(1+$D856)/($C856-$D856)/(1+$C856)^('Sensitivity &amp; Scenarios'!$C$18+4)</f>
        <v>91481.849436945253</v>
      </c>
      <c r="J856" s="209">
        <f>($H856+$I856-'Sensitivity &amp; Scenarios'!$C$15+'Sensitivity &amp; Scenarios'!$C$16)/'Sensitivity &amp; Scenarios'!$C$17</f>
        <v>2795.6913892437105</v>
      </c>
    </row>
    <row r="857" spans="2:10" x14ac:dyDescent="0.3">
      <c r="B857" s="127">
        <v>827</v>
      </c>
      <c r="C857" s="206">
        <f>$D$7+3.088512*$E$7</f>
        <v>0.168437379439978</v>
      </c>
      <c r="D857" s="206">
        <f>MIN($D$8+0.515958*$E$8,'Debt &amp; Cost of Capital'!$C$38)</f>
        <v>5.8095748000000003E-2</v>
      </c>
      <c r="E857" s="207">
        <f>$D$9+0.484644*$E$9</f>
        <v>0.18176041770254633</v>
      </c>
      <c r="F857" s="207">
        <f>$D$10+0.704015*$E$10</f>
        <v>0.15344817999999991</v>
      </c>
      <c r="G857" s="208">
        <f>$F857*(1-'Sensitivity &amp; Scenarios'!$C$12)+'Sensitivity &amp; Scenarios'!$C$9*'Sensitivity &amp; Scenarios'!$C$12-'Sensitivity &amp; Scenarios'!$C$10</f>
        <v>8.4020691182464635E-2</v>
      </c>
      <c r="H857" s="209">
        <f>('Sensitivity &amp; Scenarios'!$C$6*(1+$E857)^1*$G857+'Sensitivity &amp; Scenarios'!$C$11*'Sensitivity &amp; Scenarios'!$C$6*((1+$E857)^1-(1+$E857)^0))*'Sensitivity &amp; Scenarios'!$C$18/(1+$C857)^'Sensitivity &amp; Scenarios'!$C$18+('Sensitivity &amp; Scenarios'!$C$6*(1+$E857)^2*$G857+'Sensitivity &amp; Scenarios'!$C$11*'Sensitivity &amp; Scenarios'!$C$6*((1+$E857)^2-(1+$E857)^1))/(1+$C857)^('Sensitivity &amp; Scenarios'!$C$18+1)+('Sensitivity &amp; Scenarios'!$C$6*(1+$E857)^3*$G857+'Sensitivity &amp; Scenarios'!$C$11*'Sensitivity &amp; Scenarios'!$C$6*((1+$E857)^3-(1+$E857)^2))/(1+$C857)^('Sensitivity &amp; Scenarios'!$C$18+2)+('Sensitivity &amp; Scenarios'!$C$6*(1+$E857)^4*$G857+'Sensitivity &amp; Scenarios'!$C$11*'Sensitivity &amp; Scenarios'!$C$6*((1+$E857)^4-(1+$E857)^3))/(1+$C857)^('Sensitivity &amp; Scenarios'!$C$18+3)+('Sensitivity &amp; Scenarios'!$C$6*(1+$E857)^5*$G857+'Sensitivity &amp; Scenarios'!$C$11*'Sensitivity &amp; Scenarios'!$C$6*((1+$E857)^5-(1+$E857)^4))/(1+$C857)^('Sensitivity &amp; Scenarios'!$C$18+4)</f>
        <v>24261.568265180875</v>
      </c>
      <c r="I857" s="209">
        <f>('Sensitivity &amp; Scenarios'!$C$6*(1+$E857)^5*$G857+'Sensitivity &amp; Scenarios'!$C$11*'Sensitivity &amp; Scenarios'!$C$6*((1+$E857)^5-(1+$E857)^4))*(1+$D857)/($C857-$D857)/(1+$C857)^('Sensitivity &amp; Scenarios'!$C$18+4)</f>
        <v>51270.863058278432</v>
      </c>
      <c r="J857" s="209">
        <f>($H857+$I857-'Sensitivity &amp; Scenarios'!$C$15+'Sensitivity &amp; Scenarios'!$C$16)/'Sensitivity &amp; Scenarios'!$C$17</f>
        <v>1876.4264162141599</v>
      </c>
    </row>
    <row r="858" spans="2:10" x14ac:dyDescent="0.3">
      <c r="B858" s="127">
        <v>828</v>
      </c>
      <c r="C858" s="206">
        <f>$D$7+-1.008966*$E$7</f>
        <v>0.12746259943997798</v>
      </c>
      <c r="D858" s="206">
        <f>MIN($D$8+-0.443902*$E$8,'Debt &amp; Cost of Capital'!$C$38)</f>
        <v>5.2336588000000003E-2</v>
      </c>
      <c r="E858" s="207">
        <f>$D$9+-0.506169*$E$9</f>
        <v>0.15203602770254634</v>
      </c>
      <c r="F858" s="207">
        <f>$D$10+0.647614*$E$10</f>
        <v>0.15277136799999991</v>
      </c>
      <c r="G858" s="208">
        <f>$F858*(1-'Sensitivity &amp; Scenarios'!$C$12)+'Sensitivity &amp; Scenarios'!$C$9*'Sensitivity &amp; Scenarios'!$C$12-'Sensitivity &amp; Scenarios'!$C$10</f>
        <v>8.351423276286464E-2</v>
      </c>
      <c r="H858" s="209">
        <f>('Sensitivity &amp; Scenarios'!$C$6*(1+$E858)^1*$G858+'Sensitivity &amp; Scenarios'!$C$11*'Sensitivity &amp; Scenarios'!$C$6*((1+$E858)^1-(1+$E858)^0))*'Sensitivity &amp; Scenarios'!$C$18/(1+$C858)^'Sensitivity &amp; Scenarios'!$C$18+('Sensitivity &amp; Scenarios'!$C$6*(1+$E858)^2*$G858+'Sensitivity &amp; Scenarios'!$C$11*'Sensitivity &amp; Scenarios'!$C$6*((1+$E858)^2-(1+$E858)^1))/(1+$C858)^('Sensitivity &amp; Scenarios'!$C$18+1)+('Sensitivity &amp; Scenarios'!$C$6*(1+$E858)^3*$G858+'Sensitivity &amp; Scenarios'!$C$11*'Sensitivity &amp; Scenarios'!$C$6*((1+$E858)^3-(1+$E858)^2))/(1+$C858)^('Sensitivity &amp; Scenarios'!$C$18+2)+('Sensitivity &amp; Scenarios'!$C$6*(1+$E858)^4*$G858+'Sensitivity &amp; Scenarios'!$C$11*'Sensitivity &amp; Scenarios'!$C$6*((1+$E858)^4-(1+$E858)^3))/(1+$C858)^('Sensitivity &amp; Scenarios'!$C$18+3)+('Sensitivity &amp; Scenarios'!$C$6*(1+$E858)^5*$G858+'Sensitivity &amp; Scenarios'!$C$11*'Sensitivity &amp; Scenarios'!$C$6*((1+$E858)^5-(1+$E858)^4))/(1+$C858)^('Sensitivity &amp; Scenarios'!$C$18+4)</f>
        <v>24026.31381719435</v>
      </c>
      <c r="I858" s="209">
        <f>('Sensitivity &amp; Scenarios'!$C$6*(1+$E858)^5*$G858+'Sensitivity &amp; Scenarios'!$C$11*'Sensitivity &amp; Scenarios'!$C$6*((1+$E858)^5-(1+$E858)^4))*(1+$D858)/($C858-$D858)/(1+$C858)^('Sensitivity &amp; Scenarios'!$C$18+4)</f>
        <v>75554.6756330426</v>
      </c>
      <c r="J858" s="209">
        <f>($H858+$I858-'Sensitivity &amp; Scenarios'!$C$15+'Sensitivity &amp; Scenarios'!$C$16)/'Sensitivity &amp; Scenarios'!$C$17</f>
        <v>2382.6191372689909</v>
      </c>
    </row>
    <row r="859" spans="2:10" x14ac:dyDescent="0.3">
      <c r="B859" s="127">
        <v>829</v>
      </c>
      <c r="C859" s="206">
        <f>$D$7+-0.174175*$E$7</f>
        <v>0.13581050943997799</v>
      </c>
      <c r="D859" s="206">
        <f>MIN($D$8+0.138223*$E$8,'Debt &amp; Cost of Capital'!$C$38)</f>
        <v>5.5829337999999999E-2</v>
      </c>
      <c r="E859" s="207">
        <f>$D$9+1.087455*$E$9</f>
        <v>0.19984474770254634</v>
      </c>
      <c r="F859" s="207">
        <f>$D$10+0.863151*$E$10</f>
        <v>0.1553578119999999</v>
      </c>
      <c r="G859" s="208">
        <f>$F859*(1-'Sensitivity &amp; Scenarios'!$C$12)+'Sensitivity &amp; Scenarios'!$C$9*'Sensitivity &amp; Scenarios'!$C$12-'Sensitivity &amp; Scenarios'!$C$10</f>
        <v>8.5449668808064635E-2</v>
      </c>
      <c r="H859" s="209">
        <f>('Sensitivity &amp; Scenarios'!$C$6*(1+$E859)^1*$G859+'Sensitivity &amp; Scenarios'!$C$11*'Sensitivity &amp; Scenarios'!$C$6*((1+$E859)^1-(1+$E859)^0))*'Sensitivity &amp; Scenarios'!$C$18/(1+$C859)^'Sensitivity &amp; Scenarios'!$C$18+('Sensitivity &amp; Scenarios'!$C$6*(1+$E859)^2*$G859+'Sensitivity &amp; Scenarios'!$C$11*'Sensitivity &amp; Scenarios'!$C$6*((1+$E859)^2-(1+$E859)^1))/(1+$C859)^('Sensitivity &amp; Scenarios'!$C$18+1)+('Sensitivity &amp; Scenarios'!$C$6*(1+$E859)^3*$G859+'Sensitivity &amp; Scenarios'!$C$11*'Sensitivity &amp; Scenarios'!$C$6*((1+$E859)^3-(1+$E859)^2))/(1+$C859)^('Sensitivity &amp; Scenarios'!$C$18+2)+('Sensitivity &amp; Scenarios'!$C$6*(1+$E859)^4*$G859+'Sensitivity &amp; Scenarios'!$C$11*'Sensitivity &amp; Scenarios'!$C$6*((1+$E859)^4-(1+$E859)^3))/(1+$C859)^('Sensitivity &amp; Scenarios'!$C$18+3)+('Sensitivity &amp; Scenarios'!$C$6*(1+$E859)^5*$G859+'Sensitivity &amp; Scenarios'!$C$11*'Sensitivity &amp; Scenarios'!$C$6*((1+$E859)^5-(1+$E859)^4))/(1+$C859)^('Sensitivity &amp; Scenarios'!$C$18+4)</f>
        <v>28394.390832700898</v>
      </c>
      <c r="I859" s="209">
        <f>('Sensitivity &amp; Scenarios'!$C$6*(1+$E859)^5*$G859+'Sensitivity &amp; Scenarios'!$C$11*'Sensitivity &amp; Scenarios'!$C$6*((1+$E859)^5-(1+$E859)^4))*(1+$D859)/($C859-$D859)/(1+$C859)^('Sensitivity &amp; Scenarios'!$C$18+4)</f>
        <v>89262.304802523387</v>
      </c>
      <c r="J859" s="209">
        <f>($H859+$I859-'Sensitivity &amp; Scenarios'!$C$15+'Sensitivity &amp; Scenarios'!$C$16)/'Sensitivity &amp; Scenarios'!$C$17</f>
        <v>2763.0906337525257</v>
      </c>
    </row>
    <row r="860" spans="2:10" x14ac:dyDescent="0.3">
      <c r="B860" s="127">
        <v>830</v>
      </c>
      <c r="C860" s="206">
        <f>$D$7+-0.161721*$E$7</f>
        <v>0.13593504943997797</v>
      </c>
      <c r="D860" s="206">
        <f>MIN($D$8+-0.669995*$E$8,'Debt &amp; Cost of Capital'!$C$38)</f>
        <v>5.0980030000000003E-2</v>
      </c>
      <c r="E860" s="207">
        <f>$D$9+1.135275*$E$9</f>
        <v>0.20127934770254635</v>
      </c>
      <c r="F860" s="207">
        <f>$D$10+0.773891*$E$10</f>
        <v>0.15428669199999992</v>
      </c>
      <c r="G860" s="208">
        <f>$F860*(1-'Sensitivity &amp; Scenarios'!$C$12)+'Sensitivity &amp; Scenarios'!$C$9*'Sensitivity &amp; Scenarios'!$C$12-'Sensitivity &amp; Scenarios'!$C$10</f>
        <v>8.4648149712064649E-2</v>
      </c>
      <c r="H860" s="209">
        <f>('Sensitivity &amp; Scenarios'!$C$6*(1+$E860)^1*$G860+'Sensitivity &amp; Scenarios'!$C$11*'Sensitivity &amp; Scenarios'!$C$6*((1+$E860)^1-(1+$E860)^0))*'Sensitivity &amp; Scenarios'!$C$18/(1+$C860)^'Sensitivity &amp; Scenarios'!$C$18+('Sensitivity &amp; Scenarios'!$C$6*(1+$E860)^2*$G860+'Sensitivity &amp; Scenarios'!$C$11*'Sensitivity &amp; Scenarios'!$C$6*((1+$E860)^2-(1+$E860)^1))/(1+$C860)^('Sensitivity &amp; Scenarios'!$C$18+1)+('Sensitivity &amp; Scenarios'!$C$6*(1+$E860)^3*$G860+'Sensitivity &amp; Scenarios'!$C$11*'Sensitivity &amp; Scenarios'!$C$6*((1+$E860)^3-(1+$E860)^2))/(1+$C860)^('Sensitivity &amp; Scenarios'!$C$18+2)+('Sensitivity &amp; Scenarios'!$C$6*(1+$E860)^4*$G860+'Sensitivity &amp; Scenarios'!$C$11*'Sensitivity &amp; Scenarios'!$C$6*((1+$E860)^4-(1+$E860)^3))/(1+$C860)^('Sensitivity &amp; Scenarios'!$C$18+3)+('Sensitivity &amp; Scenarios'!$C$6*(1+$E860)^5*$G860+'Sensitivity &amp; Scenarios'!$C$11*'Sensitivity &amp; Scenarios'!$C$6*((1+$E860)^5-(1+$E860)^4))/(1+$C860)^('Sensitivity &amp; Scenarios'!$C$18+4)</f>
        <v>28306.098153301973</v>
      </c>
      <c r="I860" s="209">
        <f>('Sensitivity &amp; Scenarios'!$C$6*(1+$E860)^5*$G860+'Sensitivity &amp; Scenarios'!$C$11*'Sensitivity &amp; Scenarios'!$C$6*((1+$E860)^5-(1+$E860)^4))*(1+$D860)/($C860-$D860)/(1+$C860)^('Sensitivity &amp; Scenarios'!$C$18+4)</f>
        <v>83547.947033133983</v>
      </c>
      <c r="J860" s="209">
        <f>($H860+$I860-'Sensitivity &amp; Scenarios'!$C$15+'Sensitivity &amp; Scenarios'!$C$16)/'Sensitivity &amp; Scenarios'!$C$17</f>
        <v>2640.9519423383567</v>
      </c>
    </row>
    <row r="861" spans="2:10" x14ac:dyDescent="0.3">
      <c r="B861" s="127">
        <v>831</v>
      </c>
      <c r="C861" s="206">
        <f>$D$7+-1.606257*$E$7</f>
        <v>0.12148968943997798</v>
      </c>
      <c r="D861" s="206">
        <f>MIN($D$8+-0.313154*$E$8,'Debt &amp; Cost of Capital'!$C$38)</f>
        <v>5.3121076000000003E-2</v>
      </c>
      <c r="E861" s="207">
        <f>$D$9+0.165515*$E$9</f>
        <v>0.17218654770254635</v>
      </c>
      <c r="F861" s="207">
        <f>$D$10+0.77883*$E$10</f>
        <v>0.15434595999999989</v>
      </c>
      <c r="G861" s="208">
        <f>$F861*(1-'Sensitivity &amp; Scenarios'!$C$12)+'Sensitivity &amp; Scenarios'!$C$9*'Sensitivity &amp; Scenarios'!$C$12-'Sensitivity &amp; Scenarios'!$C$10</f>
        <v>8.469249995646462E-2</v>
      </c>
      <c r="H861" s="209">
        <f>('Sensitivity &amp; Scenarios'!$C$6*(1+$E861)^1*$G861+'Sensitivity &amp; Scenarios'!$C$11*'Sensitivity &amp; Scenarios'!$C$6*((1+$E861)^1-(1+$E861)^0))*'Sensitivity &amp; Scenarios'!$C$18/(1+$C861)^'Sensitivity &amp; Scenarios'!$C$18+('Sensitivity &amp; Scenarios'!$C$6*(1+$E861)^2*$G861+'Sensitivity &amp; Scenarios'!$C$11*'Sensitivity &amp; Scenarios'!$C$6*((1+$E861)^2-(1+$E861)^1))/(1+$C861)^('Sensitivity &amp; Scenarios'!$C$18+1)+('Sensitivity &amp; Scenarios'!$C$6*(1+$E861)^3*$G861+'Sensitivity &amp; Scenarios'!$C$11*'Sensitivity &amp; Scenarios'!$C$6*((1+$E861)^3-(1+$E861)^2))/(1+$C861)^('Sensitivity &amp; Scenarios'!$C$18+2)+('Sensitivity &amp; Scenarios'!$C$6*(1+$E861)^4*$G861+'Sensitivity &amp; Scenarios'!$C$11*'Sensitivity &amp; Scenarios'!$C$6*((1+$E861)^4-(1+$E861)^3))/(1+$C861)^('Sensitivity &amp; Scenarios'!$C$18+3)+('Sensitivity &amp; Scenarios'!$C$6*(1+$E861)^5*$G861+'Sensitivity &amp; Scenarios'!$C$11*'Sensitivity &amp; Scenarios'!$C$6*((1+$E861)^5-(1+$E861)^4))/(1+$C861)^('Sensitivity &amp; Scenarios'!$C$18+4)</f>
        <v>26534.652962915556</v>
      </c>
      <c r="I861" s="209">
        <f>('Sensitivity &amp; Scenarios'!$C$6*(1+$E861)^5*$G861+'Sensitivity &amp; Scenarios'!$C$11*'Sensitivity &amp; Scenarios'!$C$6*((1+$E861)^5-(1+$E861)^4))*(1+$D861)/($C861-$D861)/(1+$C861)^('Sensitivity &amp; Scenarios'!$C$18+4)</f>
        <v>95537.67105887772</v>
      </c>
      <c r="J861" s="209">
        <f>($H861+$I861-'Sensitivity &amp; Scenarios'!$C$15+'Sensitivity &amp; Scenarios'!$C$16)/'Sensitivity &amp; Scenarios'!$C$17</f>
        <v>2856.0342080151131</v>
      </c>
    </row>
    <row r="862" spans="2:10" x14ac:dyDescent="0.3">
      <c r="B862" s="127">
        <v>832</v>
      </c>
      <c r="C862" s="206">
        <f>$D$7+0.910101*$E$7</f>
        <v>0.14665326943997797</v>
      </c>
      <c r="D862" s="206">
        <f>MIN($D$8+0.283906*$E$8,'Debt &amp; Cost of Capital'!$C$38)</f>
        <v>5.6703436000000003E-2</v>
      </c>
      <c r="E862" s="207">
        <f>$D$9+0.585248*$E$9</f>
        <v>0.18477853770254635</v>
      </c>
      <c r="F862" s="207">
        <f>$D$10+0.064137*$E$10</f>
        <v>0.14576964399999992</v>
      </c>
      <c r="G862" s="208">
        <f>$F862*(1-'Sensitivity &amp; Scenarios'!$C$12)+'Sensitivity &amp; Scenarios'!$C$9*'Sensitivity &amp; Scenarios'!$C$12-'Sensitivity &amp; Scenarios'!$C$10</f>
        <v>7.8274842693664651E-2</v>
      </c>
      <c r="H862" s="209">
        <f>('Sensitivity &amp; Scenarios'!$C$6*(1+$E862)^1*$G862+'Sensitivity &amp; Scenarios'!$C$11*'Sensitivity &amp; Scenarios'!$C$6*((1+$E862)^1-(1+$E862)^0))*'Sensitivity &amp; Scenarios'!$C$18/(1+$C862)^'Sensitivity &amp; Scenarios'!$C$18+('Sensitivity &amp; Scenarios'!$C$6*(1+$E862)^2*$G862+'Sensitivity &amp; Scenarios'!$C$11*'Sensitivity &amp; Scenarios'!$C$6*((1+$E862)^2-(1+$E862)^1))/(1+$C862)^('Sensitivity &amp; Scenarios'!$C$18+1)+('Sensitivity &amp; Scenarios'!$C$6*(1+$E862)^3*$G862+'Sensitivity &amp; Scenarios'!$C$11*'Sensitivity &amp; Scenarios'!$C$6*((1+$E862)^3-(1+$E862)^2))/(1+$C862)^('Sensitivity &amp; Scenarios'!$C$18+2)+('Sensitivity &amp; Scenarios'!$C$6*(1+$E862)^4*$G862+'Sensitivity &amp; Scenarios'!$C$11*'Sensitivity &amp; Scenarios'!$C$6*((1+$E862)^4-(1+$E862)^3))/(1+$C862)^('Sensitivity &amp; Scenarios'!$C$18+3)+('Sensitivity &amp; Scenarios'!$C$6*(1+$E862)^5*$G862+'Sensitivity &amp; Scenarios'!$C$11*'Sensitivity &amp; Scenarios'!$C$6*((1+$E862)^5-(1+$E862)^4))/(1+$C862)^('Sensitivity &amp; Scenarios'!$C$18+4)</f>
        <v>24391.033088857788</v>
      </c>
      <c r="I862" s="209">
        <f>('Sensitivity &amp; Scenarios'!$C$6*(1+$E862)^5*$G862+'Sensitivity &amp; Scenarios'!$C$11*'Sensitivity &amp; Scenarios'!$C$6*((1+$E862)^5-(1+$E862)^4))*(1+$D862)/($C862-$D862)/(1+$C862)^('Sensitivity &amp; Scenarios'!$C$18+4)</f>
        <v>65625.063187446503</v>
      </c>
      <c r="J862" s="209">
        <f>($H862+$I862-'Sensitivity &amp; Scenarios'!$C$15+'Sensitivity &amp; Scenarios'!$C$16)/'Sensitivity &amp; Scenarios'!$C$17</f>
        <v>2181.2898402363908</v>
      </c>
    </row>
    <row r="863" spans="2:10" x14ac:dyDescent="0.3">
      <c r="B863" s="127">
        <v>833</v>
      </c>
      <c r="C863" s="206">
        <f>$D$7+-0.673852*$E$7</f>
        <v>0.13081373943997798</v>
      </c>
      <c r="D863" s="206">
        <f>MIN($D$8+-0.261264*$E$8,'Debt &amp; Cost of Capital'!$C$38)</f>
        <v>5.3432416000000003E-2</v>
      </c>
      <c r="E863" s="207">
        <f>$D$9+0.018991*$E$9</f>
        <v>0.16779082770254633</v>
      </c>
      <c r="F863" s="207">
        <f>$D$10+-0.034679*$E$10</f>
        <v>0.1445838519999999</v>
      </c>
      <c r="G863" s="208">
        <f>$F863*(1-'Sensitivity &amp; Scenarios'!$C$12)+'Sensitivity &amp; Scenarios'!$C$9*'Sensitivity &amp; Scenarios'!$C$12-'Sensitivity &amp; Scenarios'!$C$10</f>
        <v>7.7387514540064636E-2</v>
      </c>
      <c r="H863" s="209">
        <f>('Sensitivity &amp; Scenarios'!$C$6*(1+$E863)^1*$G863+'Sensitivity &amp; Scenarios'!$C$11*'Sensitivity &amp; Scenarios'!$C$6*((1+$E863)^1-(1+$E863)^0))*'Sensitivity &amp; Scenarios'!$C$18/(1+$C863)^'Sensitivity &amp; Scenarios'!$C$18+('Sensitivity &amp; Scenarios'!$C$6*(1+$E863)^2*$G863+'Sensitivity &amp; Scenarios'!$C$11*'Sensitivity &amp; Scenarios'!$C$6*((1+$E863)^2-(1+$E863)^1))/(1+$C863)^('Sensitivity &amp; Scenarios'!$C$18+1)+('Sensitivity &amp; Scenarios'!$C$6*(1+$E863)^3*$G863+'Sensitivity &amp; Scenarios'!$C$11*'Sensitivity &amp; Scenarios'!$C$6*((1+$E863)^3-(1+$E863)^2))/(1+$C863)^('Sensitivity &amp; Scenarios'!$C$18+2)+('Sensitivity &amp; Scenarios'!$C$6*(1+$E863)^4*$G863+'Sensitivity &amp; Scenarios'!$C$11*'Sensitivity &amp; Scenarios'!$C$6*((1+$E863)^4-(1+$E863)^3))/(1+$C863)^('Sensitivity &amp; Scenarios'!$C$18+3)+('Sensitivity &amp; Scenarios'!$C$6*(1+$E863)^5*$G863+'Sensitivity &amp; Scenarios'!$C$11*'Sensitivity &amp; Scenarios'!$C$6*((1+$E863)^5-(1+$E863)^4))/(1+$C863)^('Sensitivity &amp; Scenarios'!$C$18+4)</f>
        <v>23657.184485419726</v>
      </c>
      <c r="I863" s="209">
        <f>('Sensitivity &amp; Scenarios'!$C$6*(1+$E863)^5*$G863+'Sensitivity &amp; Scenarios'!$C$11*'Sensitivity &amp; Scenarios'!$C$6*((1+$E863)^5-(1+$E863)^4))*(1+$D863)/($C863-$D863)/(1+$C863)^('Sensitivity &amp; Scenarios'!$C$18+4)</f>
        <v>73689.974954927486</v>
      </c>
      <c r="J863" s="209">
        <f>($H863+$I863-'Sensitivity &amp; Scenarios'!$C$15+'Sensitivity &amp; Scenarios'!$C$16)/'Sensitivity &amp; Scenarios'!$C$17</f>
        <v>2335.5997490329464</v>
      </c>
    </row>
    <row r="864" spans="2:10" x14ac:dyDescent="0.3">
      <c r="B864" s="127">
        <v>834</v>
      </c>
      <c r="C864" s="206">
        <f>$D$7+-1.885573*$E$7</f>
        <v>0.11869652943997798</v>
      </c>
      <c r="D864" s="206">
        <f>MIN($D$8+-0.397483*$E$8,'Debt &amp; Cost of Capital'!$C$38)</f>
        <v>5.2615101999999997E-2</v>
      </c>
      <c r="E864" s="207">
        <f>$D$9+0.056206*$E$9</f>
        <v>0.16890727770254635</v>
      </c>
      <c r="F864" s="207">
        <f>$D$10+-0.28137*$E$10</f>
        <v>0.1416235599999999</v>
      </c>
      <c r="G864" s="208">
        <f>$F864*(1-'Sensitivity &amp; Scenarios'!$C$12)+'Sensitivity &amp; Scenarios'!$C$9*'Sensitivity &amp; Scenarios'!$C$12-'Sensitivity &amp; Scenarios'!$C$10</f>
        <v>7.5172328036464633E-2</v>
      </c>
      <c r="H864" s="209">
        <f>('Sensitivity &amp; Scenarios'!$C$6*(1+$E864)^1*$G864+'Sensitivity &amp; Scenarios'!$C$11*'Sensitivity &amp; Scenarios'!$C$6*((1+$E864)^1-(1+$E864)^0))*'Sensitivity &amp; Scenarios'!$C$18/(1+$C864)^'Sensitivity &amp; Scenarios'!$C$18+('Sensitivity &amp; Scenarios'!$C$6*(1+$E864)^2*$G864+'Sensitivity &amp; Scenarios'!$C$11*'Sensitivity &amp; Scenarios'!$C$6*((1+$E864)^2-(1+$E864)^1))/(1+$C864)^('Sensitivity &amp; Scenarios'!$C$18+1)+('Sensitivity &amp; Scenarios'!$C$6*(1+$E864)^3*$G864+'Sensitivity &amp; Scenarios'!$C$11*'Sensitivity &amp; Scenarios'!$C$6*((1+$E864)^3-(1+$E864)^2))/(1+$C864)^('Sensitivity &amp; Scenarios'!$C$18+2)+('Sensitivity &amp; Scenarios'!$C$6*(1+$E864)^4*$G864+'Sensitivity &amp; Scenarios'!$C$11*'Sensitivity &amp; Scenarios'!$C$6*((1+$E864)^4-(1+$E864)^3))/(1+$C864)^('Sensitivity &amp; Scenarios'!$C$18+3)+('Sensitivity &amp; Scenarios'!$C$6*(1+$E864)^5*$G864+'Sensitivity &amp; Scenarios'!$C$11*'Sensitivity &amp; Scenarios'!$C$6*((1+$E864)^5-(1+$E864)^4))/(1+$C864)^('Sensitivity &amp; Scenarios'!$C$18+4)</f>
        <v>23914.777860736547</v>
      </c>
      <c r="I864" s="209">
        <f>('Sensitivity &amp; Scenarios'!$C$6*(1+$E864)^5*$G864+'Sensitivity &amp; Scenarios'!$C$11*'Sensitivity &amp; Scenarios'!$C$6*((1+$E864)^5-(1+$E864)^4))*(1+$D864)/($C864-$D864)/(1+$C864)^('Sensitivity &amp; Scenarios'!$C$18+4)</f>
        <v>88994.000954645046</v>
      </c>
      <c r="J864" s="209">
        <f>($H864+$I864-'Sensitivity &amp; Scenarios'!$C$15+'Sensitivity &amp; Scenarios'!$C$16)/'Sensitivity &amp; Scenarios'!$C$17</f>
        <v>2663.1527945811172</v>
      </c>
    </row>
    <row r="865" spans="2:10" x14ac:dyDescent="0.3">
      <c r="B865" s="127">
        <v>835</v>
      </c>
      <c r="C865" s="206">
        <f>$D$7+-0.246824*$E$7</f>
        <v>0.13508401943997797</v>
      </c>
      <c r="D865" s="206">
        <f>MIN($D$8+0.487991*$E$8,'Debt &amp; Cost of Capital'!$C$38)</f>
        <v>5.7927946000000001E-2</v>
      </c>
      <c r="E865" s="207">
        <f>$D$9+-1.078957*$E$9</f>
        <v>0.13485238770254634</v>
      </c>
      <c r="F865" s="207">
        <f>$D$10+-1.628042*$E$10</f>
        <v>0.1254634959999999</v>
      </c>
      <c r="G865" s="208">
        <f>$F865*(1-'Sensitivity &amp; Scenarios'!$C$12)+'Sensitivity &amp; Scenarios'!$C$9*'Sensitivity &amp; Scenarios'!$C$12-'Sensitivity &amp; Scenarios'!$C$10</f>
        <v>6.3079752145264623E-2</v>
      </c>
      <c r="H865" s="209">
        <f>('Sensitivity &amp; Scenarios'!$C$6*(1+$E865)^1*$G865+'Sensitivity &amp; Scenarios'!$C$11*'Sensitivity &amp; Scenarios'!$C$6*((1+$E865)^1-(1+$E865)^0))*'Sensitivity &amp; Scenarios'!$C$18/(1+$C865)^'Sensitivity &amp; Scenarios'!$C$18+('Sensitivity &amp; Scenarios'!$C$6*(1+$E865)^2*$G865+'Sensitivity &amp; Scenarios'!$C$11*'Sensitivity &amp; Scenarios'!$C$6*((1+$E865)^2-(1+$E865)^1))/(1+$C865)^('Sensitivity &amp; Scenarios'!$C$18+1)+('Sensitivity &amp; Scenarios'!$C$6*(1+$E865)^3*$G865+'Sensitivity &amp; Scenarios'!$C$11*'Sensitivity &amp; Scenarios'!$C$6*((1+$E865)^3-(1+$E865)^2))/(1+$C865)^('Sensitivity &amp; Scenarios'!$C$18+2)+('Sensitivity &amp; Scenarios'!$C$6*(1+$E865)^4*$G865+'Sensitivity &amp; Scenarios'!$C$11*'Sensitivity &amp; Scenarios'!$C$6*((1+$E865)^4-(1+$E865)^3))/(1+$C865)^('Sensitivity &amp; Scenarios'!$C$18+3)+('Sensitivity &amp; Scenarios'!$C$6*(1+$E865)^5*$G865+'Sensitivity &amp; Scenarios'!$C$11*'Sensitivity &amp; Scenarios'!$C$6*((1+$E865)^5-(1+$E865)^4))/(1+$C865)^('Sensitivity &amp; Scenarios'!$C$18+4)</f>
        <v>17459.556703567225</v>
      </c>
      <c r="I865" s="209">
        <f>('Sensitivity &amp; Scenarios'!$C$6*(1+$E865)^5*$G865+'Sensitivity &amp; Scenarios'!$C$11*'Sensitivity &amp; Scenarios'!$C$6*((1+$E865)^5-(1+$E865)^4))*(1+$D865)/($C865-$D865)/(1+$C865)^('Sensitivity &amp; Scenarios'!$C$18+4)</f>
        <v>51654.148273386039</v>
      </c>
      <c r="J865" s="209">
        <f>($H865+$I865-'Sensitivity &amp; Scenarios'!$C$15+'Sensitivity &amp; Scenarios'!$C$16)/'Sensitivity &amp; Scenarios'!$C$17</f>
        <v>1741.3200810270032</v>
      </c>
    </row>
    <row r="866" spans="2:10" x14ac:dyDescent="0.3">
      <c r="B866" s="127">
        <v>836</v>
      </c>
      <c r="C866" s="206">
        <f>$D$7+-0.34817*$E$7</f>
        <v>0.13407055943997798</v>
      </c>
      <c r="D866" s="206">
        <f>MIN($D$8+0.764114*$E$8,'Debt &amp; Cost of Capital'!$C$38)</f>
        <v>5.9584683999999999E-2</v>
      </c>
      <c r="E866" s="207">
        <f>$D$9+1.687553*$E$9</f>
        <v>0.21784768770254634</v>
      </c>
      <c r="F866" s="207">
        <f>$D$10+0.782128*$E$10</f>
        <v>0.15438553599999991</v>
      </c>
      <c r="G866" s="208">
        <f>$F866*(1-'Sensitivity &amp; Scenarios'!$C$12)+'Sensitivity &amp; Scenarios'!$C$9*'Sensitivity &amp; Scenarios'!$C$12-'Sensitivity &amp; Scenarios'!$C$10</f>
        <v>8.4722114677264634E-2</v>
      </c>
      <c r="H866" s="209">
        <f>('Sensitivity &amp; Scenarios'!$C$6*(1+$E866)^1*$G866+'Sensitivity &amp; Scenarios'!$C$11*'Sensitivity &amp; Scenarios'!$C$6*((1+$E866)^1-(1+$E866)^0))*'Sensitivity &amp; Scenarios'!$C$18/(1+$C866)^'Sensitivity &amp; Scenarios'!$C$18+('Sensitivity &amp; Scenarios'!$C$6*(1+$E866)^2*$G866+'Sensitivity &amp; Scenarios'!$C$11*'Sensitivity &amp; Scenarios'!$C$6*((1+$E866)^2-(1+$E866)^1))/(1+$C866)^('Sensitivity &amp; Scenarios'!$C$18+1)+('Sensitivity &amp; Scenarios'!$C$6*(1+$E866)^3*$G866+'Sensitivity &amp; Scenarios'!$C$11*'Sensitivity &amp; Scenarios'!$C$6*((1+$E866)^3-(1+$E866)^2))/(1+$C866)^('Sensitivity &amp; Scenarios'!$C$18+2)+('Sensitivity &amp; Scenarios'!$C$6*(1+$E866)^4*$G866+'Sensitivity &amp; Scenarios'!$C$11*'Sensitivity &amp; Scenarios'!$C$6*((1+$E866)^4-(1+$E866)^3))/(1+$C866)^('Sensitivity &amp; Scenarios'!$C$18+3)+('Sensitivity &amp; Scenarios'!$C$6*(1+$E866)^5*$G866+'Sensitivity &amp; Scenarios'!$C$11*'Sensitivity &amp; Scenarios'!$C$6*((1+$E866)^5-(1+$E866)^4))/(1+$C866)^('Sensitivity &amp; Scenarios'!$C$18+4)</f>
        <v>30126.697617436341</v>
      </c>
      <c r="I866" s="209">
        <f>('Sensitivity &amp; Scenarios'!$C$6*(1+$E866)^5*$G866+'Sensitivity &amp; Scenarios'!$C$11*'Sensitivity &amp; Scenarios'!$C$6*((1+$E866)^5-(1+$E866)^4))*(1+$D866)/($C866-$D866)/(1+$C866)^('Sensitivity &amp; Scenarios'!$C$18+4)</f>
        <v>104994.64114322729</v>
      </c>
      <c r="J866" s="209">
        <f>($H866+$I866-'Sensitivity &amp; Scenarios'!$C$15+'Sensitivity &amp; Scenarios'!$C$16)/'Sensitivity &amp; Scenarios'!$C$17</f>
        <v>3130.7000005724844</v>
      </c>
    </row>
    <row r="867" spans="2:10" x14ac:dyDescent="0.3">
      <c r="B867" s="127">
        <v>837</v>
      </c>
      <c r="C867" s="206">
        <f>$D$7+-1.468264*$E$7</f>
        <v>0.12286961943997798</v>
      </c>
      <c r="D867" s="206">
        <f>MIN($D$8+-0.232367*$E$8,'Debt &amp; Cost of Capital'!$C$38)</f>
        <v>5.3605798000000003E-2</v>
      </c>
      <c r="E867" s="207">
        <f>$D$9+0.256634*$E$9</f>
        <v>0.17492011770254634</v>
      </c>
      <c r="F867" s="207">
        <f>$D$10+0.177591*$E$10</f>
        <v>0.14713109199999991</v>
      </c>
      <c r="G867" s="208">
        <f>$F867*(1-'Sensitivity &amp; Scenarios'!$C$12)+'Sensitivity &amp; Scenarios'!$C$9*'Sensitivity &amp; Scenarios'!$C$12-'Sensitivity &amp; Scenarios'!$C$10</f>
        <v>7.929361423206463E-2</v>
      </c>
      <c r="H867" s="209">
        <f>('Sensitivity &amp; Scenarios'!$C$6*(1+$E867)^1*$G867+'Sensitivity &amp; Scenarios'!$C$11*'Sensitivity &amp; Scenarios'!$C$6*((1+$E867)^1-(1+$E867)^0))*'Sensitivity &amp; Scenarios'!$C$18/(1+$C867)^'Sensitivity &amp; Scenarios'!$C$18+('Sensitivity &amp; Scenarios'!$C$6*(1+$E867)^2*$G867+'Sensitivity &amp; Scenarios'!$C$11*'Sensitivity &amp; Scenarios'!$C$6*((1+$E867)^2-(1+$E867)^1))/(1+$C867)^('Sensitivity &amp; Scenarios'!$C$18+1)+('Sensitivity &amp; Scenarios'!$C$6*(1+$E867)^3*$G867+'Sensitivity &amp; Scenarios'!$C$11*'Sensitivity &amp; Scenarios'!$C$6*((1+$E867)^3-(1+$E867)^2))/(1+$C867)^('Sensitivity &amp; Scenarios'!$C$18+2)+('Sensitivity &amp; Scenarios'!$C$6*(1+$E867)^4*$G867+'Sensitivity &amp; Scenarios'!$C$11*'Sensitivity &amp; Scenarios'!$C$6*((1+$E867)^4-(1+$E867)^3))/(1+$C867)^('Sensitivity &amp; Scenarios'!$C$18+3)+('Sensitivity &amp; Scenarios'!$C$6*(1+$E867)^5*$G867+'Sensitivity &amp; Scenarios'!$C$11*'Sensitivity &amp; Scenarios'!$C$6*((1+$E867)^5-(1+$E867)^4))/(1+$C867)^('Sensitivity &amp; Scenarios'!$C$18+4)</f>
        <v>25272.841389235015</v>
      </c>
      <c r="I867" s="209">
        <f>('Sensitivity &amp; Scenarios'!$C$6*(1+$E867)^5*$G867+'Sensitivity &amp; Scenarios'!$C$11*'Sensitivity &amp; Scenarios'!$C$6*((1+$E867)^5-(1+$E867)^4))*(1+$D867)/($C867-$D867)/(1+$C867)^('Sensitivity &amp; Scenarios'!$C$18+4)</f>
        <v>90033.933868532898</v>
      </c>
      <c r="J867" s="209">
        <f>($H867+$I867-'Sensitivity &amp; Scenarios'!$C$15+'Sensitivity &amp; Scenarios'!$C$16)/'Sensitivity &amp; Scenarios'!$C$17</f>
        <v>2713.6276853355753</v>
      </c>
    </row>
    <row r="868" spans="2:10" x14ac:dyDescent="0.3">
      <c r="B868" s="127">
        <v>838</v>
      </c>
      <c r="C868" s="206">
        <f>$D$7+0.539305*$E$7</f>
        <v>0.14294530943997799</v>
      </c>
      <c r="D868" s="206">
        <f>MIN($D$8+-0.917049*$E$8,'Debt &amp; Cost of Capital'!$C$38)</f>
        <v>4.9497706000000002E-2</v>
      </c>
      <c r="E868" s="207">
        <f>$D$9+0.064943*$E$9</f>
        <v>0.16916938770254633</v>
      </c>
      <c r="F868" s="207">
        <f>$D$10+0.420323*$E$10</f>
        <v>0.15004387599999991</v>
      </c>
      <c r="G868" s="208">
        <f>$F868*(1-'Sensitivity &amp; Scenarios'!$C$12)+'Sensitivity &amp; Scenarios'!$C$9*'Sensitivity &amp; Scenarios'!$C$12-'Sensitivity &amp; Scenarios'!$C$10</f>
        <v>8.1473250499264641E-2</v>
      </c>
      <c r="H868" s="209">
        <f>('Sensitivity &amp; Scenarios'!$C$6*(1+$E868)^1*$G868+'Sensitivity &amp; Scenarios'!$C$11*'Sensitivity &amp; Scenarios'!$C$6*((1+$E868)^1-(1+$E868)^0))*'Sensitivity &amp; Scenarios'!$C$18/(1+$C868)^'Sensitivity &amp; Scenarios'!$C$18+('Sensitivity &amp; Scenarios'!$C$6*(1+$E868)^2*$G868+'Sensitivity &amp; Scenarios'!$C$11*'Sensitivity &amp; Scenarios'!$C$6*((1+$E868)^2-(1+$E868)^1))/(1+$C868)^('Sensitivity &amp; Scenarios'!$C$18+1)+('Sensitivity &amp; Scenarios'!$C$6*(1+$E868)^3*$G868+'Sensitivity &amp; Scenarios'!$C$11*'Sensitivity &amp; Scenarios'!$C$6*((1+$E868)^3-(1+$E868)^2))/(1+$C868)^('Sensitivity &amp; Scenarios'!$C$18+2)+('Sensitivity &amp; Scenarios'!$C$6*(1+$E868)^4*$G868+'Sensitivity &amp; Scenarios'!$C$11*'Sensitivity &amp; Scenarios'!$C$6*((1+$E868)^4-(1+$E868)^3))/(1+$C868)^('Sensitivity &amp; Scenarios'!$C$18+3)+('Sensitivity &amp; Scenarios'!$C$6*(1+$E868)^5*$G868+'Sensitivity &amp; Scenarios'!$C$11*'Sensitivity &amp; Scenarios'!$C$6*((1+$E868)^5-(1+$E868)^4))/(1+$C868)^('Sensitivity &amp; Scenarios'!$C$18+4)</f>
        <v>24075.232461059095</v>
      </c>
      <c r="I868" s="209">
        <f>('Sensitivity &amp; Scenarios'!$C$6*(1+$E868)^5*$G868+'Sensitivity &amp; Scenarios'!$C$11*'Sensitivity &amp; Scenarios'!$C$6*((1+$E868)^5-(1+$E868)^4))*(1+$D868)/($C868-$D868)/(1+$C868)^('Sensitivity &amp; Scenarios'!$C$18+4)</f>
        <v>60823.706488722768</v>
      </c>
      <c r="J868" s="209">
        <f>($H868+$I868-'Sensitivity &amp; Scenarios'!$C$15+'Sensitivity &amp; Scenarios'!$C$16)/'Sensitivity &amp; Scenarios'!$C$17</f>
        <v>2073.5799402281305</v>
      </c>
    </row>
    <row r="869" spans="2:10" x14ac:dyDescent="0.3">
      <c r="B869" s="127">
        <v>839</v>
      </c>
      <c r="C869" s="206">
        <f>$D$7+0.825671*$E$7</f>
        <v>0.14580896943997798</v>
      </c>
      <c r="D869" s="206">
        <f>MIN($D$8+-0.805718*$E$8,'Debt &amp; Cost of Capital'!$C$38)</f>
        <v>5.0165691999999998E-2</v>
      </c>
      <c r="E869" s="207">
        <f>$D$9+-0.345157*$E$9</f>
        <v>0.15686638770254635</v>
      </c>
      <c r="F869" s="207">
        <f>$D$10+-2.703818*$E$10</f>
        <v>0.1125541839999999</v>
      </c>
      <c r="G869" s="208">
        <f>$F869*(1-'Sensitivity &amp; Scenarios'!$C$12)+'Sensitivity &amp; Scenarios'!$C$9*'Sensitivity &amp; Scenarios'!$C$12-'Sensitivity &amp; Scenarios'!$C$10</f>
        <v>5.341971397566464E-2</v>
      </c>
      <c r="H869" s="209">
        <f>('Sensitivity &amp; Scenarios'!$C$6*(1+$E869)^1*$G869+'Sensitivity &amp; Scenarios'!$C$11*'Sensitivity &amp; Scenarios'!$C$6*((1+$E869)^1-(1+$E869)^0))*'Sensitivity &amp; Scenarios'!$C$18/(1+$C869)^'Sensitivity &amp; Scenarios'!$C$18+('Sensitivity &amp; Scenarios'!$C$6*(1+$E869)^2*$G869+'Sensitivity &amp; Scenarios'!$C$11*'Sensitivity &amp; Scenarios'!$C$6*((1+$E869)^2-(1+$E869)^1))/(1+$C869)^('Sensitivity &amp; Scenarios'!$C$18+1)+('Sensitivity &amp; Scenarios'!$C$6*(1+$E869)^3*$G869+'Sensitivity &amp; Scenarios'!$C$11*'Sensitivity &amp; Scenarios'!$C$6*((1+$E869)^3-(1+$E869)^2))/(1+$C869)^('Sensitivity &amp; Scenarios'!$C$18+2)+('Sensitivity &amp; Scenarios'!$C$6*(1+$E869)^4*$G869+'Sensitivity &amp; Scenarios'!$C$11*'Sensitivity &amp; Scenarios'!$C$6*((1+$E869)^4-(1+$E869)^3))/(1+$C869)^('Sensitivity &amp; Scenarios'!$C$18+3)+('Sensitivity &amp; Scenarios'!$C$6*(1+$E869)^5*$G869+'Sensitivity &amp; Scenarios'!$C$11*'Sensitivity &amp; Scenarios'!$C$6*((1+$E869)^5-(1+$E869)^4))/(1+$C869)^('Sensitivity &amp; Scenarios'!$C$18+4)</f>
        <v>16217.842607998269</v>
      </c>
      <c r="I869" s="209">
        <f>('Sensitivity &amp; Scenarios'!$C$6*(1+$E869)^5*$G869+'Sensitivity &amp; Scenarios'!$C$11*'Sensitivity &amp; Scenarios'!$C$6*((1+$E869)^5-(1+$E869)^4))*(1+$D869)/($C869-$D869)/(1+$C869)^('Sensitivity &amp; Scenarios'!$C$18+4)</f>
        <v>39119.228107838644</v>
      </c>
      <c r="J869" s="209">
        <f>($H869+$I869-'Sensitivity &amp; Scenarios'!$C$15+'Sensitivity &amp; Scenarios'!$C$16)/'Sensitivity &amp; Scenarios'!$C$17</f>
        <v>1451.3387878929809</v>
      </c>
    </row>
    <row r="870" spans="2:10" x14ac:dyDescent="0.3">
      <c r="B870" s="127">
        <v>840</v>
      </c>
      <c r="C870" s="206">
        <f>$D$7+-0.621462*$E$7</f>
        <v>0.13133763943997798</v>
      </c>
      <c r="D870" s="206">
        <f>MIN($D$8+-0.524415*$E$8,'Debt &amp; Cost of Capital'!$C$38)</f>
        <v>5.1853509999999998E-2</v>
      </c>
      <c r="E870" s="207">
        <f>$D$9+-1.019585*$E$9</f>
        <v>0.13663354770254635</v>
      </c>
      <c r="F870" s="207">
        <f>$D$10+0.165612*$E$10</f>
        <v>0.14698734399999991</v>
      </c>
      <c r="G870" s="208">
        <f>$F870*(1-'Sensitivity &amp; Scenarios'!$C$12)+'Sensitivity &amp; Scenarios'!$C$9*'Sensitivity &amp; Scenarios'!$C$12-'Sensitivity &amp; Scenarios'!$C$10</f>
        <v>7.9186047603664642E-2</v>
      </c>
      <c r="H870" s="209">
        <f>('Sensitivity &amp; Scenarios'!$C$6*(1+$E870)^1*$G870+'Sensitivity &amp; Scenarios'!$C$11*'Sensitivity &amp; Scenarios'!$C$6*((1+$E870)^1-(1+$E870)^0))*'Sensitivity &amp; Scenarios'!$C$18/(1+$C870)^'Sensitivity &amp; Scenarios'!$C$18+('Sensitivity &amp; Scenarios'!$C$6*(1+$E870)^2*$G870+'Sensitivity &amp; Scenarios'!$C$11*'Sensitivity &amp; Scenarios'!$C$6*((1+$E870)^2-(1+$E870)^1))/(1+$C870)^('Sensitivity &amp; Scenarios'!$C$18+1)+('Sensitivity &amp; Scenarios'!$C$6*(1+$E870)^3*$G870+'Sensitivity &amp; Scenarios'!$C$11*'Sensitivity &amp; Scenarios'!$C$6*((1+$E870)^3-(1+$E870)^2))/(1+$C870)^('Sensitivity &amp; Scenarios'!$C$18+2)+('Sensitivity &amp; Scenarios'!$C$6*(1+$E870)^4*$G870+'Sensitivity &amp; Scenarios'!$C$11*'Sensitivity &amp; Scenarios'!$C$6*((1+$E870)^4-(1+$E870)^3))/(1+$C870)^('Sensitivity &amp; Scenarios'!$C$18+3)+('Sensitivity &amp; Scenarios'!$C$6*(1+$E870)^5*$G870+'Sensitivity &amp; Scenarios'!$C$11*'Sensitivity &amp; Scenarios'!$C$6*((1+$E870)^5-(1+$E870)^4))/(1+$C870)^('Sensitivity &amp; Scenarios'!$C$18+4)</f>
        <v>21490.201332879493</v>
      </c>
      <c r="I870" s="209">
        <f>('Sensitivity &amp; Scenarios'!$C$6*(1+$E870)^5*$G870+'Sensitivity &amp; Scenarios'!$C$11*'Sensitivity &amp; Scenarios'!$C$6*((1+$E870)^5-(1+$E870)^4))*(1+$D870)/($C870-$D870)/(1+$C870)^('Sensitivity &amp; Scenarios'!$C$18+4)</f>
        <v>61914.304611567146</v>
      </c>
      <c r="J870" s="209">
        <f>($H870+$I870-'Sensitivity &amp; Scenarios'!$C$15+'Sensitivity &amp; Scenarios'!$C$16)/'Sensitivity &amp; Scenarios'!$C$17</f>
        <v>2042.1239541595744</v>
      </c>
    </row>
    <row r="871" spans="2:10" x14ac:dyDescent="0.3">
      <c r="B871" s="127">
        <v>841</v>
      </c>
      <c r="C871" s="206">
        <f>$D$7+-0.055945*$E$7</f>
        <v>0.13699280943997799</v>
      </c>
      <c r="D871" s="206">
        <f>MIN($D$8+-2.259214*$E$8,'Debt &amp; Cost of Capital'!$C$38)</f>
        <v>4.1444716E-2</v>
      </c>
      <c r="E871" s="207">
        <f>$D$9+0.215508*$E$9</f>
        <v>0.17368633770254635</v>
      </c>
      <c r="F871" s="207">
        <f>$D$10+-0.928324*$E$10</f>
        <v>0.13386011199999992</v>
      </c>
      <c r="G871" s="208">
        <f>$F871*(1-'Sensitivity &amp; Scenarios'!$C$12)+'Sensitivity &amp; Scenarios'!$C$9*'Sensitivity &amp; Scenarios'!$C$12-'Sensitivity &amp; Scenarios'!$C$10</f>
        <v>6.9362939898064649E-2</v>
      </c>
      <c r="H871" s="209">
        <f>('Sensitivity &amp; Scenarios'!$C$6*(1+$E871)^1*$G871+'Sensitivity &amp; Scenarios'!$C$11*'Sensitivity &amp; Scenarios'!$C$6*((1+$E871)^1-(1+$E871)^0))*'Sensitivity &amp; Scenarios'!$C$18/(1+$C871)^'Sensitivity &amp; Scenarios'!$C$18+('Sensitivity &amp; Scenarios'!$C$6*(1+$E871)^2*$G871+'Sensitivity &amp; Scenarios'!$C$11*'Sensitivity &amp; Scenarios'!$C$6*((1+$E871)^2-(1+$E871)^1))/(1+$C871)^('Sensitivity &amp; Scenarios'!$C$18+1)+('Sensitivity &amp; Scenarios'!$C$6*(1+$E871)^3*$G871+'Sensitivity &amp; Scenarios'!$C$11*'Sensitivity &amp; Scenarios'!$C$6*((1+$E871)^3-(1+$E871)^2))/(1+$C871)^('Sensitivity &amp; Scenarios'!$C$18+2)+('Sensitivity &amp; Scenarios'!$C$6*(1+$E871)^4*$G871+'Sensitivity &amp; Scenarios'!$C$11*'Sensitivity &amp; Scenarios'!$C$6*((1+$E871)^4-(1+$E871)^3))/(1+$C871)^('Sensitivity &amp; Scenarios'!$C$18+3)+('Sensitivity &amp; Scenarios'!$C$6*(1+$E871)^5*$G871+'Sensitivity &amp; Scenarios'!$C$11*'Sensitivity &amp; Scenarios'!$C$6*((1+$E871)^5-(1+$E871)^4))/(1+$C871)^('Sensitivity &amp; Scenarios'!$C$18+4)</f>
        <v>21754.807019392261</v>
      </c>
      <c r="I871" s="209">
        <f>('Sensitivity &amp; Scenarios'!$C$6*(1+$E871)^5*$G871+'Sensitivity &amp; Scenarios'!$C$11*'Sensitivity &amp; Scenarios'!$C$6*((1+$E871)^5-(1+$E871)^4))*(1+$D871)/($C871-$D871)/(1+$C871)^('Sensitivity &amp; Scenarios'!$C$18+4)</f>
        <v>54215.545577075478</v>
      </c>
      <c r="J871" s="209">
        <f>($H871+$I871-'Sensitivity &amp; Scenarios'!$C$15+'Sensitivity &amp; Scenarios'!$C$16)/'Sensitivity &amp; Scenarios'!$C$17</f>
        <v>1885.6441231395952</v>
      </c>
    </row>
    <row r="872" spans="2:10" x14ac:dyDescent="0.3">
      <c r="B872" s="127">
        <v>842</v>
      </c>
      <c r="C872" s="206">
        <f>$D$7+0.485689*$E$7</f>
        <v>0.14240914943997798</v>
      </c>
      <c r="D872" s="206">
        <f>MIN($D$8+-1.281851*$E$8,'Debt &amp; Cost of Capital'!$C$38)</f>
        <v>4.7308893999999997E-2</v>
      </c>
      <c r="E872" s="207">
        <f>$D$9+0.030007*$E$9</f>
        <v>0.16812130770254635</v>
      </c>
      <c r="F872" s="207">
        <f>$D$10+-0.283163*$E$10</f>
        <v>0.1416020439999999</v>
      </c>
      <c r="G872" s="208">
        <f>$F872*(1-'Sensitivity &amp; Scenarios'!$C$12)+'Sensitivity &amp; Scenarios'!$C$9*'Sensitivity &amp; Scenarios'!$C$12-'Sensitivity &amp; Scenarios'!$C$10</f>
        <v>7.5156227613664625E-2</v>
      </c>
      <c r="H872" s="209">
        <f>('Sensitivity &amp; Scenarios'!$C$6*(1+$E872)^1*$G872+'Sensitivity &amp; Scenarios'!$C$11*'Sensitivity &amp; Scenarios'!$C$6*((1+$E872)^1-(1+$E872)^0))*'Sensitivity &amp; Scenarios'!$C$18/(1+$C872)^'Sensitivity &amp; Scenarios'!$C$18+('Sensitivity &amp; Scenarios'!$C$6*(1+$E872)^2*$G872+'Sensitivity &amp; Scenarios'!$C$11*'Sensitivity &amp; Scenarios'!$C$6*((1+$E872)^2-(1+$E872)^1))/(1+$C872)^('Sensitivity &amp; Scenarios'!$C$18+1)+('Sensitivity &amp; Scenarios'!$C$6*(1+$E872)^3*$G872+'Sensitivity &amp; Scenarios'!$C$11*'Sensitivity &amp; Scenarios'!$C$6*((1+$E872)^3-(1+$E872)^2))/(1+$C872)^('Sensitivity &amp; Scenarios'!$C$18+2)+('Sensitivity &amp; Scenarios'!$C$6*(1+$E872)^4*$G872+'Sensitivity &amp; Scenarios'!$C$11*'Sensitivity &amp; Scenarios'!$C$6*((1+$E872)^4-(1+$E872)^3))/(1+$C872)^('Sensitivity &amp; Scenarios'!$C$18+3)+('Sensitivity &amp; Scenarios'!$C$6*(1+$E872)^5*$G872+'Sensitivity &amp; Scenarios'!$C$11*'Sensitivity &amp; Scenarios'!$C$6*((1+$E872)^5-(1+$E872)^4))/(1+$C872)^('Sensitivity &amp; Scenarios'!$C$18+4)</f>
        <v>22458.139416492646</v>
      </c>
      <c r="I872" s="209">
        <f>('Sensitivity &amp; Scenarios'!$C$6*(1+$E872)^5*$G872+'Sensitivity &amp; Scenarios'!$C$11*'Sensitivity &amp; Scenarios'!$C$6*((1+$E872)^5-(1+$E872)^4))*(1+$D872)/($C872-$D872)/(1+$C872)^('Sensitivity &amp; Scenarios'!$C$18+4)</f>
        <v>55593.180879841027</v>
      </c>
      <c r="J872" s="209">
        <f>($H872+$I872-'Sensitivity &amp; Scenarios'!$C$15+'Sensitivity &amp; Scenarios'!$C$16)/'Sensitivity &amp; Scenarios'!$C$17</f>
        <v>1929.4459468027542</v>
      </c>
    </row>
    <row r="873" spans="2:10" x14ac:dyDescent="0.3">
      <c r="B873" s="127">
        <v>843</v>
      </c>
      <c r="C873" s="206">
        <f>$D$7+0.303102*$E$7</f>
        <v>0.14058327943997798</v>
      </c>
      <c r="D873" s="206">
        <f>MIN($D$8+0.124697*$E$8,'Debt &amp; Cost of Capital'!$C$38)</f>
        <v>5.5748182E-2</v>
      </c>
      <c r="E873" s="207">
        <f>$D$9+-0.255164*$E$9</f>
        <v>0.15956617770254633</v>
      </c>
      <c r="F873" s="207">
        <f>$D$10+-1.536272*$E$10</f>
        <v>0.1265647359999999</v>
      </c>
      <c r="G873" s="208">
        <f>$F873*(1-'Sensitivity &amp; Scenarios'!$C$12)+'Sensitivity &amp; Scenarios'!$C$9*'Sensitivity &amp; Scenarios'!$C$12-'Sensitivity &amp; Scenarios'!$C$10</f>
        <v>6.3903810037264627E-2</v>
      </c>
      <c r="H873" s="209">
        <f>('Sensitivity &amp; Scenarios'!$C$6*(1+$E873)^1*$G873+'Sensitivity &amp; Scenarios'!$C$11*'Sensitivity &amp; Scenarios'!$C$6*((1+$E873)^1-(1+$E873)^0))*'Sensitivity &amp; Scenarios'!$C$18/(1+$C873)^'Sensitivity &amp; Scenarios'!$C$18+('Sensitivity &amp; Scenarios'!$C$6*(1+$E873)^2*$G873+'Sensitivity &amp; Scenarios'!$C$11*'Sensitivity &amp; Scenarios'!$C$6*((1+$E873)^2-(1+$E873)^1))/(1+$C873)^('Sensitivity &amp; Scenarios'!$C$18+1)+('Sensitivity &amp; Scenarios'!$C$6*(1+$E873)^3*$G873+'Sensitivity &amp; Scenarios'!$C$11*'Sensitivity &amp; Scenarios'!$C$6*((1+$E873)^3-(1+$E873)^2))/(1+$C873)^('Sensitivity &amp; Scenarios'!$C$18+2)+('Sensitivity &amp; Scenarios'!$C$6*(1+$E873)^4*$G873+'Sensitivity &amp; Scenarios'!$C$11*'Sensitivity &amp; Scenarios'!$C$6*((1+$E873)^4-(1+$E873)^3))/(1+$C873)^('Sensitivity &amp; Scenarios'!$C$18+3)+('Sensitivity &amp; Scenarios'!$C$6*(1+$E873)^5*$G873+'Sensitivity &amp; Scenarios'!$C$11*'Sensitivity &amp; Scenarios'!$C$6*((1+$E873)^5-(1+$E873)^4))/(1+$C873)^('Sensitivity &amp; Scenarios'!$C$18+4)</f>
        <v>19142.962209406429</v>
      </c>
      <c r="I873" s="209">
        <f>('Sensitivity &amp; Scenarios'!$C$6*(1+$E873)^5*$G873+'Sensitivity &amp; Scenarios'!$C$11*'Sensitivity &amp; Scenarios'!$C$6*((1+$E873)^5-(1+$E873)^4))*(1+$D873)/($C873-$D873)/(1+$C873)^('Sensitivity &amp; Scenarios'!$C$18+4)</f>
        <v>52995.227440264804</v>
      </c>
      <c r="J873" s="209">
        <f>($H873+$I873-'Sensitivity &amp; Scenarios'!$C$15+'Sensitivity &amp; Scenarios'!$C$16)/'Sensitivity &amp; Scenarios'!$C$17</f>
        <v>1804.9817824147067</v>
      </c>
    </row>
    <row r="874" spans="2:10" x14ac:dyDescent="0.3">
      <c r="B874" s="127">
        <v>844</v>
      </c>
      <c r="C874" s="206">
        <f>$D$7+-1.477208*$E$7</f>
        <v>0.12278017943997797</v>
      </c>
      <c r="D874" s="206">
        <f>MIN($D$8+-0.583887*$E$8,'Debt &amp; Cost of Capital'!$C$38)</f>
        <v>5.1496677999999997E-2</v>
      </c>
      <c r="E874" s="207">
        <f>$D$9+-0.00828*$E$9</f>
        <v>0.16697269770254633</v>
      </c>
      <c r="F874" s="207">
        <f>$D$10+-0.608248*$E$10</f>
        <v>0.13770102399999989</v>
      </c>
      <c r="G874" s="208">
        <f>$F874*(1-'Sensitivity &amp; Scenarios'!$C$12)+'Sensitivity &amp; Scenarios'!$C$9*'Sensitivity &amp; Scenarios'!$C$12-'Sensitivity &amp; Scenarios'!$C$10</f>
        <v>7.2237094347664621E-2</v>
      </c>
      <c r="H874" s="209">
        <f>('Sensitivity &amp; Scenarios'!$C$6*(1+$E874)^1*$G874+'Sensitivity &amp; Scenarios'!$C$11*'Sensitivity &amp; Scenarios'!$C$6*((1+$E874)^1-(1+$E874)^0))*'Sensitivity &amp; Scenarios'!$C$18/(1+$C874)^'Sensitivity &amp; Scenarios'!$C$18+('Sensitivity &amp; Scenarios'!$C$6*(1+$E874)^2*$G874+'Sensitivity &amp; Scenarios'!$C$11*'Sensitivity &amp; Scenarios'!$C$6*((1+$E874)^2-(1+$E874)^1))/(1+$C874)^('Sensitivity &amp; Scenarios'!$C$18+1)+('Sensitivity &amp; Scenarios'!$C$6*(1+$E874)^3*$G874+'Sensitivity &amp; Scenarios'!$C$11*'Sensitivity &amp; Scenarios'!$C$6*((1+$E874)^3-(1+$E874)^2))/(1+$C874)^('Sensitivity &amp; Scenarios'!$C$18+2)+('Sensitivity &amp; Scenarios'!$C$6*(1+$E874)^4*$G874+'Sensitivity &amp; Scenarios'!$C$11*'Sensitivity &amp; Scenarios'!$C$6*((1+$E874)^4-(1+$E874)^3))/(1+$C874)^('Sensitivity &amp; Scenarios'!$C$18+3)+('Sensitivity &amp; Scenarios'!$C$6*(1+$E874)^5*$G874+'Sensitivity &amp; Scenarios'!$C$11*'Sensitivity &amp; Scenarios'!$C$6*((1+$E874)^5-(1+$E874)^4))/(1+$C874)^('Sensitivity &amp; Scenarios'!$C$18+4)</f>
        <v>22740.876288705516</v>
      </c>
      <c r="I874" s="209">
        <f>('Sensitivity &amp; Scenarios'!$C$6*(1+$E874)^5*$G874+'Sensitivity &amp; Scenarios'!$C$11*'Sensitivity &amp; Scenarios'!$C$6*((1+$E874)^5-(1+$E874)^4))*(1+$D874)/($C874-$D874)/(1+$C874)^('Sensitivity &amp; Scenarios'!$C$18+4)</f>
        <v>77636.040472760244</v>
      </c>
      <c r="J874" s="209">
        <f>($H874+$I874-'Sensitivity &amp; Scenarios'!$C$15+'Sensitivity &amp; Scenarios'!$C$16)/'Sensitivity &amp; Scenarios'!$C$17</f>
        <v>2399.372433217497</v>
      </c>
    </row>
    <row r="875" spans="2:10" x14ac:dyDescent="0.3">
      <c r="B875" s="127">
        <v>845</v>
      </c>
      <c r="C875" s="206">
        <f>$D$7+0.625212*$E$7</f>
        <v>0.14380437943997798</v>
      </c>
      <c r="D875" s="206">
        <f>MIN($D$8+-0.279221*$E$8,'Debt &amp; Cost of Capital'!$C$38)</f>
        <v>5.3324674000000002E-2</v>
      </c>
      <c r="E875" s="207">
        <f>$D$9+-0.965013*$E$9</f>
        <v>0.13827070770254635</v>
      </c>
      <c r="F875" s="207">
        <f>$D$10+-0.278096*$E$10</f>
        <v>0.1416628479999999</v>
      </c>
      <c r="G875" s="208">
        <f>$F875*(1-'Sensitivity &amp; Scenarios'!$C$12)+'Sensitivity &amp; Scenarios'!$C$9*'Sensitivity &amp; Scenarios'!$C$12-'Sensitivity &amp; Scenarios'!$C$10</f>
        <v>7.5201727246864622E-2</v>
      </c>
      <c r="H875" s="209">
        <f>('Sensitivity &amp; Scenarios'!$C$6*(1+$E875)^1*$G875+'Sensitivity &amp; Scenarios'!$C$11*'Sensitivity &amp; Scenarios'!$C$6*((1+$E875)^1-(1+$E875)^0))*'Sensitivity &amp; Scenarios'!$C$18/(1+$C875)^'Sensitivity &amp; Scenarios'!$C$18+('Sensitivity &amp; Scenarios'!$C$6*(1+$E875)^2*$G875+'Sensitivity &amp; Scenarios'!$C$11*'Sensitivity &amp; Scenarios'!$C$6*((1+$E875)^2-(1+$E875)^1))/(1+$C875)^('Sensitivity &amp; Scenarios'!$C$18+1)+('Sensitivity &amp; Scenarios'!$C$6*(1+$E875)^3*$G875+'Sensitivity &amp; Scenarios'!$C$11*'Sensitivity &amp; Scenarios'!$C$6*((1+$E875)^3-(1+$E875)^2))/(1+$C875)^('Sensitivity &amp; Scenarios'!$C$18+2)+('Sensitivity &amp; Scenarios'!$C$6*(1+$E875)^4*$G875+'Sensitivity &amp; Scenarios'!$C$11*'Sensitivity &amp; Scenarios'!$C$6*((1+$E875)^4-(1+$E875)^3))/(1+$C875)^('Sensitivity &amp; Scenarios'!$C$18+3)+('Sensitivity &amp; Scenarios'!$C$6*(1+$E875)^5*$G875+'Sensitivity &amp; Scenarios'!$C$11*'Sensitivity &amp; Scenarios'!$C$6*((1+$E875)^5-(1+$E875)^4))/(1+$C875)^('Sensitivity &amp; Scenarios'!$C$18+4)</f>
        <v>20066.530580935076</v>
      </c>
      <c r="I875" s="209">
        <f>('Sensitivity &amp; Scenarios'!$C$6*(1+$E875)^5*$G875+'Sensitivity &amp; Scenarios'!$C$11*'Sensitivity &amp; Scenarios'!$C$6*((1+$E875)^5-(1+$E875)^4))*(1+$D875)/($C875-$D875)/(1+$C875)^('Sensitivity &amp; Scenarios'!$C$18+4)</f>
        <v>49974.074665292981</v>
      </c>
      <c r="J875" s="209">
        <f>($H875+$I875-'Sensitivity &amp; Scenarios'!$C$15+'Sensitivity &amp; Scenarios'!$C$16)/'Sensitivity &amp; Scenarios'!$C$17</f>
        <v>1760.8301974746182</v>
      </c>
    </row>
    <row r="876" spans="2:10" x14ac:dyDescent="0.3">
      <c r="B876" s="127">
        <v>846</v>
      </c>
      <c r="C876" s="206">
        <f>$D$7+0.22586*$E$7</f>
        <v>0.13981085943997798</v>
      </c>
      <c r="D876" s="206">
        <f>MIN($D$8+0.324885*$E$8,'Debt &amp; Cost of Capital'!$C$38)</f>
        <v>5.6949310000000003E-2</v>
      </c>
      <c r="E876" s="207">
        <f>$D$9+1.878379*$E$9</f>
        <v>0.22357246770254635</v>
      </c>
      <c r="F876" s="207">
        <f>$D$10+-0.668909*$E$10</f>
        <v>0.13697309199999991</v>
      </c>
      <c r="G876" s="208">
        <f>$F876*(1-'Sensitivity &amp; Scenarios'!$C$12)+'Sensitivity &amp; Scenarios'!$C$9*'Sensitivity &amp; Scenarios'!$C$12-'Sensitivity &amp; Scenarios'!$C$10</f>
        <v>7.1692382832064638E-2</v>
      </c>
      <c r="H876" s="209">
        <f>('Sensitivity &amp; Scenarios'!$C$6*(1+$E876)^1*$G876+'Sensitivity &amp; Scenarios'!$C$11*'Sensitivity &amp; Scenarios'!$C$6*((1+$E876)^1-(1+$E876)^0))*'Sensitivity &amp; Scenarios'!$C$18/(1+$C876)^'Sensitivity &amp; Scenarios'!$C$18+('Sensitivity &amp; Scenarios'!$C$6*(1+$E876)^2*$G876+'Sensitivity &amp; Scenarios'!$C$11*'Sensitivity &amp; Scenarios'!$C$6*((1+$E876)^2-(1+$E876)^1))/(1+$C876)^('Sensitivity &amp; Scenarios'!$C$18+1)+('Sensitivity &amp; Scenarios'!$C$6*(1+$E876)^3*$G876+'Sensitivity &amp; Scenarios'!$C$11*'Sensitivity &amp; Scenarios'!$C$6*((1+$E876)^3-(1+$E876)^2))/(1+$C876)^('Sensitivity &amp; Scenarios'!$C$18+2)+('Sensitivity &amp; Scenarios'!$C$6*(1+$E876)^4*$G876+'Sensitivity &amp; Scenarios'!$C$11*'Sensitivity &amp; Scenarios'!$C$6*((1+$E876)^4-(1+$E876)^3))/(1+$C876)^('Sensitivity &amp; Scenarios'!$C$18+3)+('Sensitivity &amp; Scenarios'!$C$6*(1+$E876)^5*$G876+'Sensitivity &amp; Scenarios'!$C$11*'Sensitivity &amp; Scenarios'!$C$6*((1+$E876)^5-(1+$E876)^4))/(1+$C876)^('Sensitivity &amp; Scenarios'!$C$18+4)</f>
        <v>26506.450609179643</v>
      </c>
      <c r="I876" s="209">
        <f>('Sensitivity &amp; Scenarios'!$C$6*(1+$E876)^5*$G876+'Sensitivity &amp; Scenarios'!$C$11*'Sensitivity &amp; Scenarios'!$C$6*((1+$E876)^5-(1+$E876)^4))*(1+$D876)/($C876-$D876)/(1+$C876)^('Sensitivity &amp; Scenarios'!$C$18+4)</f>
        <v>82782.644527270255</v>
      </c>
      <c r="J876" s="209">
        <f>($H876+$I876-'Sensitivity &amp; Scenarios'!$C$15+'Sensitivity &amp; Scenarios'!$C$16)/'Sensitivity &amp; Scenarios'!$C$17</f>
        <v>2586.962882440148</v>
      </c>
    </row>
    <row r="877" spans="2:10" x14ac:dyDescent="0.3">
      <c r="B877" s="127">
        <v>847</v>
      </c>
      <c r="C877" s="206">
        <f>$D$7+-0.073479*$E$7</f>
        <v>0.13681746943997797</v>
      </c>
      <c r="D877" s="206">
        <f>MIN($D$8+0.426124*$E$8,'Debt &amp; Cost of Capital'!$C$38)</f>
        <v>5.7556744E-2</v>
      </c>
      <c r="E877" s="207">
        <f>$D$9+-0.023423*$E$9</f>
        <v>0.16651840770254633</v>
      </c>
      <c r="F877" s="207">
        <f>$D$10+-0.500618*$E$10</f>
        <v>0.13899258399999992</v>
      </c>
      <c r="G877" s="208">
        <f>$F877*(1-'Sensitivity &amp; Scenarios'!$C$12)+'Sensitivity &amp; Scenarios'!$C$9*'Sensitivity &amp; Scenarios'!$C$12-'Sensitivity &amp; Scenarios'!$C$10</f>
        <v>7.3203568695664648E-2</v>
      </c>
      <c r="H877" s="209">
        <f>('Sensitivity &amp; Scenarios'!$C$6*(1+$E877)^1*$G877+'Sensitivity &amp; Scenarios'!$C$11*'Sensitivity &amp; Scenarios'!$C$6*((1+$E877)^1-(1+$E877)^0))*'Sensitivity &amp; Scenarios'!$C$18/(1+$C877)^'Sensitivity &amp; Scenarios'!$C$18+('Sensitivity &amp; Scenarios'!$C$6*(1+$E877)^2*$G877+'Sensitivity &amp; Scenarios'!$C$11*'Sensitivity &amp; Scenarios'!$C$6*((1+$E877)^2-(1+$E877)^1))/(1+$C877)^('Sensitivity &amp; Scenarios'!$C$18+1)+('Sensitivity &amp; Scenarios'!$C$6*(1+$E877)^3*$G877+'Sensitivity &amp; Scenarios'!$C$11*'Sensitivity &amp; Scenarios'!$C$6*((1+$E877)^3-(1+$E877)^2))/(1+$C877)^('Sensitivity &amp; Scenarios'!$C$18+2)+('Sensitivity &amp; Scenarios'!$C$6*(1+$E877)^4*$G877+'Sensitivity &amp; Scenarios'!$C$11*'Sensitivity &amp; Scenarios'!$C$6*((1+$E877)^4-(1+$E877)^3))/(1+$C877)^('Sensitivity &amp; Scenarios'!$C$18+3)+('Sensitivity &amp; Scenarios'!$C$6*(1+$E877)^5*$G877+'Sensitivity &amp; Scenarios'!$C$11*'Sensitivity &amp; Scenarios'!$C$6*((1+$E877)^5-(1+$E877)^4))/(1+$C877)^('Sensitivity &amp; Scenarios'!$C$18+4)</f>
        <v>22153.989543115465</v>
      </c>
      <c r="I877" s="209">
        <f>('Sensitivity &amp; Scenarios'!$C$6*(1+$E877)^5*$G877+'Sensitivity &amp; Scenarios'!$C$11*'Sensitivity &amp; Scenarios'!$C$6*((1+$E877)^5-(1+$E877)^4))*(1+$D877)/($C877-$D877)/(1+$C877)^('Sensitivity &amp; Scenarios'!$C$18+4)</f>
        <v>66866.922458995192</v>
      </c>
      <c r="J877" s="209">
        <f>($H877+$I877-'Sensitivity &amp; Scenarios'!$C$15+'Sensitivity &amp; Scenarios'!$C$16)/'Sensitivity &amp; Scenarios'!$C$17</f>
        <v>2160.3424290423645</v>
      </c>
    </row>
    <row r="878" spans="2:10" x14ac:dyDescent="0.3">
      <c r="B878" s="127">
        <v>848</v>
      </c>
      <c r="C878" s="206">
        <f>$D$7+-1.549257*$E$7</f>
        <v>0.12205968943997798</v>
      </c>
      <c r="D878" s="206">
        <f>MIN($D$8+-0.510835*$E$8,'Debt &amp; Cost of Capital'!$C$38)</f>
        <v>5.193499E-2</v>
      </c>
      <c r="E878" s="207">
        <f>$D$9+-1.073702*$E$9</f>
        <v>0.13501003770254633</v>
      </c>
      <c r="F878" s="207">
        <f>$D$10+-1.726607*$E$10</f>
        <v>0.1242807159999999</v>
      </c>
      <c r="G878" s="208">
        <f>$F878*(1-'Sensitivity &amp; Scenarios'!$C$12)+'Sensitivity &amp; Scenarios'!$C$9*'Sensitivity &amp; Scenarios'!$C$12-'Sensitivity &amp; Scenarios'!$C$10</f>
        <v>6.2194677871264634E-2</v>
      </c>
      <c r="H878" s="209">
        <f>('Sensitivity &amp; Scenarios'!$C$6*(1+$E878)^1*$G878+'Sensitivity &amp; Scenarios'!$C$11*'Sensitivity &amp; Scenarios'!$C$6*((1+$E878)^1-(1+$E878)^0))*'Sensitivity &amp; Scenarios'!$C$18/(1+$C878)^'Sensitivity &amp; Scenarios'!$C$18+('Sensitivity &amp; Scenarios'!$C$6*(1+$E878)^2*$G878+'Sensitivity &amp; Scenarios'!$C$11*'Sensitivity &amp; Scenarios'!$C$6*((1+$E878)^2-(1+$E878)^1))/(1+$C878)^('Sensitivity &amp; Scenarios'!$C$18+1)+('Sensitivity &amp; Scenarios'!$C$6*(1+$E878)^3*$G878+'Sensitivity &amp; Scenarios'!$C$11*'Sensitivity &amp; Scenarios'!$C$6*((1+$E878)^3-(1+$E878)^2))/(1+$C878)^('Sensitivity &amp; Scenarios'!$C$18+2)+('Sensitivity &amp; Scenarios'!$C$6*(1+$E878)^4*$G878+'Sensitivity &amp; Scenarios'!$C$11*'Sensitivity &amp; Scenarios'!$C$6*((1+$E878)^4-(1+$E878)^3))/(1+$C878)^('Sensitivity &amp; Scenarios'!$C$18+3)+('Sensitivity &amp; Scenarios'!$C$6*(1+$E878)^5*$G878+'Sensitivity &amp; Scenarios'!$C$11*'Sensitivity &amp; Scenarios'!$C$6*((1+$E878)^5-(1+$E878)^4))/(1+$C878)^('Sensitivity &amp; Scenarios'!$C$18+4)</f>
        <v>17834.730953287901</v>
      </c>
      <c r="I878" s="209">
        <f>('Sensitivity &amp; Scenarios'!$C$6*(1+$E878)^5*$G878+'Sensitivity &amp; Scenarios'!$C$11*'Sensitivity &amp; Scenarios'!$C$6*((1+$E878)^5-(1+$E878)^4))*(1+$D878)/($C878-$D878)/(1+$C878)^('Sensitivity &amp; Scenarios'!$C$18+4)</f>
        <v>58973.842202166619</v>
      </c>
      <c r="J878" s="209">
        <f>($H878+$I878-'Sensitivity &amp; Scenarios'!$C$15+'Sensitivity &amp; Scenarios'!$C$16)/'Sensitivity &amp; Scenarios'!$C$17</f>
        <v>1903.2876402004022</v>
      </c>
    </row>
    <row r="879" spans="2:10" x14ac:dyDescent="0.3">
      <c r="B879" s="127">
        <v>849</v>
      </c>
      <c r="C879" s="206">
        <f>$D$7+-0.795679*$E$7</f>
        <v>0.12959546943997799</v>
      </c>
      <c r="D879" s="206">
        <f>MIN($D$8+-1.047092*$E$8,'Debt &amp; Cost of Capital'!$C$38)</f>
        <v>4.8717448000000003E-2</v>
      </c>
      <c r="E879" s="207">
        <f>$D$9+0.583787*$E$9</f>
        <v>0.18473470770254635</v>
      </c>
      <c r="F879" s="207">
        <f>$D$10+0.601092*$E$10</f>
        <v>0.1522131039999999</v>
      </c>
      <c r="G879" s="208">
        <f>$F879*(1-'Sensitivity &amp; Scenarios'!$C$12)+'Sensitivity &amp; Scenarios'!$C$9*'Sensitivity &amp; Scenarios'!$C$12-'Sensitivity &amp; Scenarios'!$C$10</f>
        <v>8.3096483811664637E-2</v>
      </c>
      <c r="H879" s="209">
        <f>('Sensitivity &amp; Scenarios'!$C$6*(1+$E879)^1*$G879+'Sensitivity &amp; Scenarios'!$C$11*'Sensitivity &amp; Scenarios'!$C$6*((1+$E879)^1-(1+$E879)^0))*'Sensitivity &amp; Scenarios'!$C$18/(1+$C879)^'Sensitivity &amp; Scenarios'!$C$18+('Sensitivity &amp; Scenarios'!$C$6*(1+$E879)^2*$G879+'Sensitivity &amp; Scenarios'!$C$11*'Sensitivity &amp; Scenarios'!$C$6*((1+$E879)^2-(1+$E879)^1))/(1+$C879)^('Sensitivity &amp; Scenarios'!$C$18+1)+('Sensitivity &amp; Scenarios'!$C$6*(1+$E879)^3*$G879+'Sensitivity &amp; Scenarios'!$C$11*'Sensitivity &amp; Scenarios'!$C$6*((1+$E879)^3-(1+$E879)^2))/(1+$C879)^('Sensitivity &amp; Scenarios'!$C$18+2)+('Sensitivity &amp; Scenarios'!$C$6*(1+$E879)^4*$G879+'Sensitivity &amp; Scenarios'!$C$11*'Sensitivity &amp; Scenarios'!$C$6*((1+$E879)^4-(1+$E879)^3))/(1+$C879)^('Sensitivity &amp; Scenarios'!$C$18+3)+('Sensitivity &amp; Scenarios'!$C$6*(1+$E879)^5*$G879+'Sensitivity &amp; Scenarios'!$C$11*'Sensitivity &amp; Scenarios'!$C$6*((1+$E879)^5-(1+$E879)^4))/(1+$C879)^('Sensitivity &amp; Scenarios'!$C$18+4)</f>
        <v>26743.17062320243</v>
      </c>
      <c r="I879" s="209">
        <f>('Sensitivity &amp; Scenarios'!$C$6*(1+$E879)^5*$G879+'Sensitivity &amp; Scenarios'!$C$11*'Sensitivity &amp; Scenarios'!$C$6*((1+$E879)^5-(1+$E879)^4))*(1+$D879)/($C879-$D879)/(1+$C879)^('Sensitivity &amp; Scenarios'!$C$18+4)</f>
        <v>81547.826675405697</v>
      </c>
      <c r="J879" s="209">
        <f>($H879+$I879-'Sensitivity &amp; Scenarios'!$C$15+'Sensitivity &amp; Scenarios'!$C$16)/'Sensitivity &amp; Scenarios'!$C$17</f>
        <v>2565.9541442965701</v>
      </c>
    </row>
    <row r="880" spans="2:10" x14ac:dyDescent="0.3">
      <c r="B880" s="127">
        <v>850</v>
      </c>
      <c r="C880" s="206">
        <f>$D$7+-0.903879*$E$7</f>
        <v>0.12851346943997799</v>
      </c>
      <c r="D880" s="206">
        <f>MIN($D$8+-0.260229*$E$8,'Debt &amp; Cost of Capital'!$C$38)</f>
        <v>5.3438626000000003E-2</v>
      </c>
      <c r="E880" s="207">
        <f>$D$9+-1.858243*$E$9</f>
        <v>0.11147380770254633</v>
      </c>
      <c r="F880" s="207">
        <f>$D$10+-0.49434*$E$10</f>
        <v>0.1390679199999999</v>
      </c>
      <c r="G880" s="208">
        <f>$F880*(1-'Sensitivity &amp; Scenarios'!$C$12)+'Sensitivity &amp; Scenarios'!$C$9*'Sensitivity &amp; Scenarios'!$C$12-'Sensitivity &amp; Scenarios'!$C$10</f>
        <v>7.3259942624464627E-2</v>
      </c>
      <c r="H880" s="209">
        <f>('Sensitivity &amp; Scenarios'!$C$6*(1+$E880)^1*$G880+'Sensitivity &amp; Scenarios'!$C$11*'Sensitivity &amp; Scenarios'!$C$6*((1+$E880)^1-(1+$E880)^0))*'Sensitivity &amp; Scenarios'!$C$18/(1+$C880)^'Sensitivity &amp; Scenarios'!$C$18+('Sensitivity &amp; Scenarios'!$C$6*(1+$E880)^2*$G880+'Sensitivity &amp; Scenarios'!$C$11*'Sensitivity &amp; Scenarios'!$C$6*((1+$E880)^2-(1+$E880)^1))/(1+$C880)^('Sensitivity &amp; Scenarios'!$C$18+1)+('Sensitivity &amp; Scenarios'!$C$6*(1+$E880)^3*$G880+'Sensitivity &amp; Scenarios'!$C$11*'Sensitivity &amp; Scenarios'!$C$6*((1+$E880)^3-(1+$E880)^2))/(1+$C880)^('Sensitivity &amp; Scenarios'!$C$18+2)+('Sensitivity &amp; Scenarios'!$C$6*(1+$E880)^4*$G880+'Sensitivity &amp; Scenarios'!$C$11*'Sensitivity &amp; Scenarios'!$C$6*((1+$E880)^4-(1+$E880)^3))/(1+$C880)^('Sensitivity &amp; Scenarios'!$C$18+3)+('Sensitivity &amp; Scenarios'!$C$6*(1+$E880)^5*$G880+'Sensitivity &amp; Scenarios'!$C$11*'Sensitivity &amp; Scenarios'!$C$6*((1+$E880)^5-(1+$E880)^4))/(1+$C880)^('Sensitivity &amp; Scenarios'!$C$18+4)</f>
        <v>18395.94267244788</v>
      </c>
      <c r="I880" s="209">
        <f>('Sensitivity &amp; Scenarios'!$C$6*(1+$E880)^5*$G880+'Sensitivity &amp; Scenarios'!$C$11*'Sensitivity &amp; Scenarios'!$C$6*((1+$E880)^5-(1+$E880)^4))*(1+$D880)/($C880-$D880)/(1+$C880)^('Sensitivity &amp; Scenarios'!$C$18+4)</f>
        <v>54166.019577451698</v>
      </c>
      <c r="J880" s="209">
        <f>($H880+$I880-'Sensitivity &amp; Scenarios'!$C$15+'Sensitivity &amp; Scenarios'!$C$16)/'Sensitivity &amp; Scenarios'!$C$17</f>
        <v>1813.9016770914361</v>
      </c>
    </row>
    <row r="881" spans="2:10" x14ac:dyDescent="0.3">
      <c r="B881" s="127">
        <v>851</v>
      </c>
      <c r="C881" s="206">
        <f>$D$7+0.398982*$E$7</f>
        <v>0.14154207943997799</v>
      </c>
      <c r="D881" s="206">
        <f>MIN($D$8+0.824938*$E$8,'Debt &amp; Cost of Capital'!$C$38)</f>
        <v>5.9949627999999998E-2</v>
      </c>
      <c r="E881" s="207">
        <f>$D$9+-0.713047*$E$9</f>
        <v>0.14582968770254634</v>
      </c>
      <c r="F881" s="207">
        <f>$D$10+1.051855*$E$10</f>
        <v>0.1576222599999999</v>
      </c>
      <c r="G881" s="208">
        <f>$F881*(1-'Sensitivity &amp; Scenarios'!$C$12)+'Sensitivity &amp; Scenarios'!$C$9*'Sensitivity &amp; Scenarios'!$C$12-'Sensitivity &amp; Scenarios'!$C$10</f>
        <v>8.7144155246464627E-2</v>
      </c>
      <c r="H881" s="209">
        <f>('Sensitivity &amp; Scenarios'!$C$6*(1+$E881)^1*$G881+'Sensitivity &amp; Scenarios'!$C$11*'Sensitivity &amp; Scenarios'!$C$6*((1+$E881)^1-(1+$E881)^0))*'Sensitivity &amp; Scenarios'!$C$18/(1+$C881)^'Sensitivity &amp; Scenarios'!$C$18+('Sensitivity &amp; Scenarios'!$C$6*(1+$E881)^2*$G881+'Sensitivity &amp; Scenarios'!$C$11*'Sensitivity &amp; Scenarios'!$C$6*((1+$E881)^2-(1+$E881)^1))/(1+$C881)^('Sensitivity &amp; Scenarios'!$C$18+1)+('Sensitivity &amp; Scenarios'!$C$6*(1+$E881)^3*$G881+'Sensitivity &amp; Scenarios'!$C$11*'Sensitivity &amp; Scenarios'!$C$6*((1+$E881)^3-(1+$E881)^2))/(1+$C881)^('Sensitivity &amp; Scenarios'!$C$18+2)+('Sensitivity &amp; Scenarios'!$C$6*(1+$E881)^4*$G881+'Sensitivity &amp; Scenarios'!$C$11*'Sensitivity &amp; Scenarios'!$C$6*((1+$E881)^4-(1+$E881)^3))/(1+$C881)^('Sensitivity &amp; Scenarios'!$C$18+3)+('Sensitivity &amp; Scenarios'!$C$6*(1+$E881)^5*$G881+'Sensitivity &amp; Scenarios'!$C$11*'Sensitivity &amp; Scenarios'!$C$6*((1+$E881)^5-(1+$E881)^4))/(1+$C881)^('Sensitivity &amp; Scenarios'!$C$18+4)</f>
        <v>23530.462684108137</v>
      </c>
      <c r="I881" s="209">
        <f>('Sensitivity &amp; Scenarios'!$C$6*(1+$E881)^5*$G881+'Sensitivity &amp; Scenarios'!$C$11*'Sensitivity &amp; Scenarios'!$C$6*((1+$E881)^5-(1+$E881)^4))*(1+$D881)/($C881-$D881)/(1+$C881)^('Sensitivity &amp; Scenarios'!$C$18+4)</f>
        <v>66436.642805163574</v>
      </c>
      <c r="J881" s="209">
        <f>($H881+$I881-'Sensitivity &amp; Scenarios'!$C$15+'Sensitivity &amp; Scenarios'!$C$16)/'Sensitivity &amp; Scenarios'!$C$17</f>
        <v>2180.2586441179415</v>
      </c>
    </row>
    <row r="882" spans="2:10" x14ac:dyDescent="0.3">
      <c r="B882" s="127">
        <v>852</v>
      </c>
      <c r="C882" s="206">
        <f>$D$7+-1.515692*$E$7</f>
        <v>0.12239533943997798</v>
      </c>
      <c r="D882" s="206">
        <f>MIN($D$8+-1.247628*$E$8,'Debt &amp; Cost of Capital'!$C$38)</f>
        <v>4.7514232000000003E-2</v>
      </c>
      <c r="E882" s="207">
        <f>$D$9+0.709662*$E$9</f>
        <v>0.18851095770254633</v>
      </c>
      <c r="F882" s="207">
        <f>$D$10+1.671121*$E$10</f>
        <v>0.16505345199999991</v>
      </c>
      <c r="G882" s="208">
        <f>$F882*(1-'Sensitivity &amp; Scenarios'!$C$12)+'Sensitivity &amp; Scenarios'!$C$9*'Sensitivity &amp; Scenarios'!$C$12-'Sensitivity &amp; Scenarios'!$C$10</f>
        <v>9.2704916220064632E-2</v>
      </c>
      <c r="H882" s="209">
        <f>('Sensitivity &amp; Scenarios'!$C$6*(1+$E882)^1*$G882+'Sensitivity &amp; Scenarios'!$C$11*'Sensitivity &amp; Scenarios'!$C$6*((1+$E882)^1-(1+$E882)^0))*'Sensitivity &amp; Scenarios'!$C$18/(1+$C882)^'Sensitivity &amp; Scenarios'!$C$18+('Sensitivity &amp; Scenarios'!$C$6*(1+$E882)^2*$G882+'Sensitivity &amp; Scenarios'!$C$11*'Sensitivity &amp; Scenarios'!$C$6*((1+$E882)^2-(1+$E882)^1))/(1+$C882)^('Sensitivity &amp; Scenarios'!$C$18+1)+('Sensitivity &amp; Scenarios'!$C$6*(1+$E882)^3*$G882+'Sensitivity &amp; Scenarios'!$C$11*'Sensitivity &amp; Scenarios'!$C$6*((1+$E882)^3-(1+$E882)^2))/(1+$C882)^('Sensitivity &amp; Scenarios'!$C$18+2)+('Sensitivity &amp; Scenarios'!$C$6*(1+$E882)^4*$G882+'Sensitivity &amp; Scenarios'!$C$11*'Sensitivity &amp; Scenarios'!$C$6*((1+$E882)^4-(1+$E882)^3))/(1+$C882)^('Sensitivity &amp; Scenarios'!$C$18+3)+('Sensitivity &amp; Scenarios'!$C$6*(1+$E882)^5*$G882+'Sensitivity &amp; Scenarios'!$C$11*'Sensitivity &amp; Scenarios'!$C$6*((1+$E882)^5-(1+$E882)^4))/(1+$C882)^('Sensitivity &amp; Scenarios'!$C$18+4)</f>
        <v>30243.963172393465</v>
      </c>
      <c r="I882" s="209">
        <f>('Sensitivity &amp; Scenarios'!$C$6*(1+$E882)^5*$G882+'Sensitivity &amp; Scenarios'!$C$11*'Sensitivity &amp; Scenarios'!$C$6*((1+$E882)^5-(1+$E882)^4))*(1+$D882)/($C882-$D882)/(1+$C882)^('Sensitivity &amp; Scenarios'!$C$18+4)</f>
        <v>101172.51954116674</v>
      </c>
      <c r="J882" s="209">
        <f>($H882+$I882-'Sensitivity &amp; Scenarios'!$C$15+'Sensitivity &amp; Scenarios'!$C$16)/'Sensitivity &amp; Scenarios'!$C$17</f>
        <v>3052.7173143044229</v>
      </c>
    </row>
    <row r="883" spans="2:10" x14ac:dyDescent="0.3">
      <c r="B883" s="127">
        <v>853</v>
      </c>
      <c r="C883" s="206">
        <f>$D$7+0.493432*$E$7</f>
        <v>0.14248657943997797</v>
      </c>
      <c r="D883" s="206">
        <f>MIN($D$8+-0.040342*$E$8,'Debt &amp; Cost of Capital'!$C$38)</f>
        <v>5.4757948000000001E-2</v>
      </c>
      <c r="E883" s="207">
        <f>$D$9+-2.195184*$E$9</f>
        <v>0.10136557770254635</v>
      </c>
      <c r="F883" s="207">
        <f>$D$10+-2.022447*$E$10</f>
        <v>0.12073063599999991</v>
      </c>
      <c r="G883" s="208">
        <f>$F883*(1-'Sensitivity &amp; Scenarios'!$C$12)+'Sensitivity &amp; Scenarios'!$C$9*'Sensitivity &amp; Scenarios'!$C$12-'Sensitivity &amp; Scenarios'!$C$10</f>
        <v>5.953815300726463E-2</v>
      </c>
      <c r="H883" s="209">
        <f>('Sensitivity &amp; Scenarios'!$C$6*(1+$E883)^1*$G883+'Sensitivity &amp; Scenarios'!$C$11*'Sensitivity &amp; Scenarios'!$C$6*((1+$E883)^1-(1+$E883)^0))*'Sensitivity &amp; Scenarios'!$C$18/(1+$C883)^'Sensitivity &amp; Scenarios'!$C$18+('Sensitivity &amp; Scenarios'!$C$6*(1+$E883)^2*$G883+'Sensitivity &amp; Scenarios'!$C$11*'Sensitivity &amp; Scenarios'!$C$6*((1+$E883)^2-(1+$E883)^1))/(1+$C883)^('Sensitivity &amp; Scenarios'!$C$18+1)+('Sensitivity &amp; Scenarios'!$C$6*(1+$E883)^3*$G883+'Sensitivity &amp; Scenarios'!$C$11*'Sensitivity &amp; Scenarios'!$C$6*((1+$E883)^3-(1+$E883)^2))/(1+$C883)^('Sensitivity &amp; Scenarios'!$C$18+2)+('Sensitivity &amp; Scenarios'!$C$6*(1+$E883)^4*$G883+'Sensitivity &amp; Scenarios'!$C$11*'Sensitivity &amp; Scenarios'!$C$6*((1+$E883)^4-(1+$E883)^3))/(1+$C883)^('Sensitivity &amp; Scenarios'!$C$18+3)+('Sensitivity &amp; Scenarios'!$C$6*(1+$E883)^5*$G883+'Sensitivity &amp; Scenarios'!$C$11*'Sensitivity &amp; Scenarios'!$C$6*((1+$E883)^5-(1+$E883)^4))/(1+$C883)^('Sensitivity &amp; Scenarios'!$C$18+4)</f>
        <v>14286.323661051403</v>
      </c>
      <c r="I883" s="209">
        <f>('Sensitivity &amp; Scenarios'!$C$6*(1+$E883)^5*$G883+'Sensitivity &amp; Scenarios'!$C$11*'Sensitivity &amp; Scenarios'!$C$6*((1+$E883)^5-(1+$E883)^4))*(1+$D883)/($C883-$D883)/(1+$C883)^('Sensitivity &amp; Scenarios'!$C$18+4)</f>
        <v>34612.608384173596</v>
      </c>
      <c r="J883" s="209">
        <f>($H883+$I883-'Sensitivity &amp; Scenarios'!$C$15+'Sensitivity &amp; Scenarios'!$C$16)/'Sensitivity &amp; Scenarios'!$C$17</f>
        <v>1315.8238470376864</v>
      </c>
    </row>
    <row r="884" spans="2:10" x14ac:dyDescent="0.3">
      <c r="B884" s="127">
        <v>854</v>
      </c>
      <c r="C884" s="206">
        <f>$D$7+0.12941*$E$7</f>
        <v>0.13884635943997797</v>
      </c>
      <c r="D884" s="206">
        <f>MIN($D$8+-0.358063*$E$8,'Debt &amp; Cost of Capital'!$C$38)</f>
        <v>5.2851622000000001E-2</v>
      </c>
      <c r="E884" s="207">
        <f>$D$9+-1.105835*$E$9</f>
        <v>0.13404604770254636</v>
      </c>
      <c r="F884" s="207">
        <f>$D$10+0.065533*$E$10</f>
        <v>0.1457863959999999</v>
      </c>
      <c r="G884" s="208">
        <f>$F884*(1-'Sensitivity &amp; Scenarios'!$C$12)+'Sensitivity &amp; Scenarios'!$C$9*'Sensitivity &amp; Scenarios'!$C$12-'Sensitivity &amp; Scenarios'!$C$10</f>
        <v>7.828737821526463E-2</v>
      </c>
      <c r="H884" s="209">
        <f>('Sensitivity &amp; Scenarios'!$C$6*(1+$E884)^1*$G884+'Sensitivity &amp; Scenarios'!$C$11*'Sensitivity &amp; Scenarios'!$C$6*((1+$E884)^1-(1+$E884)^0))*'Sensitivity &amp; Scenarios'!$C$18/(1+$C884)^'Sensitivity &amp; Scenarios'!$C$18+('Sensitivity &amp; Scenarios'!$C$6*(1+$E884)^2*$G884+'Sensitivity &amp; Scenarios'!$C$11*'Sensitivity &amp; Scenarios'!$C$6*((1+$E884)^2-(1+$E884)^1))/(1+$C884)^('Sensitivity &amp; Scenarios'!$C$18+1)+('Sensitivity &amp; Scenarios'!$C$6*(1+$E884)^3*$G884+'Sensitivity &amp; Scenarios'!$C$11*'Sensitivity &amp; Scenarios'!$C$6*((1+$E884)^3-(1+$E884)^2))/(1+$C884)^('Sensitivity &amp; Scenarios'!$C$18+2)+('Sensitivity &amp; Scenarios'!$C$6*(1+$E884)^4*$G884+'Sensitivity &amp; Scenarios'!$C$11*'Sensitivity &amp; Scenarios'!$C$6*((1+$E884)^4-(1+$E884)^3))/(1+$C884)^('Sensitivity &amp; Scenarios'!$C$18+3)+('Sensitivity &amp; Scenarios'!$C$6*(1+$E884)^5*$G884+'Sensitivity &amp; Scenarios'!$C$11*'Sensitivity &amp; Scenarios'!$C$6*((1+$E884)^5-(1+$E884)^4))/(1+$C884)^('Sensitivity &amp; Scenarios'!$C$18+4)</f>
        <v>20691.884852668612</v>
      </c>
      <c r="I884" s="209">
        <f>('Sensitivity &amp; Scenarios'!$C$6*(1+$E884)^5*$G884+'Sensitivity &amp; Scenarios'!$C$11*'Sensitivity &amp; Scenarios'!$C$6*((1+$E884)^5-(1+$E884)^4))*(1+$D884)/($C884-$D884)/(1+$C884)^('Sensitivity &amp; Scenarios'!$C$18+4)</f>
        <v>54257.453213551111</v>
      </c>
      <c r="J884" s="209">
        <f>($H884+$I884-'Sensitivity &amp; Scenarios'!$C$15+'Sensitivity &amp; Scenarios'!$C$16)/'Sensitivity &amp; Scenarios'!$C$17</f>
        <v>1864.1530166633495</v>
      </c>
    </row>
    <row r="885" spans="2:10" x14ac:dyDescent="0.3">
      <c r="B885" s="127">
        <v>855</v>
      </c>
      <c r="C885" s="206">
        <f>$D$7+0.115131*$E$7</f>
        <v>0.13870356943997797</v>
      </c>
      <c r="D885" s="206">
        <f>MIN($D$8+0.944416*$E$8,'Debt &amp; Cost of Capital'!$C$38)</f>
        <v>6.0666496E-2</v>
      </c>
      <c r="E885" s="207">
        <f>$D$9+0.136602*$E$9</f>
        <v>0.17131915770254633</v>
      </c>
      <c r="F885" s="207">
        <f>$D$10+1.228394*$E$10</f>
        <v>0.15974072799999992</v>
      </c>
      <c r="G885" s="208">
        <f>$F885*(1-'Sensitivity &amp; Scenarios'!$C$12)+'Sensitivity &amp; Scenarios'!$C$9*'Sensitivity &amp; Scenarios'!$C$12-'Sensitivity &amp; Scenarios'!$C$10</f>
        <v>8.872940485086464E-2</v>
      </c>
      <c r="H885" s="209">
        <f>('Sensitivity &amp; Scenarios'!$C$6*(1+$E885)^1*$G885+'Sensitivity &amp; Scenarios'!$C$11*'Sensitivity &amp; Scenarios'!$C$6*((1+$E885)^1-(1+$E885)^0))*'Sensitivity &amp; Scenarios'!$C$18/(1+$C885)^'Sensitivity &amp; Scenarios'!$C$18+('Sensitivity &amp; Scenarios'!$C$6*(1+$E885)^2*$G885+'Sensitivity &amp; Scenarios'!$C$11*'Sensitivity &amp; Scenarios'!$C$6*((1+$E885)^2-(1+$E885)^1))/(1+$C885)^('Sensitivity &amp; Scenarios'!$C$18+1)+('Sensitivity &amp; Scenarios'!$C$6*(1+$E885)^3*$G885+'Sensitivity &amp; Scenarios'!$C$11*'Sensitivity &amp; Scenarios'!$C$6*((1+$E885)^3-(1+$E885)^2))/(1+$C885)^('Sensitivity &amp; Scenarios'!$C$18+2)+('Sensitivity &amp; Scenarios'!$C$6*(1+$E885)^4*$G885+'Sensitivity &amp; Scenarios'!$C$11*'Sensitivity &amp; Scenarios'!$C$6*((1+$E885)^4-(1+$E885)^3))/(1+$C885)^('Sensitivity &amp; Scenarios'!$C$18+3)+('Sensitivity &amp; Scenarios'!$C$6*(1+$E885)^5*$G885+'Sensitivity &amp; Scenarios'!$C$11*'Sensitivity &amp; Scenarios'!$C$6*((1+$E885)^5-(1+$E885)^4))/(1+$C885)^('Sensitivity &amp; Scenarios'!$C$18+4)</f>
        <v>26341.122777265242</v>
      </c>
      <c r="I885" s="209">
        <f>('Sensitivity &amp; Scenarios'!$C$6*(1+$E885)^5*$G885+'Sensitivity &amp; Scenarios'!$C$11*'Sensitivity &amp; Scenarios'!$C$6*((1+$E885)^5-(1+$E885)^4))*(1+$D885)/($C885-$D885)/(1+$C885)^('Sensitivity &amp; Scenarios'!$C$18+4)</f>
        <v>81345.334720645362</v>
      </c>
      <c r="J885" s="209">
        <f>($H885+$I885-'Sensitivity &amp; Scenarios'!$C$15+'Sensitivity &amp; Scenarios'!$C$16)/'Sensitivity &amp; Scenarios'!$C$17</f>
        <v>2553.2293212494751</v>
      </c>
    </row>
    <row r="886" spans="2:10" x14ac:dyDescent="0.3">
      <c r="B886" s="127">
        <v>856</v>
      </c>
      <c r="C886" s="206">
        <f>$D$7+0.007994*$E$7</f>
        <v>0.13763219943997798</v>
      </c>
      <c r="D886" s="206">
        <f>MIN($D$8+-0.115335*$E$8,'Debt &amp; Cost of Capital'!$C$38)</f>
        <v>5.430799E-2</v>
      </c>
      <c r="E886" s="207">
        <f>$D$9+1.064312*$E$9</f>
        <v>0.19915045770254633</v>
      </c>
      <c r="F886" s="207">
        <f>$D$10+-0.978441*$E$10</f>
        <v>0.13325870799999989</v>
      </c>
      <c r="G886" s="208">
        <f>$F886*(1-'Sensitivity &amp; Scenarios'!$C$12)+'Sensitivity &amp; Scenarios'!$C$9*'Sensitivity &amp; Scenarios'!$C$12-'Sensitivity &amp; Scenarios'!$C$10</f>
        <v>6.8912909284864626E-2</v>
      </c>
      <c r="H886" s="209">
        <f>('Sensitivity &amp; Scenarios'!$C$6*(1+$E886)^1*$G886+'Sensitivity &amp; Scenarios'!$C$11*'Sensitivity &amp; Scenarios'!$C$6*((1+$E886)^1-(1+$E886)^0))*'Sensitivity &amp; Scenarios'!$C$18/(1+$C886)^'Sensitivity &amp; Scenarios'!$C$18+('Sensitivity &amp; Scenarios'!$C$6*(1+$E886)^2*$G886+'Sensitivity &amp; Scenarios'!$C$11*'Sensitivity &amp; Scenarios'!$C$6*((1+$E886)^2-(1+$E886)^1))/(1+$C886)^('Sensitivity &amp; Scenarios'!$C$18+1)+('Sensitivity &amp; Scenarios'!$C$6*(1+$E886)^3*$G886+'Sensitivity &amp; Scenarios'!$C$11*'Sensitivity &amp; Scenarios'!$C$6*((1+$E886)^3-(1+$E886)^2))/(1+$C886)^('Sensitivity &amp; Scenarios'!$C$18+2)+('Sensitivity &amp; Scenarios'!$C$6*(1+$E886)^4*$G886+'Sensitivity &amp; Scenarios'!$C$11*'Sensitivity &amp; Scenarios'!$C$6*((1+$E886)^4-(1+$E886)^3))/(1+$C886)^('Sensitivity &amp; Scenarios'!$C$18+3)+('Sensitivity &amp; Scenarios'!$C$6*(1+$E886)^5*$G886+'Sensitivity &amp; Scenarios'!$C$11*'Sensitivity &amp; Scenarios'!$C$6*((1+$E886)^5-(1+$E886)^4))/(1+$C886)^('Sensitivity &amp; Scenarios'!$C$18+4)</f>
        <v>23700.116663848679</v>
      </c>
      <c r="I886" s="209">
        <f>('Sensitivity &amp; Scenarios'!$C$6*(1+$E886)^5*$G886+'Sensitivity &amp; Scenarios'!$C$11*'Sensitivity &amp; Scenarios'!$C$6*((1+$E886)^5-(1+$E886)^4))*(1+$D886)/($C886-$D886)/(1+$C886)^('Sensitivity &amp; Scenarios'!$C$18+4)</f>
        <v>71141.635599690242</v>
      </c>
      <c r="J886" s="209">
        <f>($H886+$I886-'Sensitivity &amp; Scenarios'!$C$15+'Sensitivity &amp; Scenarios'!$C$16)/'Sensitivity &amp; Scenarios'!$C$17</f>
        <v>2282.8639937542653</v>
      </c>
    </row>
    <row r="887" spans="2:10" x14ac:dyDescent="0.3">
      <c r="B887" s="127">
        <v>857</v>
      </c>
      <c r="C887" s="206">
        <f>$D$7+2.814447*$E$7</f>
        <v>0.16569672943997799</v>
      </c>
      <c r="D887" s="206">
        <f>MIN($D$8+0.375257*$E$8,'Debt &amp; Cost of Capital'!$C$38)</f>
        <v>5.7251542000000002E-2</v>
      </c>
      <c r="E887" s="207">
        <f>$D$9+0.380829*$E$9</f>
        <v>0.17864596770254634</v>
      </c>
      <c r="F887" s="207">
        <f>$D$10+0.525096*$E$10</f>
        <v>0.15130115199999991</v>
      </c>
      <c r="G887" s="208">
        <f>$F887*(1-'Sensitivity &amp; Scenarios'!$C$12)+'Sensitivity &amp; Scenarios'!$C$9*'Sensitivity &amp; Scenarios'!$C$12-'Sensitivity &amp; Scenarios'!$C$10</f>
        <v>8.2414070130064646E-2</v>
      </c>
      <c r="H887" s="209">
        <f>('Sensitivity &amp; Scenarios'!$C$6*(1+$E887)^1*$G887+'Sensitivity &amp; Scenarios'!$C$11*'Sensitivity &amp; Scenarios'!$C$6*((1+$E887)^1-(1+$E887)^0))*'Sensitivity &amp; Scenarios'!$C$18/(1+$C887)^'Sensitivity &amp; Scenarios'!$C$18+('Sensitivity &amp; Scenarios'!$C$6*(1+$E887)^2*$G887+'Sensitivity &amp; Scenarios'!$C$11*'Sensitivity &amp; Scenarios'!$C$6*((1+$E887)^2-(1+$E887)^1))/(1+$C887)^('Sensitivity &amp; Scenarios'!$C$18+1)+('Sensitivity &amp; Scenarios'!$C$6*(1+$E887)^3*$G887+'Sensitivity &amp; Scenarios'!$C$11*'Sensitivity &amp; Scenarios'!$C$6*((1+$E887)^3-(1+$E887)^2))/(1+$C887)^('Sensitivity &amp; Scenarios'!$C$18+2)+('Sensitivity &amp; Scenarios'!$C$6*(1+$E887)^4*$G887+'Sensitivity &amp; Scenarios'!$C$11*'Sensitivity &amp; Scenarios'!$C$6*((1+$E887)^4-(1+$E887)^3))/(1+$C887)^('Sensitivity &amp; Scenarios'!$C$18+3)+('Sensitivity &amp; Scenarios'!$C$6*(1+$E887)^5*$G887+'Sensitivity &amp; Scenarios'!$C$11*'Sensitivity &amp; Scenarios'!$C$6*((1+$E887)^5-(1+$E887)^4))/(1+$C887)^('Sensitivity &amp; Scenarios'!$C$18+4)</f>
        <v>23773.791431477493</v>
      </c>
      <c r="I887" s="209">
        <f>('Sensitivity &amp; Scenarios'!$C$6*(1+$E887)^5*$G887+'Sensitivity &amp; Scenarios'!$C$11*'Sensitivity &amp; Scenarios'!$C$6*((1+$E887)^5-(1+$E887)^4))*(1+$D887)/($C887-$D887)/(1+$C887)^('Sensitivity &amp; Scenarios'!$C$18+4)</f>
        <v>51050.834406965485</v>
      </c>
      <c r="J887" s="209">
        <f>($H887+$I887-'Sensitivity &amp; Scenarios'!$C$15+'Sensitivity &amp; Scenarios'!$C$16)/'Sensitivity &amp; Scenarios'!$C$17</f>
        <v>1861.5279768753367</v>
      </c>
    </row>
    <row r="888" spans="2:10" x14ac:dyDescent="0.3">
      <c r="B888" s="127">
        <v>858</v>
      </c>
      <c r="C888" s="206">
        <f>$D$7+1.877136*$E$7</f>
        <v>0.15632361943997797</v>
      </c>
      <c r="D888" s="206">
        <f>MIN($D$8+0.792507*$E$8,'Debt &amp; Cost of Capital'!$C$38)</f>
        <v>5.9755042000000001E-2</v>
      </c>
      <c r="E888" s="207">
        <f>$D$9+-1.605056*$E$9</f>
        <v>0.11906941770254634</v>
      </c>
      <c r="F888" s="207">
        <f>$D$10+1.40347*$E$10</f>
        <v>0.1618416399999999</v>
      </c>
      <c r="G888" s="208">
        <f>$F888*(1-'Sensitivity &amp; Scenarios'!$C$12)+'Sensitivity &amp; Scenarios'!$C$9*'Sensitivity &amp; Scenarios'!$C$12-'Sensitivity &amp; Scenarios'!$C$10</f>
        <v>9.0301517300464623E-2</v>
      </c>
      <c r="H888" s="209">
        <f>('Sensitivity &amp; Scenarios'!$C$6*(1+$E888)^1*$G888+'Sensitivity &amp; Scenarios'!$C$11*'Sensitivity &amp; Scenarios'!$C$6*((1+$E888)^1-(1+$E888)^0))*'Sensitivity &amp; Scenarios'!$C$18/(1+$C888)^'Sensitivity &amp; Scenarios'!$C$18+('Sensitivity &amp; Scenarios'!$C$6*(1+$E888)^2*$G888+'Sensitivity &amp; Scenarios'!$C$11*'Sensitivity &amp; Scenarios'!$C$6*((1+$E888)^2-(1+$E888)^1))/(1+$C888)^('Sensitivity &amp; Scenarios'!$C$18+1)+('Sensitivity &amp; Scenarios'!$C$6*(1+$E888)^3*$G888+'Sensitivity &amp; Scenarios'!$C$11*'Sensitivity &amp; Scenarios'!$C$6*((1+$E888)^3-(1+$E888)^2))/(1+$C888)^('Sensitivity &amp; Scenarios'!$C$18+2)+('Sensitivity &amp; Scenarios'!$C$6*(1+$E888)^4*$G888+'Sensitivity &amp; Scenarios'!$C$11*'Sensitivity &amp; Scenarios'!$C$6*((1+$E888)^4-(1+$E888)^3))/(1+$C888)^('Sensitivity &amp; Scenarios'!$C$18+3)+('Sensitivity &amp; Scenarios'!$C$6*(1+$E888)^5*$G888+'Sensitivity &amp; Scenarios'!$C$11*'Sensitivity &amp; Scenarios'!$C$6*((1+$E888)^5-(1+$E888)^4))/(1+$C888)^('Sensitivity &amp; Scenarios'!$C$18+4)</f>
        <v>21267.696757349695</v>
      </c>
      <c r="I888" s="209">
        <f>('Sensitivity &amp; Scenarios'!$C$6*(1+$E888)^5*$G888+'Sensitivity &amp; Scenarios'!$C$11*'Sensitivity &amp; Scenarios'!$C$6*((1+$E888)^5-(1+$E888)^4))*(1+$D888)/($C888-$D888)/(1+$C888)^('Sensitivity &amp; Scenarios'!$C$18+4)</f>
        <v>47383.285589417203</v>
      </c>
      <c r="J888" s="209">
        <f>($H888+$I888-'Sensitivity &amp; Scenarios'!$C$15+'Sensitivity &amp; Scenarios'!$C$16)/'Sensitivity &amp; Scenarios'!$C$17</f>
        <v>1731.5803358816645</v>
      </c>
    </row>
    <row r="889" spans="2:10" x14ac:dyDescent="0.3">
      <c r="B889" s="127">
        <v>859</v>
      </c>
      <c r="C889" s="206">
        <f>$D$7+-0.340897*$E$7</f>
        <v>0.13414328943997797</v>
      </c>
      <c r="D889" s="206">
        <f>MIN($D$8+0.107155*$E$8,'Debt &amp; Cost of Capital'!$C$38)</f>
        <v>5.564293E-2</v>
      </c>
      <c r="E889" s="207">
        <f>$D$9+-1.279254*$E$9</f>
        <v>0.12884347770254634</v>
      </c>
      <c r="F889" s="207">
        <f>$D$10+0.526202*$E$10</f>
        <v>0.15131442399999992</v>
      </c>
      <c r="G889" s="208">
        <f>$F889*(1-'Sensitivity &amp; Scenarios'!$C$12)+'Sensitivity &amp; Scenarios'!$C$9*'Sensitivity &amp; Scenarios'!$C$12-'Sensitivity &amp; Scenarios'!$C$10</f>
        <v>8.2424001567664648E-2</v>
      </c>
      <c r="H889" s="209">
        <f>('Sensitivity &amp; Scenarios'!$C$6*(1+$E889)^1*$G889+'Sensitivity &amp; Scenarios'!$C$11*'Sensitivity &amp; Scenarios'!$C$6*((1+$E889)^1-(1+$E889)^0))*'Sensitivity &amp; Scenarios'!$C$18/(1+$C889)^'Sensitivity &amp; Scenarios'!$C$18+('Sensitivity &amp; Scenarios'!$C$6*(1+$E889)^2*$G889+'Sensitivity &amp; Scenarios'!$C$11*'Sensitivity &amp; Scenarios'!$C$6*((1+$E889)^2-(1+$E889)^1))/(1+$C889)^('Sensitivity &amp; Scenarios'!$C$18+1)+('Sensitivity &amp; Scenarios'!$C$6*(1+$E889)^3*$G889+'Sensitivity &amp; Scenarios'!$C$11*'Sensitivity &amp; Scenarios'!$C$6*((1+$E889)^3-(1+$E889)^2))/(1+$C889)^('Sensitivity &amp; Scenarios'!$C$18+2)+('Sensitivity &amp; Scenarios'!$C$6*(1+$E889)^4*$G889+'Sensitivity &amp; Scenarios'!$C$11*'Sensitivity &amp; Scenarios'!$C$6*((1+$E889)^4-(1+$E889)^3))/(1+$C889)^('Sensitivity &amp; Scenarios'!$C$18+3)+('Sensitivity &amp; Scenarios'!$C$6*(1+$E889)^5*$G889+'Sensitivity &amp; Scenarios'!$C$11*'Sensitivity &amp; Scenarios'!$C$6*((1+$E889)^5-(1+$E889)^4))/(1+$C889)^('Sensitivity &amp; Scenarios'!$C$18+4)</f>
        <v>21464.367599666344</v>
      </c>
      <c r="I889" s="209">
        <f>('Sensitivity &amp; Scenarios'!$C$6*(1+$E889)^5*$G889+'Sensitivity &amp; Scenarios'!$C$11*'Sensitivity &amp; Scenarios'!$C$6*((1+$E889)^5-(1+$E889)^4))*(1+$D889)/($C889-$D889)/(1+$C889)^('Sensitivity &amp; Scenarios'!$C$18+4)</f>
        <v>61767.225077924886</v>
      </c>
      <c r="J889" s="209">
        <f>($H889+$I889-'Sensitivity &amp; Scenarios'!$C$15+'Sensitivity &amp; Scenarios'!$C$16)/'Sensitivity &amp; Scenarios'!$C$17</f>
        <v>2038.4843414811512</v>
      </c>
    </row>
    <row r="890" spans="2:10" x14ac:dyDescent="0.3">
      <c r="B890" s="127">
        <v>860</v>
      </c>
      <c r="C890" s="206">
        <f>$D$7+-0.651374*$E$7</f>
        <v>0.13103851943997799</v>
      </c>
      <c r="D890" s="206">
        <f>MIN($D$8+0.10017*$E$8,'Debt &amp; Cost of Capital'!$C$38)</f>
        <v>5.5601020000000001E-2</v>
      </c>
      <c r="E890" s="207">
        <f>$D$9+-0.284099*$E$9</f>
        <v>0.15869812770254635</v>
      </c>
      <c r="F890" s="207">
        <f>$D$10+1.925013*$E$10</f>
        <v>0.16810015599999992</v>
      </c>
      <c r="G890" s="208">
        <f>$F890*(1-'Sensitivity &amp; Scenarios'!$C$12)+'Sensitivity &amp; Scenarios'!$C$9*'Sensitivity &amp; Scenarios'!$C$12-'Sensitivity &amp; Scenarios'!$C$10</f>
        <v>9.498476482326465E-2</v>
      </c>
      <c r="H890" s="209">
        <f>('Sensitivity &amp; Scenarios'!$C$6*(1+$E890)^1*$G890+'Sensitivity &amp; Scenarios'!$C$11*'Sensitivity &amp; Scenarios'!$C$6*((1+$E890)^1-(1+$E890)^0))*'Sensitivity &amp; Scenarios'!$C$18/(1+$C890)^'Sensitivity &amp; Scenarios'!$C$18+('Sensitivity &amp; Scenarios'!$C$6*(1+$E890)^2*$G890+'Sensitivity &amp; Scenarios'!$C$11*'Sensitivity &amp; Scenarios'!$C$6*((1+$E890)^2-(1+$E890)^1))/(1+$C890)^('Sensitivity &amp; Scenarios'!$C$18+1)+('Sensitivity &amp; Scenarios'!$C$6*(1+$E890)^3*$G890+'Sensitivity &amp; Scenarios'!$C$11*'Sensitivity &amp; Scenarios'!$C$6*((1+$E890)^3-(1+$E890)^2))/(1+$C890)^('Sensitivity &amp; Scenarios'!$C$18+2)+('Sensitivity &amp; Scenarios'!$C$6*(1+$E890)^4*$G890+'Sensitivity &amp; Scenarios'!$C$11*'Sensitivity &amp; Scenarios'!$C$6*((1+$E890)^4-(1+$E890)^3))/(1+$C890)^('Sensitivity &amp; Scenarios'!$C$18+3)+('Sensitivity &amp; Scenarios'!$C$6*(1+$E890)^5*$G890+'Sensitivity &amp; Scenarios'!$C$11*'Sensitivity &amp; Scenarios'!$C$6*((1+$E890)^5-(1+$E890)^4))/(1+$C890)^('Sensitivity &amp; Scenarios'!$C$18+4)</f>
        <v>27229.1058353761</v>
      </c>
      <c r="I890" s="209">
        <f>('Sensitivity &amp; Scenarios'!$C$6*(1+$E890)^5*$G890+'Sensitivity &amp; Scenarios'!$C$11*'Sensitivity &amp; Scenarios'!$C$6*((1+$E890)^5-(1+$E890)^4))*(1+$D890)/($C890-$D890)/(1+$C890)^('Sensitivity &amp; Scenarios'!$C$18+4)</f>
        <v>85938.547916105308</v>
      </c>
      <c r="J890" s="209">
        <f>($H890+$I890-'Sensitivity &amp; Scenarios'!$C$15+'Sensitivity &amp; Scenarios'!$C$16)/'Sensitivity &amp; Scenarios'!$C$17</f>
        <v>2668.6017952083671</v>
      </c>
    </row>
    <row r="891" spans="2:10" x14ac:dyDescent="0.3">
      <c r="B891" s="127">
        <v>861</v>
      </c>
      <c r="C891" s="206">
        <f>$D$7+1.98226*$E$7</f>
        <v>0.15737485943997798</v>
      </c>
      <c r="D891" s="206">
        <f>MIN($D$8+0.046513*$E$8,'Debt &amp; Cost of Capital'!$C$38)</f>
        <v>5.5279078000000002E-2</v>
      </c>
      <c r="E891" s="207">
        <f>$D$9+0.063978*$E$9</f>
        <v>0.16914043770254633</v>
      </c>
      <c r="F891" s="207">
        <f>$D$10+-0.373443*$E$10</f>
        <v>0.14051868399999989</v>
      </c>
      <c r="G891" s="208">
        <f>$F891*(1-'Sensitivity &amp; Scenarios'!$C$12)+'Sensitivity &amp; Scenarios'!$C$9*'Sensitivity &amp; Scenarios'!$C$12-'Sensitivity &amp; Scenarios'!$C$10</f>
        <v>7.4345549325664631E-2</v>
      </c>
      <c r="H891" s="209">
        <f>('Sensitivity &amp; Scenarios'!$C$6*(1+$E891)^1*$G891+'Sensitivity &amp; Scenarios'!$C$11*'Sensitivity &amp; Scenarios'!$C$6*((1+$E891)^1-(1+$E891)^0))*'Sensitivity &amp; Scenarios'!$C$18/(1+$C891)^'Sensitivity &amp; Scenarios'!$C$18+('Sensitivity &amp; Scenarios'!$C$6*(1+$E891)^2*$G891+'Sensitivity &amp; Scenarios'!$C$11*'Sensitivity &amp; Scenarios'!$C$6*((1+$E891)^2-(1+$E891)^1))/(1+$C891)^('Sensitivity &amp; Scenarios'!$C$18+1)+('Sensitivity &amp; Scenarios'!$C$6*(1+$E891)^3*$G891+'Sensitivity &amp; Scenarios'!$C$11*'Sensitivity &amp; Scenarios'!$C$6*((1+$E891)^3-(1+$E891)^2))/(1+$C891)^('Sensitivity &amp; Scenarios'!$C$18+2)+('Sensitivity &amp; Scenarios'!$C$6*(1+$E891)^4*$G891+'Sensitivity &amp; Scenarios'!$C$11*'Sensitivity &amp; Scenarios'!$C$6*((1+$E891)^4-(1+$E891)^3))/(1+$C891)^('Sensitivity &amp; Scenarios'!$C$18+3)+('Sensitivity &amp; Scenarios'!$C$6*(1+$E891)^5*$G891+'Sensitivity &amp; Scenarios'!$C$11*'Sensitivity &amp; Scenarios'!$C$6*((1+$E891)^5-(1+$E891)^4))/(1+$C891)^('Sensitivity &amp; Scenarios'!$C$18+4)</f>
        <v>21535.039989248955</v>
      </c>
      <c r="I891" s="209">
        <f>('Sensitivity &amp; Scenarios'!$C$6*(1+$E891)^5*$G891+'Sensitivity &amp; Scenarios'!$C$11*'Sensitivity &amp; Scenarios'!$C$6*((1+$E891)^5-(1+$E891)^4))*(1+$D891)/($C891-$D891)/(1+$C891)^('Sensitivity &amp; Scenarios'!$C$18+4)</f>
        <v>48944.426133550405</v>
      </c>
      <c r="J891" s="209">
        <f>($H891+$I891-'Sensitivity &amp; Scenarios'!$C$15+'Sensitivity &amp; Scenarios'!$C$16)/'Sensitivity &amp; Scenarios'!$C$17</f>
        <v>1770.0676819052867</v>
      </c>
    </row>
    <row r="892" spans="2:10" x14ac:dyDescent="0.3">
      <c r="B892" s="127">
        <v>862</v>
      </c>
      <c r="C892" s="206">
        <f>$D$7+1.106006*$E$7</f>
        <v>0.14861231943997799</v>
      </c>
      <c r="D892" s="206">
        <f>MIN($D$8+-0.32892*$E$8,'Debt &amp; Cost of Capital'!$C$38)</f>
        <v>5.3026480000000001E-2</v>
      </c>
      <c r="E892" s="207">
        <f>$D$9+-0.421337*$E$9</f>
        <v>0.15458098770254633</v>
      </c>
      <c r="F892" s="207">
        <f>$D$10+0.978593*$E$10</f>
        <v>0.1567431159999999</v>
      </c>
      <c r="G892" s="208">
        <f>$F892*(1-'Sensitivity &amp; Scenarios'!$C$12)+'Sensitivity &amp; Scenarios'!$C$9*'Sensitivity &amp; Scenarios'!$C$12-'Sensitivity &amp; Scenarios'!$C$10</f>
        <v>8.648629179126463E-2</v>
      </c>
      <c r="H892" s="209">
        <f>('Sensitivity &amp; Scenarios'!$C$6*(1+$E892)^1*$G892+'Sensitivity &amp; Scenarios'!$C$11*'Sensitivity &amp; Scenarios'!$C$6*((1+$E892)^1-(1+$E892)^0))*'Sensitivity &amp; Scenarios'!$C$18/(1+$C892)^'Sensitivity &amp; Scenarios'!$C$18+('Sensitivity &amp; Scenarios'!$C$6*(1+$E892)^2*$G892+'Sensitivity &amp; Scenarios'!$C$11*'Sensitivity &amp; Scenarios'!$C$6*((1+$E892)^2-(1+$E892)^1))/(1+$C892)^('Sensitivity &amp; Scenarios'!$C$18+1)+('Sensitivity &amp; Scenarios'!$C$6*(1+$E892)^3*$G892+'Sensitivity &amp; Scenarios'!$C$11*'Sensitivity &amp; Scenarios'!$C$6*((1+$E892)^3-(1+$E892)^2))/(1+$C892)^('Sensitivity &amp; Scenarios'!$C$18+2)+('Sensitivity &amp; Scenarios'!$C$6*(1+$E892)^4*$G892+'Sensitivity &amp; Scenarios'!$C$11*'Sensitivity &amp; Scenarios'!$C$6*((1+$E892)^4-(1+$E892)^3))/(1+$C892)^('Sensitivity &amp; Scenarios'!$C$18+3)+('Sensitivity &amp; Scenarios'!$C$6*(1+$E892)^5*$G892+'Sensitivity &amp; Scenarios'!$C$11*'Sensitivity &amp; Scenarios'!$C$6*((1+$E892)^5-(1+$E892)^4))/(1+$C892)^('Sensitivity &amp; Scenarios'!$C$18+4)</f>
        <v>23707.544425439242</v>
      </c>
      <c r="I892" s="209">
        <f>('Sensitivity &amp; Scenarios'!$C$6*(1+$E892)^5*$G892+'Sensitivity &amp; Scenarios'!$C$11*'Sensitivity &amp; Scenarios'!$C$6*((1+$E892)^5-(1+$E892)^4))*(1+$D892)/($C892-$D892)/(1+$C892)^('Sensitivity &amp; Scenarios'!$C$18+4)</f>
        <v>56913.604660005614</v>
      </c>
      <c r="J892" s="209">
        <f>($H892+$I892-'Sensitivity &amp; Scenarios'!$C$15+'Sensitivity &amp; Scenarios'!$C$16)/'Sensitivity &amp; Scenarios'!$C$17</f>
        <v>1983.5376981895781</v>
      </c>
    </row>
    <row r="893" spans="2:10" x14ac:dyDescent="0.3">
      <c r="B893" s="127">
        <v>863</v>
      </c>
      <c r="C893" s="206">
        <f>$D$7+-0.538299*$E$7</f>
        <v>0.13216926943997798</v>
      </c>
      <c r="D893" s="206">
        <f>MIN($D$8+-0.037755*$E$8,'Debt &amp; Cost of Capital'!$C$38)</f>
        <v>5.4773469999999998E-2</v>
      </c>
      <c r="E893" s="207">
        <f>$D$9+-1.581311*$E$9</f>
        <v>0.11978176770254634</v>
      </c>
      <c r="F893" s="207">
        <f>$D$10+0.70419*$E$10</f>
        <v>0.15345027999999991</v>
      </c>
      <c r="G893" s="208">
        <f>$F893*(1-'Sensitivity &amp; Scenarios'!$C$12)+'Sensitivity &amp; Scenarios'!$C$9*'Sensitivity &amp; Scenarios'!$C$12-'Sensitivity &amp; Scenarios'!$C$10</f>
        <v>8.4022262612464635E-2</v>
      </c>
      <c r="H893" s="209">
        <f>('Sensitivity &amp; Scenarios'!$C$6*(1+$E893)^1*$G893+'Sensitivity &amp; Scenarios'!$C$11*'Sensitivity &amp; Scenarios'!$C$6*((1+$E893)^1-(1+$E893)^0))*'Sensitivity &amp; Scenarios'!$C$18/(1+$C893)^'Sensitivity &amp; Scenarios'!$C$18+('Sensitivity &amp; Scenarios'!$C$6*(1+$E893)^2*$G893+'Sensitivity &amp; Scenarios'!$C$11*'Sensitivity &amp; Scenarios'!$C$6*((1+$E893)^2-(1+$E893)^1))/(1+$C893)^('Sensitivity &amp; Scenarios'!$C$18+1)+('Sensitivity &amp; Scenarios'!$C$6*(1+$E893)^3*$G893+'Sensitivity &amp; Scenarios'!$C$11*'Sensitivity &amp; Scenarios'!$C$6*((1+$E893)^3-(1+$E893)^2))/(1+$C893)^('Sensitivity &amp; Scenarios'!$C$18+2)+('Sensitivity &amp; Scenarios'!$C$6*(1+$E893)^4*$G893+'Sensitivity &amp; Scenarios'!$C$11*'Sensitivity &amp; Scenarios'!$C$6*((1+$E893)^4-(1+$E893)^3))/(1+$C893)^('Sensitivity &amp; Scenarios'!$C$18+3)+('Sensitivity &amp; Scenarios'!$C$6*(1+$E893)^5*$G893+'Sensitivity &amp; Scenarios'!$C$11*'Sensitivity &amp; Scenarios'!$C$6*((1+$E893)^5-(1+$E893)^4))/(1+$C893)^('Sensitivity &amp; Scenarios'!$C$18+4)</f>
        <v>21208.012282636591</v>
      </c>
      <c r="I893" s="209">
        <f>('Sensitivity &amp; Scenarios'!$C$6*(1+$E893)^5*$G893+'Sensitivity &amp; Scenarios'!$C$11*'Sensitivity &amp; Scenarios'!$C$6*((1+$E893)^5-(1+$E893)^4))*(1+$D893)/($C893-$D893)/(1+$C893)^('Sensitivity &amp; Scenarios'!$C$18+4)</f>
        <v>61128.61689909183</v>
      </c>
      <c r="J893" s="209">
        <f>($H893+$I893-'Sensitivity &amp; Scenarios'!$C$15+'Sensitivity &amp; Scenarios'!$C$16)/'Sensitivity &amp; Scenarios'!$C$17</f>
        <v>2019.6464550337676</v>
      </c>
    </row>
    <row r="894" spans="2:10" x14ac:dyDescent="0.3">
      <c r="B894" s="127">
        <v>864</v>
      </c>
      <c r="C894" s="206">
        <f>$D$7+1.940867*$E$7</f>
        <v>0.15696092943997797</v>
      </c>
      <c r="D894" s="206">
        <f>MIN($D$8+0.721225*$E$8,'Debt &amp; Cost of Capital'!$C$38)</f>
        <v>5.9327350000000001E-2</v>
      </c>
      <c r="E894" s="207">
        <f>$D$9+1.461799*$E$9</f>
        <v>0.21107506770254633</v>
      </c>
      <c r="F894" s="207">
        <f>$D$10+-0.846102*$E$10</f>
        <v>0.13484677599999992</v>
      </c>
      <c r="G894" s="208">
        <f>$F894*(1-'Sensitivity &amp; Scenarios'!$C$12)+'Sensitivity &amp; Scenarios'!$C$9*'Sensitivity &amp; Scenarios'!$C$12-'Sensitivity &amp; Scenarios'!$C$10</f>
        <v>7.0101260569264648E-2</v>
      </c>
      <c r="H894" s="209">
        <f>('Sensitivity &amp; Scenarios'!$C$6*(1+$E894)^1*$G894+'Sensitivity &amp; Scenarios'!$C$11*'Sensitivity &amp; Scenarios'!$C$6*((1+$E894)^1-(1+$E894)^0))*'Sensitivity &amp; Scenarios'!$C$18/(1+$C894)^'Sensitivity &amp; Scenarios'!$C$18+('Sensitivity &amp; Scenarios'!$C$6*(1+$E894)^2*$G894+'Sensitivity &amp; Scenarios'!$C$11*'Sensitivity &amp; Scenarios'!$C$6*((1+$E894)^2-(1+$E894)^1))/(1+$C894)^('Sensitivity &amp; Scenarios'!$C$18+1)+('Sensitivity &amp; Scenarios'!$C$6*(1+$E894)^3*$G894+'Sensitivity &amp; Scenarios'!$C$11*'Sensitivity &amp; Scenarios'!$C$6*((1+$E894)^3-(1+$E894)^2))/(1+$C894)^('Sensitivity &amp; Scenarios'!$C$18+2)+('Sensitivity &amp; Scenarios'!$C$6*(1+$E894)^4*$G894+'Sensitivity &amp; Scenarios'!$C$11*'Sensitivity &amp; Scenarios'!$C$6*((1+$E894)^4-(1+$E894)^3))/(1+$C894)^('Sensitivity &amp; Scenarios'!$C$18+3)+('Sensitivity &amp; Scenarios'!$C$6*(1+$E894)^5*$G894+'Sensitivity &amp; Scenarios'!$C$11*'Sensitivity &amp; Scenarios'!$C$6*((1+$E894)^5-(1+$E894)^4))/(1+$C894)^('Sensitivity &amp; Scenarios'!$C$18+4)</f>
        <v>23874.115683152486</v>
      </c>
      <c r="I894" s="209">
        <f>('Sensitivity &amp; Scenarios'!$C$6*(1+$E894)^5*$G894+'Sensitivity &amp; Scenarios'!$C$11*'Sensitivity &amp; Scenarios'!$C$6*((1+$E894)^5-(1+$E894)^4))*(1+$D894)/($C894-$D894)/(1+$C894)^('Sensitivity &amp; Scenarios'!$C$18+4)</f>
        <v>60707.68728341152</v>
      </c>
      <c r="J894" s="209">
        <f>($H894+$I894-'Sensitivity &amp; Scenarios'!$C$15+'Sensitivity &amp; Scenarios'!$C$16)/'Sensitivity &amp; Scenarios'!$C$17</f>
        <v>2066.9046158513775</v>
      </c>
    </row>
    <row r="895" spans="2:10" x14ac:dyDescent="0.3">
      <c r="B895" s="127">
        <v>865</v>
      </c>
      <c r="C895" s="206">
        <f>$D$7+0.236324*$E$7</f>
        <v>0.13991549943997797</v>
      </c>
      <c r="D895" s="206">
        <f>MIN($D$8+-0.94316*$E$8,'Debt &amp; Cost of Capital'!$C$38)</f>
        <v>4.9341040000000003E-2</v>
      </c>
      <c r="E895" s="207">
        <f>$D$9+-0.227766*$E$9</f>
        <v>0.16038811770254635</v>
      </c>
      <c r="F895" s="207">
        <f>$D$10+0.772211*$E$10</f>
        <v>0.1542665319999999</v>
      </c>
      <c r="G895" s="208">
        <f>$F895*(1-'Sensitivity &amp; Scenarios'!$C$12)+'Sensitivity &amp; Scenarios'!$C$9*'Sensitivity &amp; Scenarios'!$C$12-'Sensitivity &amp; Scenarios'!$C$10</f>
        <v>8.463306398406463E-2</v>
      </c>
      <c r="H895" s="209">
        <f>('Sensitivity &amp; Scenarios'!$C$6*(1+$E895)^1*$G895+'Sensitivity &amp; Scenarios'!$C$11*'Sensitivity &amp; Scenarios'!$C$6*((1+$E895)^1-(1+$E895)^0))*'Sensitivity &amp; Scenarios'!$C$18/(1+$C895)^'Sensitivity &amp; Scenarios'!$C$18+('Sensitivity &amp; Scenarios'!$C$6*(1+$E895)^2*$G895+'Sensitivity &amp; Scenarios'!$C$11*'Sensitivity &amp; Scenarios'!$C$6*((1+$E895)^2-(1+$E895)^1))/(1+$C895)^('Sensitivity &amp; Scenarios'!$C$18+1)+('Sensitivity &amp; Scenarios'!$C$6*(1+$E895)^3*$G895+'Sensitivity &amp; Scenarios'!$C$11*'Sensitivity &amp; Scenarios'!$C$6*((1+$E895)^3-(1+$E895)^2))/(1+$C895)^('Sensitivity &amp; Scenarios'!$C$18+2)+('Sensitivity &amp; Scenarios'!$C$6*(1+$E895)^4*$G895+'Sensitivity &amp; Scenarios'!$C$11*'Sensitivity &amp; Scenarios'!$C$6*((1+$E895)^4-(1+$E895)^3))/(1+$C895)^('Sensitivity &amp; Scenarios'!$C$18+3)+('Sensitivity &amp; Scenarios'!$C$6*(1+$E895)^5*$G895+'Sensitivity &amp; Scenarios'!$C$11*'Sensitivity &amp; Scenarios'!$C$6*((1+$E895)^5-(1+$E895)^4))/(1+$C895)^('Sensitivity &amp; Scenarios'!$C$18+4)</f>
        <v>24274.478235905044</v>
      </c>
      <c r="I895" s="209">
        <f>('Sensitivity &amp; Scenarios'!$C$6*(1+$E895)^5*$G895+'Sensitivity &amp; Scenarios'!$C$11*'Sensitivity &amp; Scenarios'!$C$6*((1+$E895)^5-(1+$E895)^4))*(1+$D895)/($C895-$D895)/(1+$C895)^('Sensitivity &amp; Scenarios'!$C$18+4)</f>
        <v>62707.751576134746</v>
      </c>
      <c r="J895" s="209">
        <f>($H895+$I895-'Sensitivity &amp; Scenarios'!$C$15+'Sensitivity &amp; Scenarios'!$C$16)/'Sensitivity &amp; Scenarios'!$C$17</f>
        <v>2117.4306636168562</v>
      </c>
    </row>
    <row r="896" spans="2:10" x14ac:dyDescent="0.3">
      <c r="B896" s="127">
        <v>866</v>
      </c>
      <c r="C896" s="206">
        <f>$D$7+0.101821*$E$7</f>
        <v>0.13857046943997797</v>
      </c>
      <c r="D896" s="206">
        <f>MIN($D$8+-1.412641*$E$8,'Debt &amp; Cost of Capital'!$C$38)</f>
        <v>4.6524153999999998E-2</v>
      </c>
      <c r="E896" s="207">
        <f>$D$9+-1.315029*$E$9</f>
        <v>0.12777022770254634</v>
      </c>
      <c r="F896" s="207">
        <f>$D$10+-1.381164*$E$10</f>
        <v>0.12842603199999991</v>
      </c>
      <c r="G896" s="208">
        <f>$F896*(1-'Sensitivity &amp; Scenarios'!$C$12)+'Sensitivity &amp; Scenarios'!$C$9*'Sensitivity &amp; Scenarios'!$C$12-'Sensitivity &amp; Scenarios'!$C$10</f>
        <v>6.5296617834064638E-2</v>
      </c>
      <c r="H896" s="209">
        <f>('Sensitivity &amp; Scenarios'!$C$6*(1+$E896)^1*$G896+'Sensitivity &amp; Scenarios'!$C$11*'Sensitivity &amp; Scenarios'!$C$6*((1+$E896)^1-(1+$E896)^0))*'Sensitivity &amp; Scenarios'!$C$18/(1+$C896)^'Sensitivity &amp; Scenarios'!$C$18+('Sensitivity &amp; Scenarios'!$C$6*(1+$E896)^2*$G896+'Sensitivity &amp; Scenarios'!$C$11*'Sensitivity &amp; Scenarios'!$C$6*((1+$E896)^2-(1+$E896)^1))/(1+$C896)^('Sensitivity &amp; Scenarios'!$C$18+1)+('Sensitivity &amp; Scenarios'!$C$6*(1+$E896)^3*$G896+'Sensitivity &amp; Scenarios'!$C$11*'Sensitivity &amp; Scenarios'!$C$6*((1+$E896)^3-(1+$E896)^2))/(1+$C896)^('Sensitivity &amp; Scenarios'!$C$18+2)+('Sensitivity &amp; Scenarios'!$C$6*(1+$E896)^4*$G896+'Sensitivity &amp; Scenarios'!$C$11*'Sensitivity &amp; Scenarios'!$C$6*((1+$E896)^4-(1+$E896)^3))/(1+$C896)^('Sensitivity &amp; Scenarios'!$C$18+3)+('Sensitivity &amp; Scenarios'!$C$6*(1+$E896)^5*$G896+'Sensitivity &amp; Scenarios'!$C$11*'Sensitivity &amp; Scenarios'!$C$6*((1+$E896)^5-(1+$E896)^4))/(1+$C896)^('Sensitivity &amp; Scenarios'!$C$18+4)</f>
        <v>17331.657963220096</v>
      </c>
      <c r="I896" s="209">
        <f>('Sensitivity &amp; Scenarios'!$C$6*(1+$E896)^5*$G896+'Sensitivity &amp; Scenarios'!$C$11*'Sensitivity &amp; Scenarios'!$C$6*((1+$E896)^5-(1+$E896)^4))*(1+$D896)/($C896-$D896)/(1+$C896)^('Sensitivity &amp; Scenarios'!$C$18+4)</f>
        <v>41790.138436345602</v>
      </c>
      <c r="J896" s="209">
        <f>($H896+$I896-'Sensitivity &amp; Scenarios'!$C$15+'Sensitivity &amp; Scenarios'!$C$16)/'Sensitivity &amp; Scenarios'!$C$17</f>
        <v>1531.0026322778785</v>
      </c>
    </row>
    <row r="897" spans="2:10" x14ac:dyDescent="0.3">
      <c r="B897" s="127">
        <v>867</v>
      </c>
      <c r="C897" s="206">
        <f>$D$7+0.491453*$E$7</f>
        <v>0.14246678943997798</v>
      </c>
      <c r="D897" s="206">
        <f>MIN($D$8+2.063895*$E$8,'Debt &amp; Cost of Capital'!$C$38)</f>
        <v>6.7383369999999998E-2</v>
      </c>
      <c r="E897" s="207">
        <f>$D$9+1.362458*$E$9</f>
        <v>0.20809483770254633</v>
      </c>
      <c r="F897" s="207">
        <f>$D$10+-1.895985*$E$10</f>
        <v>0.1222481799999999</v>
      </c>
      <c r="G897" s="208">
        <f>$F897*(1-'Sensitivity &amp; Scenarios'!$C$12)+'Sensitivity &amp; Scenarios'!$C$9*'Sensitivity &amp; Scenarios'!$C$12-'Sensitivity &amp; Scenarios'!$C$10</f>
        <v>6.0673731182464635E-2</v>
      </c>
      <c r="H897" s="209">
        <f>('Sensitivity &amp; Scenarios'!$C$6*(1+$E897)^1*$G897+'Sensitivity &amp; Scenarios'!$C$11*'Sensitivity &amp; Scenarios'!$C$6*((1+$E897)^1-(1+$E897)^0))*'Sensitivity &amp; Scenarios'!$C$18/(1+$C897)^'Sensitivity &amp; Scenarios'!$C$18+('Sensitivity &amp; Scenarios'!$C$6*(1+$E897)^2*$G897+'Sensitivity &amp; Scenarios'!$C$11*'Sensitivity &amp; Scenarios'!$C$6*((1+$E897)^2-(1+$E897)^1))/(1+$C897)^('Sensitivity &amp; Scenarios'!$C$18+1)+('Sensitivity &amp; Scenarios'!$C$6*(1+$E897)^3*$G897+'Sensitivity &amp; Scenarios'!$C$11*'Sensitivity &amp; Scenarios'!$C$6*((1+$E897)^3-(1+$E897)^2))/(1+$C897)^('Sensitivity &amp; Scenarios'!$C$18+2)+('Sensitivity &amp; Scenarios'!$C$6*(1+$E897)^4*$G897+'Sensitivity &amp; Scenarios'!$C$11*'Sensitivity &amp; Scenarios'!$C$6*((1+$E897)^4-(1+$E897)^3))/(1+$C897)^('Sensitivity &amp; Scenarios'!$C$18+3)+('Sensitivity &amp; Scenarios'!$C$6*(1+$E897)^5*$G897+'Sensitivity &amp; Scenarios'!$C$11*'Sensitivity &amp; Scenarios'!$C$6*((1+$E897)^5-(1+$E897)^4))/(1+$C897)^('Sensitivity &amp; Scenarios'!$C$18+4)</f>
        <v>21905.082115109788</v>
      </c>
      <c r="I897" s="209">
        <f>('Sensitivity &amp; Scenarios'!$C$6*(1+$E897)^5*$G897+'Sensitivity &amp; Scenarios'!$C$11*'Sensitivity &amp; Scenarios'!$C$6*((1+$E897)^5-(1+$E897)^4))*(1+$D897)/($C897-$D897)/(1+$C897)^('Sensitivity &amp; Scenarios'!$C$18+4)</f>
        <v>74287.215050333572</v>
      </c>
      <c r="J897" s="209">
        <f>($H897+$I897-'Sensitivity &amp; Scenarios'!$C$15+'Sensitivity &amp; Scenarios'!$C$16)/'Sensitivity &amp; Scenarios'!$C$17</f>
        <v>2311.2913113172472</v>
      </c>
    </row>
    <row r="898" spans="2:10" x14ac:dyDescent="0.3">
      <c r="B898" s="127">
        <v>868</v>
      </c>
      <c r="C898" s="206">
        <f>$D$7+1.421076*$E$7</f>
        <v>0.15176301943997797</v>
      </c>
      <c r="D898" s="206">
        <f>MIN($D$8+0.9364*$E$8,'Debt &amp; Cost of Capital'!$C$38)</f>
        <v>6.0618400000000003E-2</v>
      </c>
      <c r="E898" s="207">
        <f>$D$9+-1.5453*$E$9</f>
        <v>0.12086209770254634</v>
      </c>
      <c r="F898" s="207">
        <f>$D$10+-0.303202*$E$10</f>
        <v>0.14136157599999991</v>
      </c>
      <c r="G898" s="208">
        <f>$F898*(1-'Sensitivity &amp; Scenarios'!$C$12)+'Sensitivity &amp; Scenarios'!$C$9*'Sensitivity &amp; Scenarios'!$C$12-'Sensitivity &amp; Scenarios'!$C$10</f>
        <v>7.497628540926464E-2</v>
      </c>
      <c r="H898" s="209">
        <f>('Sensitivity &amp; Scenarios'!$C$6*(1+$E898)^1*$G898+'Sensitivity &amp; Scenarios'!$C$11*'Sensitivity &amp; Scenarios'!$C$6*((1+$E898)^1-(1+$E898)^0))*'Sensitivity &amp; Scenarios'!$C$18/(1+$C898)^'Sensitivity &amp; Scenarios'!$C$18+('Sensitivity &amp; Scenarios'!$C$6*(1+$E898)^2*$G898+'Sensitivity &amp; Scenarios'!$C$11*'Sensitivity &amp; Scenarios'!$C$6*((1+$E898)^2-(1+$E898)^1))/(1+$C898)^('Sensitivity &amp; Scenarios'!$C$18+1)+('Sensitivity &amp; Scenarios'!$C$6*(1+$E898)^3*$G898+'Sensitivity &amp; Scenarios'!$C$11*'Sensitivity &amp; Scenarios'!$C$6*((1+$E898)^3-(1+$E898)^2))/(1+$C898)^('Sensitivity &amp; Scenarios'!$C$18+2)+('Sensitivity &amp; Scenarios'!$C$6*(1+$E898)^4*$G898+'Sensitivity &amp; Scenarios'!$C$11*'Sensitivity &amp; Scenarios'!$C$6*((1+$E898)^4-(1+$E898)^3))/(1+$C898)^('Sensitivity &amp; Scenarios'!$C$18+3)+('Sensitivity &amp; Scenarios'!$C$6*(1+$E898)^5*$G898+'Sensitivity &amp; Scenarios'!$C$11*'Sensitivity &amp; Scenarios'!$C$6*((1+$E898)^5-(1+$E898)^4))/(1+$C898)^('Sensitivity &amp; Scenarios'!$C$18+4)</f>
        <v>18393.272355494355</v>
      </c>
      <c r="I898" s="209">
        <f>('Sensitivity &amp; Scenarios'!$C$6*(1+$E898)^5*$G898+'Sensitivity &amp; Scenarios'!$C$11*'Sensitivity &amp; Scenarios'!$C$6*((1+$E898)^5-(1+$E898)^4))*(1+$D898)/($C898-$D898)/(1+$C898)^('Sensitivity &amp; Scenarios'!$C$18+4)</f>
        <v>43913.124278687676</v>
      </c>
      <c r="J898" s="209">
        <f>($H898+$I898-'Sensitivity &amp; Scenarios'!$C$15+'Sensitivity &amp; Scenarios'!$C$16)/'Sensitivity &amp; Scenarios'!$C$17</f>
        <v>1598.0345703148344</v>
      </c>
    </row>
    <row r="899" spans="2:10" x14ac:dyDescent="0.3">
      <c r="B899" s="127">
        <v>869</v>
      </c>
      <c r="C899" s="206">
        <f>$D$7+1.095522*$E$7</f>
        <v>0.148507479439978</v>
      </c>
      <c r="D899" s="206">
        <f>MIN($D$8+0.550434*$E$8,'Debt &amp; Cost of Capital'!$C$38)</f>
        <v>5.8302604000000001E-2</v>
      </c>
      <c r="E899" s="207">
        <f>$D$9+-1.309095*$E$9</f>
        <v>0.12794824770254634</v>
      </c>
      <c r="F899" s="207">
        <f>$D$10+0.610742*$E$10</f>
        <v>0.1523289039999999</v>
      </c>
      <c r="G899" s="208">
        <f>$F899*(1-'Sensitivity &amp; Scenarios'!$C$12)+'Sensitivity &amp; Scenarios'!$C$9*'Sensitivity &amp; Scenarios'!$C$12-'Sensitivity &amp; Scenarios'!$C$10</f>
        <v>8.3183136951664627E-2</v>
      </c>
      <c r="H899" s="209">
        <f>('Sensitivity &amp; Scenarios'!$C$6*(1+$E899)^1*$G899+'Sensitivity &amp; Scenarios'!$C$11*'Sensitivity &amp; Scenarios'!$C$6*((1+$E899)^1-(1+$E899)^0))*'Sensitivity &amp; Scenarios'!$C$18/(1+$C899)^'Sensitivity &amp; Scenarios'!$C$18+('Sensitivity &amp; Scenarios'!$C$6*(1+$E899)^2*$G899+'Sensitivity &amp; Scenarios'!$C$11*'Sensitivity &amp; Scenarios'!$C$6*((1+$E899)^2-(1+$E899)^1))/(1+$C899)^('Sensitivity &amp; Scenarios'!$C$18+1)+('Sensitivity &amp; Scenarios'!$C$6*(1+$E899)^3*$G899+'Sensitivity &amp; Scenarios'!$C$11*'Sensitivity &amp; Scenarios'!$C$6*((1+$E899)^3-(1+$E899)^2))/(1+$C899)^('Sensitivity &amp; Scenarios'!$C$18+2)+('Sensitivity &amp; Scenarios'!$C$6*(1+$E899)^4*$G899+'Sensitivity &amp; Scenarios'!$C$11*'Sensitivity &amp; Scenarios'!$C$6*((1+$E899)^4-(1+$E899)^3))/(1+$C899)^('Sensitivity &amp; Scenarios'!$C$18+3)+('Sensitivity &amp; Scenarios'!$C$6*(1+$E899)^5*$G899+'Sensitivity &amp; Scenarios'!$C$11*'Sensitivity &amp; Scenarios'!$C$6*((1+$E899)^5-(1+$E899)^4))/(1+$C899)^('Sensitivity &amp; Scenarios'!$C$18+4)</f>
        <v>20825.672473396509</v>
      </c>
      <c r="I899" s="209">
        <f>('Sensitivity &amp; Scenarios'!$C$6*(1+$E899)^5*$G899+'Sensitivity &amp; Scenarios'!$C$11*'Sensitivity &amp; Scenarios'!$C$6*((1+$E899)^5-(1+$E899)^4))*(1+$D899)/($C899-$D899)/(1+$C899)^('Sensitivity &amp; Scenarios'!$C$18+4)</f>
        <v>50998.020997689178</v>
      </c>
      <c r="J899" s="209">
        <f>($H899+$I899-'Sensitivity &amp; Scenarios'!$C$15+'Sensitivity &amp; Scenarios'!$C$16)/'Sensitivity &amp; Scenarios'!$C$17</f>
        <v>1798.3620226952123</v>
      </c>
    </row>
    <row r="900" spans="2:10" x14ac:dyDescent="0.3">
      <c r="B900" s="127">
        <v>870</v>
      </c>
      <c r="C900" s="206">
        <f>$D$7+-2.137501*$E$7</f>
        <v>0.11617724943997798</v>
      </c>
      <c r="D900" s="206">
        <f>MIN($D$8+-0.222822*$E$8,'Debt &amp; Cost of Capital'!$C$38)</f>
        <v>5.3663068000000001E-2</v>
      </c>
      <c r="E900" s="207">
        <f>$D$9+1.137957*$E$9</f>
        <v>0.20135980770254636</v>
      </c>
      <c r="F900" s="207">
        <f>$D$10+0.018394*$E$10</f>
        <v>0.14522072799999991</v>
      </c>
      <c r="G900" s="208">
        <f>$F900*(1-'Sensitivity &amp; Scenarios'!$C$12)+'Sensitivity &amp; Scenarios'!$C$9*'Sensitivity &amp; Scenarios'!$C$12-'Sensitivity &amp; Scenarios'!$C$10</f>
        <v>7.7864088850864641E-2</v>
      </c>
      <c r="H900" s="209">
        <f>('Sensitivity &amp; Scenarios'!$C$6*(1+$E900)^1*$G900+'Sensitivity &amp; Scenarios'!$C$11*'Sensitivity &amp; Scenarios'!$C$6*((1+$E900)^1-(1+$E900)^0))*'Sensitivity &amp; Scenarios'!$C$18/(1+$C900)^'Sensitivity &amp; Scenarios'!$C$18+('Sensitivity &amp; Scenarios'!$C$6*(1+$E900)^2*$G900+'Sensitivity &amp; Scenarios'!$C$11*'Sensitivity &amp; Scenarios'!$C$6*((1+$E900)^2-(1+$E900)^1))/(1+$C900)^('Sensitivity &amp; Scenarios'!$C$18+1)+('Sensitivity &amp; Scenarios'!$C$6*(1+$E900)^3*$G900+'Sensitivity &amp; Scenarios'!$C$11*'Sensitivity &amp; Scenarios'!$C$6*((1+$E900)^3-(1+$E900)^2))/(1+$C900)^('Sensitivity &amp; Scenarios'!$C$18+2)+('Sensitivity &amp; Scenarios'!$C$6*(1+$E900)^4*$G900+'Sensitivity &amp; Scenarios'!$C$11*'Sensitivity &amp; Scenarios'!$C$6*((1+$E900)^4-(1+$E900)^3))/(1+$C900)^('Sensitivity &amp; Scenarios'!$C$18+3)+('Sensitivity &amp; Scenarios'!$C$6*(1+$E900)^5*$G900+'Sensitivity &amp; Scenarios'!$C$11*'Sensitivity &amp; Scenarios'!$C$6*((1+$E900)^5-(1+$E900)^4))/(1+$C900)^('Sensitivity &amp; Scenarios'!$C$18+4)</f>
        <v>27835.453210964628</v>
      </c>
      <c r="I900" s="209">
        <f>('Sensitivity &amp; Scenarios'!$C$6*(1+$E900)^5*$G900+'Sensitivity &amp; Scenarios'!$C$11*'Sensitivity &amp; Scenarios'!$C$6*((1+$E900)^5-(1+$E900)^4))*(1+$D900)/($C900-$D900)/(1+$C900)^('Sensitivity &amp; Scenarios'!$C$18+4)</f>
        <v>115388.89953263463</v>
      </c>
      <c r="J900" s="209">
        <f>($H900+$I900-'Sensitivity &amp; Scenarios'!$C$15+'Sensitivity &amp; Scenarios'!$C$16)/'Sensitivity &amp; Scenarios'!$C$17</f>
        <v>3301.2585294932005</v>
      </c>
    </row>
    <row r="901" spans="2:10" x14ac:dyDescent="0.3">
      <c r="B901" s="127">
        <v>871</v>
      </c>
      <c r="C901" s="206">
        <f>$D$7+-0.498938*$E$7</f>
        <v>0.13256287943997799</v>
      </c>
      <c r="D901" s="206">
        <f>MIN($D$8+0.889346*$E$8,'Debt &amp; Cost of Capital'!$C$38)</f>
        <v>6.0336076000000002E-2</v>
      </c>
      <c r="E901" s="207">
        <f>$D$9+0.974752*$E$9</f>
        <v>0.19646365770254634</v>
      </c>
      <c r="F901" s="207">
        <f>$D$10+1.31004*$E$10</f>
        <v>0.16072047999999992</v>
      </c>
      <c r="G901" s="208">
        <f>$F901*(1-'Sensitivity &amp; Scenarios'!$C$12)+'Sensitivity &amp; Scenarios'!$C$9*'Sensitivity &amp; Scenarios'!$C$12-'Sensitivity &amp; Scenarios'!$C$10</f>
        <v>8.9462553272464648E-2</v>
      </c>
      <c r="H901" s="209">
        <f>('Sensitivity &amp; Scenarios'!$C$6*(1+$E901)^1*$G901+'Sensitivity &amp; Scenarios'!$C$11*'Sensitivity &amp; Scenarios'!$C$6*((1+$E901)^1-(1+$E901)^0))*'Sensitivity &amp; Scenarios'!$C$18/(1+$C901)^'Sensitivity &amp; Scenarios'!$C$18+('Sensitivity &amp; Scenarios'!$C$6*(1+$E901)^2*$G901+'Sensitivity &amp; Scenarios'!$C$11*'Sensitivity &amp; Scenarios'!$C$6*((1+$E901)^2-(1+$E901)^1))/(1+$C901)^('Sensitivity &amp; Scenarios'!$C$18+1)+('Sensitivity &amp; Scenarios'!$C$6*(1+$E901)^3*$G901+'Sensitivity &amp; Scenarios'!$C$11*'Sensitivity &amp; Scenarios'!$C$6*((1+$E901)^3-(1+$E901)^2))/(1+$C901)^('Sensitivity &amp; Scenarios'!$C$18+2)+('Sensitivity &amp; Scenarios'!$C$6*(1+$E901)^4*$G901+'Sensitivity &amp; Scenarios'!$C$11*'Sensitivity &amp; Scenarios'!$C$6*((1+$E901)^4-(1+$E901)^3))/(1+$C901)^('Sensitivity &amp; Scenarios'!$C$18+3)+('Sensitivity &amp; Scenarios'!$C$6*(1+$E901)^5*$G901+'Sensitivity &amp; Scenarios'!$C$11*'Sensitivity &amp; Scenarios'!$C$6*((1+$E901)^5-(1+$E901)^4))/(1+$C901)^('Sensitivity &amp; Scenarios'!$C$18+4)</f>
        <v>29394.5874145954</v>
      </c>
      <c r="I901" s="209">
        <f>('Sensitivity &amp; Scenarios'!$C$6*(1+$E901)^5*$G901+'Sensitivity &amp; Scenarios'!$C$11*'Sensitivity &amp; Scenarios'!$C$6*((1+$E901)^5-(1+$E901)^4))*(1+$D901)/($C901-$D901)/(1+$C901)^('Sensitivity &amp; Scenarios'!$C$18+4)</f>
        <v>102771.68520856139</v>
      </c>
      <c r="J901" s="209">
        <f>($H901+$I901-'Sensitivity &amp; Scenarios'!$C$15+'Sensitivity &amp; Scenarios'!$C$16)/'Sensitivity &amp; Scenarios'!$C$17</f>
        <v>3068.4994744055534</v>
      </c>
    </row>
    <row r="902" spans="2:10" x14ac:dyDescent="0.3">
      <c r="B902" s="127">
        <v>872</v>
      </c>
      <c r="C902" s="206">
        <f>$D$7+0.874342*$E$7</f>
        <v>0.14629567943997798</v>
      </c>
      <c r="D902" s="206">
        <f>MIN($D$8+1.081375*$E$8,'Debt &amp; Cost of Capital'!$C$38)</f>
        <v>6.1488250000000001E-2</v>
      </c>
      <c r="E902" s="207">
        <f>$D$9+0.732909*$E$9</f>
        <v>0.18920836770254634</v>
      </c>
      <c r="F902" s="207">
        <f>$D$10+0.265529*$E$10</f>
        <v>0.14818634799999991</v>
      </c>
      <c r="G902" s="208">
        <f>$F902*(1-'Sensitivity &amp; Scenarios'!$C$12)+'Sensitivity &amp; Scenarios'!$C$9*'Sensitivity &amp; Scenarios'!$C$12-'Sensitivity &amp; Scenarios'!$C$10</f>
        <v>8.0083262296864646E-2</v>
      </c>
      <c r="H902" s="209">
        <f>('Sensitivity &amp; Scenarios'!$C$6*(1+$E902)^1*$G902+'Sensitivity &amp; Scenarios'!$C$11*'Sensitivity &amp; Scenarios'!$C$6*((1+$E902)^1-(1+$E902)^0))*'Sensitivity &amp; Scenarios'!$C$18/(1+$C902)^'Sensitivity &amp; Scenarios'!$C$18+('Sensitivity &amp; Scenarios'!$C$6*(1+$E902)^2*$G902+'Sensitivity &amp; Scenarios'!$C$11*'Sensitivity &amp; Scenarios'!$C$6*((1+$E902)^2-(1+$E902)^1))/(1+$C902)^('Sensitivity &amp; Scenarios'!$C$18+1)+('Sensitivity &amp; Scenarios'!$C$6*(1+$E902)^3*$G902+'Sensitivity &amp; Scenarios'!$C$11*'Sensitivity &amp; Scenarios'!$C$6*((1+$E902)^3-(1+$E902)^2))/(1+$C902)^('Sensitivity &amp; Scenarios'!$C$18+2)+('Sensitivity &amp; Scenarios'!$C$6*(1+$E902)^4*$G902+'Sensitivity &amp; Scenarios'!$C$11*'Sensitivity &amp; Scenarios'!$C$6*((1+$E902)^4-(1+$E902)^3))/(1+$C902)^('Sensitivity &amp; Scenarios'!$C$18+3)+('Sensitivity &amp; Scenarios'!$C$6*(1+$E902)^5*$G902+'Sensitivity &amp; Scenarios'!$C$11*'Sensitivity &amp; Scenarios'!$C$6*((1+$E902)^5-(1+$E902)^4))/(1+$C902)^('Sensitivity &amp; Scenarios'!$C$18+4)</f>
        <v>25265.787520107049</v>
      </c>
      <c r="I902" s="209">
        <f>('Sensitivity &amp; Scenarios'!$C$6*(1+$E902)^5*$G902+'Sensitivity &amp; Scenarios'!$C$11*'Sensitivity &amp; Scenarios'!$C$6*((1+$E902)^5-(1+$E902)^4))*(1+$D902)/($C902-$D902)/(1+$C902)^('Sensitivity &amp; Scenarios'!$C$18+4)</f>
        <v>72949.875210233644</v>
      </c>
      <c r="J902" s="209">
        <f>($H902+$I902-'Sensitivity &amp; Scenarios'!$C$15+'Sensitivity &amp; Scenarios'!$C$16)/'Sensitivity &amp; Scenarios'!$C$17</f>
        <v>2353.8806805253571</v>
      </c>
    </row>
    <row r="903" spans="2:10" x14ac:dyDescent="0.3">
      <c r="B903" s="127">
        <v>873</v>
      </c>
      <c r="C903" s="206">
        <f>$D$7+0.089509*$E$7</f>
        <v>0.13844734943997797</v>
      </c>
      <c r="D903" s="206">
        <f>MIN($D$8+-0.23726*$E$8,'Debt &amp; Cost of Capital'!$C$38)</f>
        <v>5.3576440000000003E-2</v>
      </c>
      <c r="E903" s="207">
        <f>$D$9+-1.212368*$E$9</f>
        <v>0.13085005770254635</v>
      </c>
      <c r="F903" s="207">
        <f>$D$10+-0.955312*$E$10</f>
        <v>0.13353625599999991</v>
      </c>
      <c r="G903" s="208">
        <f>$F903*(1-'Sensitivity &amp; Scenarios'!$C$12)+'Sensitivity &amp; Scenarios'!$C$9*'Sensitivity &amp; Scenarios'!$C$12-'Sensitivity &amp; Scenarios'!$C$10</f>
        <v>6.9120598453264639E-2</v>
      </c>
      <c r="H903" s="209">
        <f>('Sensitivity &amp; Scenarios'!$C$6*(1+$E903)^1*$G903+'Sensitivity &amp; Scenarios'!$C$11*'Sensitivity &amp; Scenarios'!$C$6*((1+$E903)^1-(1+$E903)^0))*'Sensitivity &amp; Scenarios'!$C$18/(1+$C903)^'Sensitivity &amp; Scenarios'!$C$18+('Sensitivity &amp; Scenarios'!$C$6*(1+$E903)^2*$G903+'Sensitivity &amp; Scenarios'!$C$11*'Sensitivity &amp; Scenarios'!$C$6*((1+$E903)^2-(1+$E903)^1))/(1+$C903)^('Sensitivity &amp; Scenarios'!$C$18+1)+('Sensitivity &amp; Scenarios'!$C$6*(1+$E903)^3*$G903+'Sensitivity &amp; Scenarios'!$C$11*'Sensitivity &amp; Scenarios'!$C$6*((1+$E903)^3-(1+$E903)^2))/(1+$C903)^('Sensitivity &amp; Scenarios'!$C$18+2)+('Sensitivity &amp; Scenarios'!$C$6*(1+$E903)^4*$G903+'Sensitivity &amp; Scenarios'!$C$11*'Sensitivity &amp; Scenarios'!$C$6*((1+$E903)^4-(1+$E903)^3))/(1+$C903)^('Sensitivity &amp; Scenarios'!$C$18+3)+('Sensitivity &amp; Scenarios'!$C$6*(1+$E903)^5*$G903+'Sensitivity &amp; Scenarios'!$C$11*'Sensitivity &amp; Scenarios'!$C$6*((1+$E903)^5-(1+$E903)^4))/(1+$C903)^('Sensitivity &amp; Scenarios'!$C$18+4)</f>
        <v>18405.798055579333</v>
      </c>
      <c r="I903" s="209">
        <f>('Sensitivity &amp; Scenarios'!$C$6*(1+$E903)^5*$G903+'Sensitivity &amp; Scenarios'!$C$11*'Sensitivity &amp; Scenarios'!$C$6*((1+$E903)^5-(1+$E903)^4))*(1+$D903)/($C903-$D903)/(1+$C903)^('Sensitivity &amp; Scenarios'!$C$18+4)</f>
        <v>48712.276943426245</v>
      </c>
      <c r="J903" s="209">
        <f>($H903+$I903-'Sensitivity &amp; Scenarios'!$C$15+'Sensitivity &amp; Scenarios'!$C$16)/'Sensitivity &amp; Scenarios'!$C$17</f>
        <v>1699.3145119849607</v>
      </c>
    </row>
    <row r="904" spans="2:10" x14ac:dyDescent="0.3">
      <c r="B904" s="127">
        <v>874</v>
      </c>
      <c r="C904" s="206">
        <f>$D$7+-0.282014*$E$7</f>
        <v>0.13473211943997798</v>
      </c>
      <c r="D904" s="206">
        <f>MIN($D$8+0.241452*$E$8,'Debt &amp; Cost of Capital'!$C$38)</f>
        <v>5.6448711999999998E-2</v>
      </c>
      <c r="E904" s="207">
        <f>$D$9+1.440813*$E$9</f>
        <v>0.21044548770254634</v>
      </c>
      <c r="F904" s="207">
        <f>$D$10+-0.041797*$E$10</f>
        <v>0.1444984359999999</v>
      </c>
      <c r="G904" s="208">
        <f>$F904*(1-'Sensitivity &amp; Scenarios'!$C$12)+'Sensitivity &amp; Scenarios'!$C$9*'Sensitivity &amp; Scenarios'!$C$12-'Sensitivity &amp; Scenarios'!$C$10</f>
        <v>7.7323597747264633E-2</v>
      </c>
      <c r="H904" s="209">
        <f>('Sensitivity &amp; Scenarios'!$C$6*(1+$E904)^1*$G904+'Sensitivity &amp; Scenarios'!$C$11*'Sensitivity &amp; Scenarios'!$C$6*((1+$E904)^1-(1+$E904)^0))*'Sensitivity &amp; Scenarios'!$C$18/(1+$C904)^'Sensitivity &amp; Scenarios'!$C$18+('Sensitivity &amp; Scenarios'!$C$6*(1+$E904)^2*$G904+'Sensitivity &amp; Scenarios'!$C$11*'Sensitivity &amp; Scenarios'!$C$6*((1+$E904)^2-(1+$E904)^1))/(1+$C904)^('Sensitivity &amp; Scenarios'!$C$18+1)+('Sensitivity &amp; Scenarios'!$C$6*(1+$E904)^3*$G904+'Sensitivity &amp; Scenarios'!$C$11*'Sensitivity &amp; Scenarios'!$C$6*((1+$E904)^3-(1+$E904)^2))/(1+$C904)^('Sensitivity &amp; Scenarios'!$C$18+2)+('Sensitivity &amp; Scenarios'!$C$6*(1+$E904)^4*$G904+'Sensitivity &amp; Scenarios'!$C$11*'Sensitivity &amp; Scenarios'!$C$6*((1+$E904)^4-(1+$E904)^3))/(1+$C904)^('Sensitivity &amp; Scenarios'!$C$18+3)+('Sensitivity &amp; Scenarios'!$C$6*(1+$E904)^5*$G904+'Sensitivity &amp; Scenarios'!$C$11*'Sensitivity &amp; Scenarios'!$C$6*((1+$E904)^5-(1+$E904)^4))/(1+$C904)^('Sensitivity &amp; Scenarios'!$C$18+4)</f>
        <v>27234.746002519867</v>
      </c>
      <c r="I904" s="209">
        <f>('Sensitivity &amp; Scenarios'!$C$6*(1+$E904)^5*$G904+'Sensitivity &amp; Scenarios'!$C$11*'Sensitivity &amp; Scenarios'!$C$6*((1+$E904)^5-(1+$E904)^4))*(1+$D904)/($C904-$D904)/(1+$C904)^('Sensitivity &amp; Scenarios'!$C$18+4)</f>
        <v>89016.278066270155</v>
      </c>
      <c r="J904" s="209">
        <f>($H904+$I904-'Sensitivity &amp; Scenarios'!$C$15+'Sensitivity &amp; Scenarios'!$C$16)/'Sensitivity &amp; Scenarios'!$C$17</f>
        <v>2733.5029673580707</v>
      </c>
    </row>
    <row r="905" spans="2:10" x14ac:dyDescent="0.3">
      <c r="B905" s="127">
        <v>875</v>
      </c>
      <c r="C905" s="206">
        <f>$D$7+1.003476*$E$7</f>
        <v>0.14758701943997798</v>
      </c>
      <c r="D905" s="206">
        <f>MIN($D$8+1.079316*$E$8,'Debt &amp; Cost of Capital'!$C$38)</f>
        <v>6.1475896000000002E-2</v>
      </c>
      <c r="E905" s="207">
        <f>$D$9+-0.231447*$E$9</f>
        <v>0.16027768770254633</v>
      </c>
      <c r="F905" s="207">
        <f>$D$10+0.59469*$E$10</f>
        <v>0.1521362799999999</v>
      </c>
      <c r="G905" s="208">
        <f>$F905*(1-'Sensitivity &amp; Scenarios'!$C$12)+'Sensitivity &amp; Scenarios'!$C$9*'Sensitivity &amp; Scenarios'!$C$12-'Sensitivity &amp; Scenarios'!$C$10</f>
        <v>8.3038996412464636E-2</v>
      </c>
      <c r="H905" s="209">
        <f>('Sensitivity &amp; Scenarios'!$C$6*(1+$E905)^1*$G905+'Sensitivity &amp; Scenarios'!$C$11*'Sensitivity &amp; Scenarios'!$C$6*((1+$E905)^1-(1+$E905)^0))*'Sensitivity &amp; Scenarios'!$C$18/(1+$C905)^'Sensitivity &amp; Scenarios'!$C$18+('Sensitivity &amp; Scenarios'!$C$6*(1+$E905)^2*$G905+'Sensitivity &amp; Scenarios'!$C$11*'Sensitivity &amp; Scenarios'!$C$6*((1+$E905)^2-(1+$E905)^1))/(1+$C905)^('Sensitivity &amp; Scenarios'!$C$18+1)+('Sensitivity &amp; Scenarios'!$C$6*(1+$E905)^3*$G905+'Sensitivity &amp; Scenarios'!$C$11*'Sensitivity &amp; Scenarios'!$C$6*((1+$E905)^3-(1+$E905)^2))/(1+$C905)^('Sensitivity &amp; Scenarios'!$C$18+2)+('Sensitivity &amp; Scenarios'!$C$6*(1+$E905)^4*$G905+'Sensitivity &amp; Scenarios'!$C$11*'Sensitivity &amp; Scenarios'!$C$6*((1+$E905)^4-(1+$E905)^3))/(1+$C905)^('Sensitivity &amp; Scenarios'!$C$18+3)+('Sensitivity &amp; Scenarios'!$C$6*(1+$E905)^5*$G905+'Sensitivity &amp; Scenarios'!$C$11*'Sensitivity &amp; Scenarios'!$C$6*((1+$E905)^5-(1+$E905)^4))/(1+$C905)^('Sensitivity &amp; Scenarios'!$C$18+4)</f>
        <v>23430.4666540662</v>
      </c>
      <c r="I905" s="209">
        <f>('Sensitivity &amp; Scenarios'!$C$6*(1+$E905)^5*$G905+'Sensitivity &amp; Scenarios'!$C$11*'Sensitivity &amp; Scenarios'!$C$6*((1+$E905)^5-(1+$E905)^4))*(1+$D905)/($C905-$D905)/(1+$C905)^('Sensitivity &amp; Scenarios'!$C$18+4)</f>
        <v>63610.533932730999</v>
      </c>
      <c r="J905" s="209">
        <f>($H905+$I905-'Sensitivity &amp; Scenarios'!$C$15+'Sensitivity &amp; Scenarios'!$C$16)/'Sensitivity &amp; Scenarios'!$C$17</f>
        <v>2118.6677165094297</v>
      </c>
    </row>
    <row r="906" spans="2:10" x14ac:dyDescent="0.3">
      <c r="B906" s="127">
        <v>876</v>
      </c>
      <c r="C906" s="206">
        <f>$D$7+-0.243528*$E$7</f>
        <v>0.13511697943997797</v>
      </c>
      <c r="D906" s="206">
        <f>MIN($D$8+1.322136*$E$8,'Debt &amp; Cost of Capital'!$C$38)</f>
        <v>6.2932816000000003E-2</v>
      </c>
      <c r="E906" s="207">
        <f>$D$9+0.635843*$E$9</f>
        <v>0.18629638770254633</v>
      </c>
      <c r="F906" s="207">
        <f>$D$10+-1.190484*$E$10</f>
        <v>0.1307141919999999</v>
      </c>
      <c r="G906" s="208">
        <f>$F906*(1-'Sensitivity &amp; Scenarios'!$C$12)+'Sensitivity &amp; Scenarios'!$C$9*'Sensitivity &amp; Scenarios'!$C$12-'Sensitivity &amp; Scenarios'!$C$10</f>
        <v>6.7008847962064633E-2</v>
      </c>
      <c r="H906" s="209">
        <f>('Sensitivity &amp; Scenarios'!$C$6*(1+$E906)^1*$G906+'Sensitivity &amp; Scenarios'!$C$11*'Sensitivity &amp; Scenarios'!$C$6*((1+$E906)^1-(1+$E906)^0))*'Sensitivity &amp; Scenarios'!$C$18/(1+$C906)^'Sensitivity &amp; Scenarios'!$C$18+('Sensitivity &amp; Scenarios'!$C$6*(1+$E906)^2*$G906+'Sensitivity &amp; Scenarios'!$C$11*'Sensitivity &amp; Scenarios'!$C$6*((1+$E906)^2-(1+$E906)^1))/(1+$C906)^('Sensitivity &amp; Scenarios'!$C$18+1)+('Sensitivity &amp; Scenarios'!$C$6*(1+$E906)^3*$G906+'Sensitivity &amp; Scenarios'!$C$11*'Sensitivity &amp; Scenarios'!$C$6*((1+$E906)^3-(1+$E906)^2))/(1+$C906)^('Sensitivity &amp; Scenarios'!$C$18+2)+('Sensitivity &amp; Scenarios'!$C$6*(1+$E906)^4*$G906+'Sensitivity &amp; Scenarios'!$C$11*'Sensitivity &amp; Scenarios'!$C$6*((1+$E906)^4-(1+$E906)^3))/(1+$C906)^('Sensitivity &amp; Scenarios'!$C$18+3)+('Sensitivity &amp; Scenarios'!$C$6*(1+$E906)^5*$G906+'Sensitivity &amp; Scenarios'!$C$11*'Sensitivity &amp; Scenarios'!$C$6*((1+$E906)^5-(1+$E906)^4))/(1+$C906)^('Sensitivity &amp; Scenarios'!$C$18+4)</f>
        <v>22266.043662382821</v>
      </c>
      <c r="I906" s="209">
        <f>('Sensitivity &amp; Scenarios'!$C$6*(1+$E906)^5*$G906+'Sensitivity &amp; Scenarios'!$C$11*'Sensitivity &amp; Scenarios'!$C$6*((1+$E906)^5-(1+$E906)^4))*(1+$D906)/($C906-$D906)/(1+$C906)^('Sensitivity &amp; Scenarios'!$C$18+4)</f>
        <v>76623.251767471651</v>
      </c>
      <c r="J906" s="209">
        <f>($H906+$I906-'Sensitivity &amp; Scenarios'!$C$15+'Sensitivity &amp; Scenarios'!$C$16)/'Sensitivity &amp; Scenarios'!$C$17</f>
        <v>2368.0598245455849</v>
      </c>
    </row>
    <row r="907" spans="2:10" x14ac:dyDescent="0.3">
      <c r="B907" s="127">
        <v>877</v>
      </c>
      <c r="C907" s="206">
        <f>$D$7+0.161525*$E$7</f>
        <v>0.13916750943997799</v>
      </c>
      <c r="D907" s="206">
        <f>MIN($D$8+1.648112*$E$8,'Debt &amp; Cost of Capital'!$C$38)</f>
        <v>6.4888672000000008E-2</v>
      </c>
      <c r="E907" s="207">
        <f>$D$9+-0.181231*$E$9</f>
        <v>0.16178416770254633</v>
      </c>
      <c r="F907" s="207">
        <f>$D$10+0.447715*$E$10</f>
        <v>0.15037257999999989</v>
      </c>
      <c r="G907" s="208">
        <f>$F907*(1-'Sensitivity &amp; Scenarios'!$C$12)+'Sensitivity &amp; Scenarios'!$C$9*'Sensitivity &amp; Scenarios'!$C$12-'Sensitivity &amp; Scenarios'!$C$10</f>
        <v>8.1719219702464624E-2</v>
      </c>
      <c r="H907" s="209">
        <f>('Sensitivity &amp; Scenarios'!$C$6*(1+$E907)^1*$G907+'Sensitivity &amp; Scenarios'!$C$11*'Sensitivity &amp; Scenarios'!$C$6*((1+$E907)^1-(1+$E907)^0))*'Sensitivity &amp; Scenarios'!$C$18/(1+$C907)^'Sensitivity &amp; Scenarios'!$C$18+('Sensitivity &amp; Scenarios'!$C$6*(1+$E907)^2*$G907+'Sensitivity &amp; Scenarios'!$C$11*'Sensitivity &amp; Scenarios'!$C$6*((1+$E907)^2-(1+$E907)^1))/(1+$C907)^('Sensitivity &amp; Scenarios'!$C$18+1)+('Sensitivity &amp; Scenarios'!$C$6*(1+$E907)^3*$G907+'Sensitivity &amp; Scenarios'!$C$11*'Sensitivity &amp; Scenarios'!$C$6*((1+$E907)^3-(1+$E907)^2))/(1+$C907)^('Sensitivity &amp; Scenarios'!$C$18+2)+('Sensitivity &amp; Scenarios'!$C$6*(1+$E907)^4*$G907+'Sensitivity &amp; Scenarios'!$C$11*'Sensitivity &amp; Scenarios'!$C$6*((1+$E907)^4-(1+$E907)^3))/(1+$C907)^('Sensitivity &amp; Scenarios'!$C$18+3)+('Sensitivity &amp; Scenarios'!$C$6*(1+$E907)^5*$G907+'Sensitivity &amp; Scenarios'!$C$11*'Sensitivity &amp; Scenarios'!$C$6*((1+$E907)^5-(1+$E907)^4))/(1+$C907)^('Sensitivity &amp; Scenarios'!$C$18+4)</f>
        <v>23728.403742269256</v>
      </c>
      <c r="I907" s="209">
        <f>('Sensitivity &amp; Scenarios'!$C$6*(1+$E907)^5*$G907+'Sensitivity &amp; Scenarios'!$C$11*'Sensitivity &amp; Scenarios'!$C$6*((1+$E907)^5-(1+$E907)^4))*(1+$D907)/($C907-$D907)/(1+$C907)^('Sensitivity &amp; Scenarios'!$C$18+4)</f>
        <v>76107.452503043969</v>
      </c>
      <c r="J907" s="209">
        <f>($H907+$I907-'Sensitivity &amp; Scenarios'!$C$15+'Sensitivity &amp; Scenarios'!$C$16)/'Sensitivity &amp; Scenarios'!$C$17</f>
        <v>2387.9837714323389</v>
      </c>
    </row>
    <row r="908" spans="2:10" x14ac:dyDescent="0.3">
      <c r="B908" s="127">
        <v>878</v>
      </c>
      <c r="C908" s="206">
        <f>$D$7+0.545879*$E$7</f>
        <v>0.14301104943997797</v>
      </c>
      <c r="D908" s="206">
        <f>MIN($D$8+-1.036623*$E$8,'Debt &amp; Cost of Capital'!$C$38)</f>
        <v>4.8780261999999998E-2</v>
      </c>
      <c r="E908" s="207">
        <f>$D$9+0.510708*$E$9</f>
        <v>0.18254233770254635</v>
      </c>
      <c r="F908" s="207">
        <f>$D$10+-1.393835*$E$10</f>
        <v>0.1282739799999999</v>
      </c>
      <c r="G908" s="208">
        <f>$F908*(1-'Sensitivity &amp; Scenarios'!$C$12)+'Sensitivity &amp; Scenarios'!$C$9*'Sensitivity &amp; Scenarios'!$C$12-'Sensitivity &amp; Scenarios'!$C$10</f>
        <v>6.5182837322464632E-2</v>
      </c>
      <c r="H908" s="209">
        <f>('Sensitivity &amp; Scenarios'!$C$6*(1+$E908)^1*$G908+'Sensitivity &amp; Scenarios'!$C$11*'Sensitivity &amp; Scenarios'!$C$6*((1+$E908)^1-(1+$E908)^0))*'Sensitivity &amp; Scenarios'!$C$18/(1+$C908)^'Sensitivity &amp; Scenarios'!$C$18+('Sensitivity &amp; Scenarios'!$C$6*(1+$E908)^2*$G908+'Sensitivity &amp; Scenarios'!$C$11*'Sensitivity &amp; Scenarios'!$C$6*((1+$E908)^2-(1+$E908)^1))/(1+$C908)^('Sensitivity &amp; Scenarios'!$C$18+1)+('Sensitivity &amp; Scenarios'!$C$6*(1+$E908)^3*$G908+'Sensitivity &amp; Scenarios'!$C$11*'Sensitivity &amp; Scenarios'!$C$6*((1+$E908)^3-(1+$E908)^2))/(1+$C908)^('Sensitivity &amp; Scenarios'!$C$18+2)+('Sensitivity &amp; Scenarios'!$C$6*(1+$E908)^4*$G908+'Sensitivity &amp; Scenarios'!$C$11*'Sensitivity &amp; Scenarios'!$C$6*((1+$E908)^4-(1+$E908)^3))/(1+$C908)^('Sensitivity &amp; Scenarios'!$C$18+3)+('Sensitivity &amp; Scenarios'!$C$6*(1+$E908)^5*$G908+'Sensitivity &amp; Scenarios'!$C$11*'Sensitivity &amp; Scenarios'!$C$6*((1+$E908)^5-(1+$E908)^4))/(1+$C908)^('Sensitivity &amp; Scenarios'!$C$18+4)</f>
        <v>21062.896889909622</v>
      </c>
      <c r="I908" s="209">
        <f>('Sensitivity &amp; Scenarios'!$C$6*(1+$E908)^5*$G908+'Sensitivity &amp; Scenarios'!$C$11*'Sensitivity &amp; Scenarios'!$C$6*((1+$E908)^5-(1+$E908)^4))*(1+$D908)/($C908-$D908)/(1+$C908)^('Sensitivity &amp; Scenarios'!$C$18+4)</f>
        <v>53814.10513177159</v>
      </c>
      <c r="J908" s="209">
        <f>($H908+$I908-'Sensitivity &amp; Scenarios'!$C$15+'Sensitivity &amp; Scenarios'!$C$16)/'Sensitivity &amp; Scenarios'!$C$17</f>
        <v>1862.6304314413053</v>
      </c>
    </row>
    <row r="909" spans="2:10" x14ac:dyDescent="0.3">
      <c r="B909" s="127">
        <v>879</v>
      </c>
      <c r="C909" s="206">
        <f>$D$7+-0.625624*$E$7</f>
        <v>0.13129601943997798</v>
      </c>
      <c r="D909" s="206">
        <f>MIN($D$8+1.075723*$E$8,'Debt &amp; Cost of Capital'!$C$38)</f>
        <v>6.1454337999999997E-2</v>
      </c>
      <c r="E909" s="207">
        <f>$D$9+0.356756*$E$9</f>
        <v>0.17792377770254633</v>
      </c>
      <c r="F909" s="207">
        <f>$D$10+-0.304478*$E$10</f>
        <v>0.14134626399999992</v>
      </c>
      <c r="G909" s="208">
        <f>$F909*(1-'Sensitivity &amp; Scenarios'!$C$12)+'Sensitivity &amp; Scenarios'!$C$9*'Sensitivity &amp; Scenarios'!$C$12-'Sensitivity &amp; Scenarios'!$C$10</f>
        <v>7.496482743966465E-2</v>
      </c>
      <c r="H909" s="209">
        <f>('Sensitivity &amp; Scenarios'!$C$6*(1+$E909)^1*$G909+'Sensitivity &amp; Scenarios'!$C$11*'Sensitivity &amp; Scenarios'!$C$6*((1+$E909)^1-(1+$E909)^0))*'Sensitivity &amp; Scenarios'!$C$18/(1+$C909)^'Sensitivity &amp; Scenarios'!$C$18+('Sensitivity &amp; Scenarios'!$C$6*(1+$E909)^2*$G909+'Sensitivity &amp; Scenarios'!$C$11*'Sensitivity &amp; Scenarios'!$C$6*((1+$E909)^2-(1+$E909)^1))/(1+$C909)^('Sensitivity &amp; Scenarios'!$C$18+1)+('Sensitivity &amp; Scenarios'!$C$6*(1+$E909)^3*$G909+'Sensitivity &amp; Scenarios'!$C$11*'Sensitivity &amp; Scenarios'!$C$6*((1+$E909)^3-(1+$E909)^2))/(1+$C909)^('Sensitivity &amp; Scenarios'!$C$18+2)+('Sensitivity &amp; Scenarios'!$C$6*(1+$E909)^4*$G909+'Sensitivity &amp; Scenarios'!$C$11*'Sensitivity &amp; Scenarios'!$C$6*((1+$E909)^4-(1+$E909)^3))/(1+$C909)^('Sensitivity &amp; Scenarios'!$C$18+3)+('Sensitivity &amp; Scenarios'!$C$6*(1+$E909)^5*$G909+'Sensitivity &amp; Scenarios'!$C$11*'Sensitivity &amp; Scenarios'!$C$6*((1+$E909)^5-(1+$E909)^4))/(1+$C909)^('Sensitivity &amp; Scenarios'!$C$18+4)</f>
        <v>23875.464299539941</v>
      </c>
      <c r="I909" s="209">
        <f>('Sensitivity &amp; Scenarios'!$C$6*(1+$E909)^5*$G909+'Sensitivity &amp; Scenarios'!$C$11*'Sensitivity &amp; Scenarios'!$C$6*((1+$E909)^5-(1+$E909)^4))*(1+$D909)/($C909-$D909)/(1+$C909)^('Sensitivity &amp; Scenarios'!$C$18+4)</f>
        <v>84245.64346220775</v>
      </c>
      <c r="J909" s="209">
        <f>($H909+$I909-'Sensitivity &amp; Scenarios'!$C$15+'Sensitivity &amp; Scenarios'!$C$16)/'Sensitivity &amp; Scenarios'!$C$17</f>
        <v>2562.378177434492</v>
      </c>
    </row>
    <row r="910" spans="2:10" x14ac:dyDescent="0.3">
      <c r="B910" s="127">
        <v>880</v>
      </c>
      <c r="C910" s="206">
        <f>$D$7+0.446461*$E$7</f>
        <v>0.14201686943997799</v>
      </c>
      <c r="D910" s="206">
        <f>MIN($D$8+-0.060092*$E$8,'Debt &amp; Cost of Capital'!$C$38)</f>
        <v>5.4639448E-2</v>
      </c>
      <c r="E910" s="207">
        <f>$D$9+0.012579*$E$9</f>
        <v>0.16759846770254633</v>
      </c>
      <c r="F910" s="207">
        <f>$D$10+0.656819*$E$10</f>
        <v>0.15288182799999991</v>
      </c>
      <c r="G910" s="208">
        <f>$F910*(1-'Sensitivity &amp; Scenarios'!$C$12)+'Sensitivity &amp; Scenarios'!$C$9*'Sensitivity &amp; Scenarios'!$C$12-'Sensitivity &amp; Scenarios'!$C$10</f>
        <v>8.3596889980864647E-2</v>
      </c>
      <c r="H910" s="209">
        <f>('Sensitivity &amp; Scenarios'!$C$6*(1+$E910)^1*$G910+'Sensitivity &amp; Scenarios'!$C$11*'Sensitivity &amp; Scenarios'!$C$6*((1+$E910)^1-(1+$E910)^0))*'Sensitivity &amp; Scenarios'!$C$18/(1+$C910)^'Sensitivity &amp; Scenarios'!$C$18+('Sensitivity &amp; Scenarios'!$C$6*(1+$E910)^2*$G910+'Sensitivity &amp; Scenarios'!$C$11*'Sensitivity &amp; Scenarios'!$C$6*((1+$E910)^2-(1+$E910)^1))/(1+$C910)^('Sensitivity &amp; Scenarios'!$C$18+1)+('Sensitivity &amp; Scenarios'!$C$6*(1+$E910)^3*$G910+'Sensitivity &amp; Scenarios'!$C$11*'Sensitivity &amp; Scenarios'!$C$6*((1+$E910)^3-(1+$E910)^2))/(1+$C910)^('Sensitivity &amp; Scenarios'!$C$18+2)+('Sensitivity &amp; Scenarios'!$C$6*(1+$E910)^4*$G910+'Sensitivity &amp; Scenarios'!$C$11*'Sensitivity &amp; Scenarios'!$C$6*((1+$E910)^4-(1+$E910)^3))/(1+$C910)^('Sensitivity &amp; Scenarios'!$C$18+3)+('Sensitivity &amp; Scenarios'!$C$6*(1+$E910)^5*$G910+'Sensitivity &amp; Scenarios'!$C$11*'Sensitivity &amp; Scenarios'!$C$6*((1+$E910)^5-(1+$E910)^4))/(1+$C910)^('Sensitivity &amp; Scenarios'!$C$18+4)</f>
        <v>24519.831027198587</v>
      </c>
      <c r="I910" s="209">
        <f>('Sensitivity &amp; Scenarios'!$C$6*(1+$E910)^5*$G910+'Sensitivity &amp; Scenarios'!$C$11*'Sensitivity &amp; Scenarios'!$C$6*((1+$E910)^5-(1+$E910)^4))*(1+$D910)/($C910-$D910)/(1+$C910)^('Sensitivity &amp; Scenarios'!$C$18+4)</f>
        <v>66511.286632893767</v>
      </c>
      <c r="J910" s="209">
        <f>($H910+$I910-'Sensitivity &amp; Scenarios'!$C$15+'Sensitivity &amp; Scenarios'!$C$16)/'Sensitivity &amp; Scenarios'!$C$17</f>
        <v>2202.6547983132918</v>
      </c>
    </row>
    <row r="911" spans="2:10" x14ac:dyDescent="0.3">
      <c r="B911" s="127">
        <v>881</v>
      </c>
      <c r="C911" s="206">
        <f>$D$7+-0.727368*$E$7</f>
        <v>0.13027857943997798</v>
      </c>
      <c r="D911" s="206">
        <f>MIN($D$8+0.040336*$E$8,'Debt &amp; Cost of Capital'!$C$38)</f>
        <v>5.5242015999999998E-2</v>
      </c>
      <c r="E911" s="207">
        <f>$D$9+-0.312268*$E$9</f>
        <v>0.15785305770254635</v>
      </c>
      <c r="F911" s="207">
        <f>$D$10+-1.585603*$E$10</f>
        <v>0.1259727639999999</v>
      </c>
      <c r="G911" s="208">
        <f>$F911*(1-'Sensitivity &amp; Scenarios'!$C$12)+'Sensitivity &amp; Scenarios'!$C$9*'Sensitivity &amp; Scenarios'!$C$12-'Sensitivity &amp; Scenarios'!$C$10</f>
        <v>6.346083738966464E-2</v>
      </c>
      <c r="H911" s="209">
        <f>('Sensitivity &amp; Scenarios'!$C$6*(1+$E911)^1*$G911+'Sensitivity &amp; Scenarios'!$C$11*'Sensitivity &amp; Scenarios'!$C$6*((1+$E911)^1-(1+$E911)^0))*'Sensitivity &amp; Scenarios'!$C$18/(1+$C911)^'Sensitivity &amp; Scenarios'!$C$18+('Sensitivity &amp; Scenarios'!$C$6*(1+$E911)^2*$G911+'Sensitivity &amp; Scenarios'!$C$11*'Sensitivity &amp; Scenarios'!$C$6*((1+$E911)^2-(1+$E911)^1))/(1+$C911)^('Sensitivity &amp; Scenarios'!$C$18+1)+('Sensitivity &amp; Scenarios'!$C$6*(1+$E911)^3*$G911+'Sensitivity &amp; Scenarios'!$C$11*'Sensitivity &amp; Scenarios'!$C$6*((1+$E911)^3-(1+$E911)^2))/(1+$C911)^('Sensitivity &amp; Scenarios'!$C$18+2)+('Sensitivity &amp; Scenarios'!$C$6*(1+$E911)^4*$G911+'Sensitivity &amp; Scenarios'!$C$11*'Sensitivity &amp; Scenarios'!$C$6*((1+$E911)^4-(1+$E911)^3))/(1+$C911)^('Sensitivity &amp; Scenarios'!$C$18+3)+('Sensitivity &amp; Scenarios'!$C$6*(1+$E911)^5*$G911+'Sensitivity &amp; Scenarios'!$C$11*'Sensitivity &amp; Scenarios'!$C$6*((1+$E911)^5-(1+$E911)^4))/(1+$C911)^('Sensitivity &amp; Scenarios'!$C$18+4)</f>
        <v>19403.843026822076</v>
      </c>
      <c r="I911" s="209">
        <f>('Sensitivity &amp; Scenarios'!$C$6*(1+$E911)^5*$G911+'Sensitivity &amp; Scenarios'!$C$11*'Sensitivity &amp; Scenarios'!$C$6*((1+$E911)^5-(1+$E911)^4))*(1+$D911)/($C911-$D911)/(1+$C911)^('Sensitivity &amp; Scenarios'!$C$18+4)</f>
        <v>61540.941298623926</v>
      </c>
      <c r="J911" s="209">
        <f>($H911+$I911-'Sensitivity &amp; Scenarios'!$C$15+'Sensitivity &amp; Scenarios'!$C$16)/'Sensitivity &amp; Scenarios'!$C$17</f>
        <v>1990.3498239686699</v>
      </c>
    </row>
    <row r="912" spans="2:10" x14ac:dyDescent="0.3">
      <c r="B912" s="127">
        <v>882</v>
      </c>
      <c r="C912" s="206">
        <f>$D$7+-0.920456*$E$7</f>
        <v>0.12834769943997798</v>
      </c>
      <c r="D912" s="206">
        <f>MIN($D$8+1.568206*$E$8,'Debt &amp; Cost of Capital'!$C$38)</f>
        <v>6.4409235999999995E-2</v>
      </c>
      <c r="E912" s="207">
        <f>$D$9+0.384723*$E$9</f>
        <v>0.17876278770254633</v>
      </c>
      <c r="F912" s="207">
        <f>$D$10+-1.323588*$E$10</f>
        <v>0.1291169439999999</v>
      </c>
      <c r="G912" s="208">
        <f>$F912*(1-'Sensitivity &amp; Scenarios'!$C$12)+'Sensitivity &amp; Scenarios'!$C$9*'Sensitivity &amp; Scenarios'!$C$12-'Sensitivity &amp; Scenarios'!$C$10</f>
        <v>6.5813627283664633E-2</v>
      </c>
      <c r="H912" s="209">
        <f>('Sensitivity &amp; Scenarios'!$C$6*(1+$E912)^1*$G912+'Sensitivity &amp; Scenarios'!$C$11*'Sensitivity &amp; Scenarios'!$C$6*((1+$E912)^1-(1+$E912)^0))*'Sensitivity &amp; Scenarios'!$C$18/(1+$C912)^'Sensitivity &amp; Scenarios'!$C$18+('Sensitivity &amp; Scenarios'!$C$6*(1+$E912)^2*$G912+'Sensitivity &amp; Scenarios'!$C$11*'Sensitivity &amp; Scenarios'!$C$6*((1+$E912)^2-(1+$E912)^1))/(1+$C912)^('Sensitivity &amp; Scenarios'!$C$18+1)+('Sensitivity &amp; Scenarios'!$C$6*(1+$E912)^3*$G912+'Sensitivity &amp; Scenarios'!$C$11*'Sensitivity &amp; Scenarios'!$C$6*((1+$E912)^3-(1+$E912)^2))/(1+$C912)^('Sensitivity &amp; Scenarios'!$C$18+2)+('Sensitivity &amp; Scenarios'!$C$6*(1+$E912)^4*$G912+'Sensitivity &amp; Scenarios'!$C$11*'Sensitivity &amp; Scenarios'!$C$6*((1+$E912)^4-(1+$E912)^3))/(1+$C912)^('Sensitivity &amp; Scenarios'!$C$18+3)+('Sensitivity &amp; Scenarios'!$C$6*(1+$E912)^5*$G912+'Sensitivity &amp; Scenarios'!$C$11*'Sensitivity &amp; Scenarios'!$C$6*((1+$E912)^5-(1+$E912)^4))/(1+$C912)^('Sensitivity &amp; Scenarios'!$C$18+4)</f>
        <v>21718.524088505335</v>
      </c>
      <c r="I912" s="209">
        <f>('Sensitivity &amp; Scenarios'!$C$6*(1+$E912)^5*$G912+'Sensitivity &amp; Scenarios'!$C$11*'Sensitivity &amp; Scenarios'!$C$6*((1+$E912)^5-(1+$E912)^4))*(1+$D912)/($C912-$D912)/(1+$C912)^('Sensitivity &amp; Scenarios'!$C$18+4)</f>
        <v>84436.921043745941</v>
      </c>
      <c r="J912" s="209">
        <f>($H912+$I912-'Sensitivity &amp; Scenarios'!$C$15+'Sensitivity &amp; Scenarios'!$C$16)/'Sensitivity &amp; Scenarios'!$C$17</f>
        <v>2521.003384407185</v>
      </c>
    </row>
    <row r="913" spans="2:10" x14ac:dyDescent="0.3">
      <c r="B913" s="127">
        <v>883</v>
      </c>
      <c r="C913" s="206">
        <f>$D$7+-1.540354*$E$7</f>
        <v>0.12214871943997799</v>
      </c>
      <c r="D913" s="206">
        <f>MIN($D$8+-0.112164*$E$8,'Debt &amp; Cost of Capital'!$C$38)</f>
        <v>5.4327015999999999E-2</v>
      </c>
      <c r="E913" s="207">
        <f>$D$9+1.561187*$E$9</f>
        <v>0.21405670770254634</v>
      </c>
      <c r="F913" s="207">
        <f>$D$10+-0.186758*$E$10</f>
        <v>0.14275890399999991</v>
      </c>
      <c r="G913" s="208">
        <f>$F913*(1-'Sensitivity &amp; Scenarios'!$C$12)+'Sensitivity &amp; Scenarios'!$C$9*'Sensitivity &amp; Scenarios'!$C$12-'Sensitivity &amp; Scenarios'!$C$10</f>
        <v>7.6021905951664637E-2</v>
      </c>
      <c r="H913" s="209">
        <f>('Sensitivity &amp; Scenarios'!$C$6*(1+$E913)^1*$G913+'Sensitivity &amp; Scenarios'!$C$11*'Sensitivity &amp; Scenarios'!$C$6*((1+$E913)^1-(1+$E913)^0))*'Sensitivity &amp; Scenarios'!$C$18/(1+$C913)^'Sensitivity &amp; Scenarios'!$C$18+('Sensitivity &amp; Scenarios'!$C$6*(1+$E913)^2*$G913+'Sensitivity &amp; Scenarios'!$C$11*'Sensitivity &amp; Scenarios'!$C$6*((1+$E913)^2-(1+$E913)^1))/(1+$C913)^('Sensitivity &amp; Scenarios'!$C$18+1)+('Sensitivity &amp; Scenarios'!$C$6*(1+$E913)^3*$G913+'Sensitivity &amp; Scenarios'!$C$11*'Sensitivity &amp; Scenarios'!$C$6*((1+$E913)^3-(1+$E913)^2))/(1+$C913)^('Sensitivity &amp; Scenarios'!$C$18+2)+('Sensitivity &amp; Scenarios'!$C$6*(1+$E913)^4*$G913+'Sensitivity &amp; Scenarios'!$C$11*'Sensitivity &amp; Scenarios'!$C$6*((1+$E913)^4-(1+$E913)^3))/(1+$C913)^('Sensitivity &amp; Scenarios'!$C$18+3)+('Sensitivity &amp; Scenarios'!$C$6*(1+$E913)^5*$G913+'Sensitivity &amp; Scenarios'!$C$11*'Sensitivity &amp; Scenarios'!$C$6*((1+$E913)^5-(1+$E913)^4))/(1+$C913)^('Sensitivity &amp; Scenarios'!$C$18+4)</f>
        <v>28109.447033210221</v>
      </c>
      <c r="I913" s="209">
        <f>('Sensitivity &amp; Scenarios'!$C$6*(1+$E913)^5*$G913+'Sensitivity &amp; Scenarios'!$C$11*'Sensitivity &amp; Scenarios'!$C$6*((1+$E913)^5-(1+$E913)^4))*(1+$D913)/($C913-$D913)/(1+$C913)^('Sensitivity &amp; Scenarios'!$C$18+4)</f>
        <v>108426.02862963872</v>
      </c>
      <c r="J913" s="209">
        <f>($H913+$I913-'Sensitivity &amp; Scenarios'!$C$15+'Sensitivity &amp; Scenarios'!$C$16)/'Sensitivity &amp; Scenarios'!$C$17</f>
        <v>3160.4658519257164</v>
      </c>
    </row>
    <row r="914" spans="2:10" x14ac:dyDescent="0.3">
      <c r="B914" s="127">
        <v>884</v>
      </c>
      <c r="C914" s="206">
        <f>$D$7+1.307*$E$7</f>
        <v>0.15062225943997798</v>
      </c>
      <c r="D914" s="206">
        <f>MIN($D$8+0.351931*$E$8,'Debt &amp; Cost of Capital'!$C$38)</f>
        <v>5.7111585999999999E-2</v>
      </c>
      <c r="E914" s="207">
        <f>$D$9+0.47125*$E$9</f>
        <v>0.18135859770254634</v>
      </c>
      <c r="F914" s="207">
        <f>$D$10+-1.335721*$E$10</f>
        <v>0.1289713479999999</v>
      </c>
      <c r="G914" s="208">
        <f>$F914*(1-'Sensitivity &amp; Scenarios'!$C$12)+'Sensitivity &amp; Scenarios'!$C$9*'Sensitivity &amp; Scenarios'!$C$12-'Sensitivity &amp; Scenarios'!$C$10</f>
        <v>6.5704677796864633E-2</v>
      </c>
      <c r="H914" s="209">
        <f>('Sensitivity &amp; Scenarios'!$C$6*(1+$E914)^1*$G914+'Sensitivity &amp; Scenarios'!$C$11*'Sensitivity &amp; Scenarios'!$C$6*((1+$E914)^1-(1+$E914)^0))*'Sensitivity &amp; Scenarios'!$C$18/(1+$C914)^'Sensitivity &amp; Scenarios'!$C$18+('Sensitivity &amp; Scenarios'!$C$6*(1+$E914)^2*$G914+'Sensitivity &amp; Scenarios'!$C$11*'Sensitivity &amp; Scenarios'!$C$6*((1+$E914)^2-(1+$E914)^1))/(1+$C914)^('Sensitivity &amp; Scenarios'!$C$18+1)+('Sensitivity &amp; Scenarios'!$C$6*(1+$E914)^3*$G914+'Sensitivity &amp; Scenarios'!$C$11*'Sensitivity &amp; Scenarios'!$C$6*((1+$E914)^3-(1+$E914)^2))/(1+$C914)^('Sensitivity &amp; Scenarios'!$C$18+2)+('Sensitivity &amp; Scenarios'!$C$6*(1+$E914)^4*$G914+'Sensitivity &amp; Scenarios'!$C$11*'Sensitivity &amp; Scenarios'!$C$6*((1+$E914)^4-(1+$E914)^3))/(1+$C914)^('Sensitivity &amp; Scenarios'!$C$18+3)+('Sensitivity &amp; Scenarios'!$C$6*(1+$E914)^5*$G914+'Sensitivity &amp; Scenarios'!$C$11*'Sensitivity &amp; Scenarios'!$C$6*((1+$E914)^5-(1+$E914)^4))/(1+$C914)^('Sensitivity &amp; Scenarios'!$C$18+4)</f>
        <v>20709.850881784223</v>
      </c>
      <c r="I914" s="209">
        <f>('Sensitivity &amp; Scenarios'!$C$6*(1+$E914)^5*$G914+'Sensitivity &amp; Scenarios'!$C$11*'Sensitivity &amp; Scenarios'!$C$6*((1+$E914)^5-(1+$E914)^4))*(1+$D914)/($C914-$D914)/(1+$C914)^('Sensitivity &amp; Scenarios'!$C$18+4)</f>
        <v>53014.60800903356</v>
      </c>
      <c r="J914" s="209">
        <f>($H914+$I914-'Sensitivity &amp; Scenarios'!$C$15+'Sensitivity &amp; Scenarios'!$C$16)/'Sensitivity &amp; Scenarios'!$C$17</f>
        <v>1838.3708088697883</v>
      </c>
    </row>
    <row r="915" spans="2:10" x14ac:dyDescent="0.3">
      <c r="B915" s="127">
        <v>885</v>
      </c>
      <c r="C915" s="206">
        <f>$D$7+0.937523*$E$7</f>
        <v>0.14692748943997799</v>
      </c>
      <c r="D915" s="206">
        <f>MIN($D$8+-0.334932*$E$8,'Debt &amp; Cost of Capital'!$C$38)</f>
        <v>5.2990408000000003E-2</v>
      </c>
      <c r="E915" s="207">
        <f>$D$9+0.863092*$E$9</f>
        <v>0.19311385770254633</v>
      </c>
      <c r="F915" s="207">
        <f>$D$10+-0.81417*$E$10</f>
        <v>0.1352299599999999</v>
      </c>
      <c r="G915" s="208">
        <f>$F915*(1-'Sensitivity &amp; Scenarios'!$C$12)+'Sensitivity &amp; Scenarios'!$C$9*'Sensitivity &amp; Scenarios'!$C$12-'Sensitivity &amp; Scenarios'!$C$10</f>
        <v>7.0387997156464627E-2</v>
      </c>
      <c r="H915" s="209">
        <f>('Sensitivity &amp; Scenarios'!$C$6*(1+$E915)^1*$G915+'Sensitivity &amp; Scenarios'!$C$11*'Sensitivity &amp; Scenarios'!$C$6*((1+$E915)^1-(1+$E915)^0))*'Sensitivity &amp; Scenarios'!$C$18/(1+$C915)^'Sensitivity &amp; Scenarios'!$C$18+('Sensitivity &amp; Scenarios'!$C$6*(1+$E915)^2*$G915+'Sensitivity &amp; Scenarios'!$C$11*'Sensitivity &amp; Scenarios'!$C$6*((1+$E915)^2-(1+$E915)^1))/(1+$C915)^('Sensitivity &amp; Scenarios'!$C$18+1)+('Sensitivity &amp; Scenarios'!$C$6*(1+$E915)^3*$G915+'Sensitivity &amp; Scenarios'!$C$11*'Sensitivity &amp; Scenarios'!$C$6*((1+$E915)^3-(1+$E915)^2))/(1+$C915)^('Sensitivity &amp; Scenarios'!$C$18+2)+('Sensitivity &amp; Scenarios'!$C$6*(1+$E915)^4*$G915+'Sensitivity &amp; Scenarios'!$C$11*'Sensitivity &amp; Scenarios'!$C$6*((1+$E915)^4-(1+$E915)^3))/(1+$C915)^('Sensitivity &amp; Scenarios'!$C$18+3)+('Sensitivity &amp; Scenarios'!$C$6*(1+$E915)^5*$G915+'Sensitivity &amp; Scenarios'!$C$11*'Sensitivity &amp; Scenarios'!$C$6*((1+$E915)^5-(1+$E915)^4))/(1+$C915)^('Sensitivity &amp; Scenarios'!$C$18+4)</f>
        <v>23040.539435019291</v>
      </c>
      <c r="I915" s="209">
        <f>('Sensitivity &amp; Scenarios'!$C$6*(1+$E915)^5*$G915+'Sensitivity &amp; Scenarios'!$C$11*'Sensitivity &amp; Scenarios'!$C$6*((1+$E915)^5-(1+$E915)^4))*(1+$D915)/($C915-$D915)/(1+$C915)^('Sensitivity &amp; Scenarios'!$C$18+4)</f>
        <v>59867.366212944646</v>
      </c>
      <c r="J915" s="209">
        <f>($H915+$I915-'Sensitivity &amp; Scenarios'!$C$15+'Sensitivity &amp; Scenarios'!$C$16)/'Sensitivity &amp; Scenarios'!$C$17</f>
        <v>2031.6711255938021</v>
      </c>
    </row>
    <row r="916" spans="2:10" x14ac:dyDescent="0.3">
      <c r="B916" s="127">
        <v>886</v>
      </c>
      <c r="C916" s="206">
        <f>$D$7+0.177049*$E$7</f>
        <v>0.13932274943997799</v>
      </c>
      <c r="D916" s="206">
        <f>MIN($D$8+0.352003*$E$8,'Debt &amp; Cost of Capital'!$C$38)</f>
        <v>5.7112018000000001E-2</v>
      </c>
      <c r="E916" s="207">
        <f>$D$9+-0.154033*$E$9</f>
        <v>0.16260010770254635</v>
      </c>
      <c r="F916" s="207">
        <f>$D$10+0.404545*$E$10</f>
        <v>0.1498545399999999</v>
      </c>
      <c r="G916" s="208">
        <f>$F916*(1-'Sensitivity &amp; Scenarios'!$C$12)+'Sensitivity &amp; Scenarios'!$C$9*'Sensitivity &amp; Scenarios'!$C$12-'Sensitivity &amp; Scenarios'!$C$10</f>
        <v>8.1331570370464623E-2</v>
      </c>
      <c r="H916" s="209">
        <f>('Sensitivity &amp; Scenarios'!$C$6*(1+$E916)^1*$G916+'Sensitivity &amp; Scenarios'!$C$11*'Sensitivity &amp; Scenarios'!$C$6*((1+$E916)^1-(1+$E916)^0))*'Sensitivity &amp; Scenarios'!$C$18/(1+$C916)^'Sensitivity &amp; Scenarios'!$C$18+('Sensitivity &amp; Scenarios'!$C$6*(1+$E916)^2*$G916+'Sensitivity &amp; Scenarios'!$C$11*'Sensitivity &amp; Scenarios'!$C$6*((1+$E916)^2-(1+$E916)^1))/(1+$C916)^('Sensitivity &amp; Scenarios'!$C$18+1)+('Sensitivity &amp; Scenarios'!$C$6*(1+$E916)^3*$G916+'Sensitivity &amp; Scenarios'!$C$11*'Sensitivity &amp; Scenarios'!$C$6*((1+$E916)^3-(1+$E916)^2))/(1+$C916)^('Sensitivity &amp; Scenarios'!$C$18+2)+('Sensitivity &amp; Scenarios'!$C$6*(1+$E916)^4*$G916+'Sensitivity &amp; Scenarios'!$C$11*'Sensitivity &amp; Scenarios'!$C$6*((1+$E916)^4-(1+$E916)^3))/(1+$C916)^('Sensitivity &amp; Scenarios'!$C$18+3)+('Sensitivity &amp; Scenarios'!$C$6*(1+$E916)^5*$G916+'Sensitivity &amp; Scenarios'!$C$11*'Sensitivity &amp; Scenarios'!$C$6*((1+$E916)^5-(1+$E916)^4))/(1+$C916)^('Sensitivity &amp; Scenarios'!$C$18+4)</f>
        <v>23693.833520307555</v>
      </c>
      <c r="I916" s="209">
        <f>('Sensitivity &amp; Scenarios'!$C$6*(1+$E916)^5*$G916+'Sensitivity &amp; Scenarios'!$C$11*'Sensitivity &amp; Scenarios'!$C$6*((1+$E916)^5-(1+$E916)^4))*(1+$D916)/($C916-$D916)/(1+$C916)^('Sensitivity &amp; Scenarios'!$C$18+4)</f>
        <v>68232.455772502479</v>
      </c>
      <c r="J916" s="209">
        <f>($H916+$I916-'Sensitivity &amp; Scenarios'!$C$15+'Sensitivity &amp; Scenarios'!$C$16)/'Sensitivity &amp; Scenarios'!$C$17</f>
        <v>2221.4970657867793</v>
      </c>
    </row>
    <row r="917" spans="2:10" x14ac:dyDescent="0.3">
      <c r="B917" s="127">
        <v>887</v>
      </c>
      <c r="C917" s="206">
        <f>$D$7+-0.266397*$E$7</f>
        <v>0.13488828943997799</v>
      </c>
      <c r="D917" s="206">
        <f>MIN($D$8+-0.64906*$E$8,'Debt &amp; Cost of Capital'!$C$38)</f>
        <v>5.1105640000000001E-2</v>
      </c>
      <c r="E917" s="207">
        <f>$D$9+1.605483*$E$9</f>
        <v>0.21538558770254634</v>
      </c>
      <c r="F917" s="207">
        <f>$D$10+1.048953*$E$10</f>
        <v>0.15758743599999991</v>
      </c>
      <c r="G917" s="208">
        <f>$F917*(1-'Sensitivity &amp; Scenarios'!$C$12)+'Sensitivity &amp; Scenarios'!$C$9*'Sensitivity &amp; Scenarios'!$C$12-'Sensitivity &amp; Scenarios'!$C$10</f>
        <v>8.7118096447264648E-2</v>
      </c>
      <c r="H917" s="209">
        <f>('Sensitivity &amp; Scenarios'!$C$6*(1+$E917)^1*$G917+'Sensitivity &amp; Scenarios'!$C$11*'Sensitivity &amp; Scenarios'!$C$6*((1+$E917)^1-(1+$E917)^0))*'Sensitivity &amp; Scenarios'!$C$18/(1+$C917)^'Sensitivity &amp; Scenarios'!$C$18+('Sensitivity &amp; Scenarios'!$C$6*(1+$E917)^2*$G917+'Sensitivity &amp; Scenarios'!$C$11*'Sensitivity &amp; Scenarios'!$C$6*((1+$E917)^2-(1+$E917)^1))/(1+$C917)^('Sensitivity &amp; Scenarios'!$C$18+1)+('Sensitivity &amp; Scenarios'!$C$6*(1+$E917)^3*$G917+'Sensitivity &amp; Scenarios'!$C$11*'Sensitivity &amp; Scenarios'!$C$6*((1+$E917)^3-(1+$E917)^2))/(1+$C917)^('Sensitivity &amp; Scenarios'!$C$18+2)+('Sensitivity &amp; Scenarios'!$C$6*(1+$E917)^4*$G917+'Sensitivity &amp; Scenarios'!$C$11*'Sensitivity &amp; Scenarios'!$C$6*((1+$E917)^4-(1+$E917)^3))/(1+$C917)^('Sensitivity &amp; Scenarios'!$C$18+3)+('Sensitivity &amp; Scenarios'!$C$6*(1+$E917)^5*$G917+'Sensitivity &amp; Scenarios'!$C$11*'Sensitivity &amp; Scenarios'!$C$6*((1+$E917)^5-(1+$E917)^4))/(1+$C917)^('Sensitivity &amp; Scenarios'!$C$18+4)</f>
        <v>30497.28353612158</v>
      </c>
      <c r="I917" s="209">
        <f>('Sensitivity &amp; Scenarios'!$C$6*(1+$E917)^5*$G917+'Sensitivity &amp; Scenarios'!$C$11*'Sensitivity &amp; Scenarios'!$C$6*((1+$E917)^5-(1+$E917)^4))*(1+$D917)/($C917-$D917)/(1+$C917)^('Sensitivity &amp; Scenarios'!$C$18+4)</f>
        <v>93295.93506567445</v>
      </c>
      <c r="J917" s="209">
        <f>($H917+$I917-'Sensitivity &amp; Scenarios'!$C$15+'Sensitivity &amp; Scenarios'!$C$16)/'Sensitivity &amp; Scenarios'!$C$17</f>
        <v>2892.2569331160475</v>
      </c>
    </row>
    <row r="918" spans="2:10" x14ac:dyDescent="0.3">
      <c r="B918" s="127">
        <v>888</v>
      </c>
      <c r="C918" s="206">
        <f>$D$7+-0.760865*$E$7</f>
        <v>0.12994360943997799</v>
      </c>
      <c r="D918" s="206">
        <f>MIN($D$8+0.568444*$E$8,'Debt &amp; Cost of Capital'!$C$38)</f>
        <v>5.8410664000000001E-2</v>
      </c>
      <c r="E918" s="207">
        <f>$D$9+-0.742679*$E$9</f>
        <v>0.14494072770254635</v>
      </c>
      <c r="F918" s="207">
        <f>$D$10+-1.184685*$E$10</f>
        <v>0.13078377999999991</v>
      </c>
      <c r="G918" s="208">
        <f>$F918*(1-'Sensitivity &amp; Scenarios'!$C$12)+'Sensitivity &amp; Scenarios'!$C$9*'Sensitivity &amp; Scenarios'!$C$12-'Sensitivity &amp; Scenarios'!$C$10</f>
        <v>6.7060920662464635E-2</v>
      </c>
      <c r="H918" s="209">
        <f>('Sensitivity &amp; Scenarios'!$C$6*(1+$E918)^1*$G918+'Sensitivity &amp; Scenarios'!$C$11*'Sensitivity &amp; Scenarios'!$C$6*((1+$E918)^1-(1+$E918)^0))*'Sensitivity &amp; Scenarios'!$C$18/(1+$C918)^'Sensitivity &amp; Scenarios'!$C$18+('Sensitivity &amp; Scenarios'!$C$6*(1+$E918)^2*$G918+'Sensitivity &amp; Scenarios'!$C$11*'Sensitivity &amp; Scenarios'!$C$6*((1+$E918)^2-(1+$E918)^1))/(1+$C918)^('Sensitivity &amp; Scenarios'!$C$18+1)+('Sensitivity &amp; Scenarios'!$C$6*(1+$E918)^3*$G918+'Sensitivity &amp; Scenarios'!$C$11*'Sensitivity &amp; Scenarios'!$C$6*((1+$E918)^3-(1+$E918)^2))/(1+$C918)^('Sensitivity &amp; Scenarios'!$C$18+2)+('Sensitivity &amp; Scenarios'!$C$6*(1+$E918)^4*$G918+'Sensitivity &amp; Scenarios'!$C$11*'Sensitivity &amp; Scenarios'!$C$6*((1+$E918)^4-(1+$E918)^3))/(1+$C918)^('Sensitivity &amp; Scenarios'!$C$18+3)+('Sensitivity &amp; Scenarios'!$C$6*(1+$E918)^5*$G918+'Sensitivity &amp; Scenarios'!$C$11*'Sensitivity &amp; Scenarios'!$C$6*((1+$E918)^5-(1+$E918)^4))/(1+$C918)^('Sensitivity &amp; Scenarios'!$C$18+4)</f>
        <v>19341.041190204094</v>
      </c>
      <c r="I918" s="209">
        <f>('Sensitivity &amp; Scenarios'!$C$6*(1+$E918)^5*$G918+'Sensitivity &amp; Scenarios'!$C$11*'Sensitivity &amp; Scenarios'!$C$6*((1+$E918)^5-(1+$E918)^4))*(1+$D918)/($C918-$D918)/(1+$C918)^('Sensitivity &amp; Scenarios'!$C$18+4)</f>
        <v>63278.127053297474</v>
      </c>
      <c r="J918" s="209">
        <f>($H918+$I918-'Sensitivity &amp; Scenarios'!$C$15+'Sensitivity &amp; Scenarios'!$C$16)/'Sensitivity &amp; Scenarios'!$C$17</f>
        <v>2025.593556549346</v>
      </c>
    </row>
    <row r="919" spans="2:10" x14ac:dyDescent="0.3">
      <c r="B919" s="127">
        <v>889</v>
      </c>
      <c r="C919" s="206">
        <f>$D$7+1.033809*$E$7</f>
        <v>0.14789034943997797</v>
      </c>
      <c r="D919" s="206">
        <f>MIN($D$8+-1.7041*$E$8,'Debt &amp; Cost of Capital'!$C$38)</f>
        <v>4.47754E-2</v>
      </c>
      <c r="E919" s="207">
        <f>$D$9+0.926856*$E$9</f>
        <v>0.19502677770254634</v>
      </c>
      <c r="F919" s="207">
        <f>$D$10+-0.252722*$E$10</f>
        <v>0.14196733599999992</v>
      </c>
      <c r="G919" s="208">
        <f>$F919*(1-'Sensitivity &amp; Scenarios'!$C$12)+'Sensitivity &amp; Scenarios'!$C$9*'Sensitivity &amp; Scenarios'!$C$12-'Sensitivity &amp; Scenarios'!$C$10</f>
        <v>7.5429575617264641E-2</v>
      </c>
      <c r="H919" s="209">
        <f>('Sensitivity &amp; Scenarios'!$C$6*(1+$E919)^1*$G919+'Sensitivity &amp; Scenarios'!$C$11*'Sensitivity &amp; Scenarios'!$C$6*((1+$E919)^1-(1+$E919)^0))*'Sensitivity &amp; Scenarios'!$C$18/(1+$C919)^'Sensitivity &amp; Scenarios'!$C$18+('Sensitivity &amp; Scenarios'!$C$6*(1+$E919)^2*$G919+'Sensitivity &amp; Scenarios'!$C$11*'Sensitivity &amp; Scenarios'!$C$6*((1+$E919)^2-(1+$E919)^1))/(1+$C919)^('Sensitivity &amp; Scenarios'!$C$18+1)+('Sensitivity &amp; Scenarios'!$C$6*(1+$E919)^3*$G919+'Sensitivity &amp; Scenarios'!$C$11*'Sensitivity &amp; Scenarios'!$C$6*((1+$E919)^3-(1+$E919)^2))/(1+$C919)^('Sensitivity &amp; Scenarios'!$C$18+2)+('Sensitivity &amp; Scenarios'!$C$6*(1+$E919)^4*$G919+'Sensitivity &amp; Scenarios'!$C$11*'Sensitivity &amp; Scenarios'!$C$6*((1+$E919)^4-(1+$E919)^3))/(1+$C919)^('Sensitivity &amp; Scenarios'!$C$18+3)+('Sensitivity &amp; Scenarios'!$C$6*(1+$E919)^5*$G919+'Sensitivity &amp; Scenarios'!$C$11*'Sensitivity &amp; Scenarios'!$C$6*((1+$E919)^5-(1+$E919)^4))/(1+$C919)^('Sensitivity &amp; Scenarios'!$C$18+4)</f>
        <v>24463.960475920474</v>
      </c>
      <c r="I919" s="209">
        <f>('Sensitivity &amp; Scenarios'!$C$6*(1+$E919)^5*$G919+'Sensitivity &amp; Scenarios'!$C$11*'Sensitivity &amp; Scenarios'!$C$6*((1+$E919)^5-(1+$E919)^4))*(1+$D919)/($C919-$D919)/(1+$C919)^('Sensitivity &amp; Scenarios'!$C$18+4)</f>
        <v>57533.979953642913</v>
      </c>
      <c r="J919" s="209">
        <f>($H919+$I919-'Sensitivity &amp; Scenarios'!$C$15+'Sensitivity &amp; Scenarios'!$C$16)/'Sensitivity &amp; Scenarios'!$C$17</f>
        <v>2012.517471244166</v>
      </c>
    </row>
    <row r="920" spans="2:10" x14ac:dyDescent="0.3">
      <c r="B920" s="127">
        <v>890</v>
      </c>
      <c r="C920" s="206">
        <f>$D$7+-0.211547*$E$7</f>
        <v>0.13543678943997797</v>
      </c>
      <c r="D920" s="206">
        <f>MIN($D$8+0.409751*$E$8,'Debt &amp; Cost of Capital'!$C$38)</f>
        <v>5.7458505999999999E-2</v>
      </c>
      <c r="E920" s="207">
        <f>$D$9+0.581199*$E$9</f>
        <v>0.18465706770254633</v>
      </c>
      <c r="F920" s="207">
        <f>$D$10+-0.826343*$E$10</f>
        <v>0.1350838839999999</v>
      </c>
      <c r="G920" s="208">
        <f>$F920*(1-'Sensitivity &amp; Scenarios'!$C$12)+'Sensitivity &amp; Scenarios'!$C$9*'Sensitivity &amp; Scenarios'!$C$12-'Sensitivity &amp; Scenarios'!$C$10</f>
        <v>7.0278688485664639E-2</v>
      </c>
      <c r="H920" s="209">
        <f>('Sensitivity &amp; Scenarios'!$C$6*(1+$E920)^1*$G920+'Sensitivity &amp; Scenarios'!$C$11*'Sensitivity &amp; Scenarios'!$C$6*((1+$E920)^1-(1+$E920)^0))*'Sensitivity &amp; Scenarios'!$C$18/(1+$C920)^'Sensitivity &amp; Scenarios'!$C$18+('Sensitivity &amp; Scenarios'!$C$6*(1+$E920)^2*$G920+'Sensitivity &amp; Scenarios'!$C$11*'Sensitivity &amp; Scenarios'!$C$6*((1+$E920)^2-(1+$E920)^1))/(1+$C920)^('Sensitivity &amp; Scenarios'!$C$18+1)+('Sensitivity &amp; Scenarios'!$C$6*(1+$E920)^3*$G920+'Sensitivity &amp; Scenarios'!$C$11*'Sensitivity &amp; Scenarios'!$C$6*((1+$E920)^3-(1+$E920)^2))/(1+$C920)^('Sensitivity &amp; Scenarios'!$C$18+2)+('Sensitivity &amp; Scenarios'!$C$6*(1+$E920)^4*$G920+'Sensitivity &amp; Scenarios'!$C$11*'Sensitivity &amp; Scenarios'!$C$6*((1+$E920)^4-(1+$E920)^3))/(1+$C920)^('Sensitivity &amp; Scenarios'!$C$18+3)+('Sensitivity &amp; Scenarios'!$C$6*(1+$E920)^5*$G920+'Sensitivity &amp; Scenarios'!$C$11*'Sensitivity &amp; Scenarios'!$C$6*((1+$E920)^5-(1+$E920)^4))/(1+$C920)^('Sensitivity &amp; Scenarios'!$C$18+4)</f>
        <v>22974.249825224277</v>
      </c>
      <c r="I920" s="209">
        <f>('Sensitivity &amp; Scenarios'!$C$6*(1+$E920)^5*$G920+'Sensitivity &amp; Scenarios'!$C$11*'Sensitivity &amp; Scenarios'!$C$6*((1+$E920)^5-(1+$E920)^4))*(1+$D920)/($C920-$D920)/(1+$C920)^('Sensitivity &amp; Scenarios'!$C$18+4)</f>
        <v>72595.554370900936</v>
      </c>
      <c r="J920" s="209">
        <f>($H920+$I920-'Sensitivity &amp; Scenarios'!$C$15+'Sensitivity &amp; Scenarios'!$C$16)/'Sensitivity &amp; Scenarios'!$C$17</f>
        <v>2298.1885960394529</v>
      </c>
    </row>
    <row r="921" spans="2:10" x14ac:dyDescent="0.3">
      <c r="B921" s="127">
        <v>891</v>
      </c>
      <c r="C921" s="206">
        <f>$D$7+0.717726*$E$7</f>
        <v>0.14472951943997797</v>
      </c>
      <c r="D921" s="206">
        <f>MIN($D$8+0.113371*$E$8,'Debt &amp; Cost of Capital'!$C$38)</f>
        <v>5.5680225999999999E-2</v>
      </c>
      <c r="E921" s="207">
        <f>$D$9+-1.256055*$E$9</f>
        <v>0.12953944770254633</v>
      </c>
      <c r="F921" s="207">
        <f>$D$10+-0.169874*$E$10</f>
        <v>0.1429615119999999</v>
      </c>
      <c r="G921" s="208">
        <f>$F921*(1-'Sensitivity &amp; Scenarios'!$C$12)+'Sensitivity &amp; Scenarios'!$C$9*'Sensitivity &amp; Scenarios'!$C$12-'Sensitivity &amp; Scenarios'!$C$10</f>
        <v>7.6173517518064629E-2</v>
      </c>
      <c r="H921" s="209">
        <f>('Sensitivity &amp; Scenarios'!$C$6*(1+$E921)^1*$G921+'Sensitivity &amp; Scenarios'!$C$11*'Sensitivity &amp; Scenarios'!$C$6*((1+$E921)^1-(1+$E921)^0))*'Sensitivity &amp; Scenarios'!$C$18/(1+$C921)^'Sensitivity &amp; Scenarios'!$C$18+('Sensitivity &amp; Scenarios'!$C$6*(1+$E921)^2*$G921+'Sensitivity &amp; Scenarios'!$C$11*'Sensitivity &amp; Scenarios'!$C$6*((1+$E921)^2-(1+$E921)^1))/(1+$C921)^('Sensitivity &amp; Scenarios'!$C$18+1)+('Sensitivity &amp; Scenarios'!$C$6*(1+$E921)^3*$G921+'Sensitivity &amp; Scenarios'!$C$11*'Sensitivity &amp; Scenarios'!$C$6*((1+$E921)^3-(1+$E921)^2))/(1+$C921)^('Sensitivity &amp; Scenarios'!$C$18+2)+('Sensitivity &amp; Scenarios'!$C$6*(1+$E921)^4*$G921+'Sensitivity &amp; Scenarios'!$C$11*'Sensitivity &amp; Scenarios'!$C$6*((1+$E921)^4-(1+$E921)^3))/(1+$C921)^('Sensitivity &amp; Scenarios'!$C$18+3)+('Sensitivity &amp; Scenarios'!$C$6*(1+$E921)^5*$G921+'Sensitivity &amp; Scenarios'!$C$11*'Sensitivity &amp; Scenarios'!$C$6*((1+$E921)^5-(1+$E921)^4))/(1+$C921)^('Sensitivity &amp; Scenarios'!$C$18+4)</f>
        <v>19592.584886177458</v>
      </c>
      <c r="I921" s="209">
        <f>('Sensitivity &amp; Scenarios'!$C$6*(1+$E921)^5*$G921+'Sensitivity &amp; Scenarios'!$C$11*'Sensitivity &amp; Scenarios'!$C$6*((1+$E921)^5-(1+$E921)^4))*(1+$D921)/($C921-$D921)/(1+$C921)^('Sensitivity &amp; Scenarios'!$C$18+4)</f>
        <v>48909.021664889078</v>
      </c>
      <c r="J921" s="209">
        <f>($H921+$I921-'Sensitivity &amp; Scenarios'!$C$15+'Sensitivity &amp; Scenarios'!$C$16)/'Sensitivity &amp; Scenarios'!$C$17</f>
        <v>1728.4361581689434</v>
      </c>
    </row>
    <row r="922" spans="2:10" x14ac:dyDescent="0.3">
      <c r="B922" s="127">
        <v>892</v>
      </c>
      <c r="C922" s="206">
        <f>$D$7+1.381279*$E$7</f>
        <v>0.15136504943997797</v>
      </c>
      <c r="D922" s="206">
        <f>MIN($D$8+1.676595*$E$8,'Debt &amp; Cost of Capital'!$C$38)</f>
        <v>6.5059569999999997E-2</v>
      </c>
      <c r="E922" s="207">
        <f>$D$9+0.717348*$E$9</f>
        <v>0.18874153770254634</v>
      </c>
      <c r="F922" s="207">
        <f>$D$10+-1.190343*$E$10</f>
        <v>0.13071588399999989</v>
      </c>
      <c r="G922" s="208">
        <f>$F922*(1-'Sensitivity &amp; Scenarios'!$C$12)+'Sensitivity &amp; Scenarios'!$C$9*'Sensitivity &amp; Scenarios'!$C$12-'Sensitivity &amp; Scenarios'!$C$10</f>
        <v>6.7010114085664624E-2</v>
      </c>
      <c r="H922" s="209">
        <f>('Sensitivity &amp; Scenarios'!$C$6*(1+$E922)^1*$G922+'Sensitivity &amp; Scenarios'!$C$11*'Sensitivity &amp; Scenarios'!$C$6*((1+$E922)^1-(1+$E922)^0))*'Sensitivity &amp; Scenarios'!$C$18/(1+$C922)^'Sensitivity &amp; Scenarios'!$C$18+('Sensitivity &amp; Scenarios'!$C$6*(1+$E922)^2*$G922+'Sensitivity &amp; Scenarios'!$C$11*'Sensitivity &amp; Scenarios'!$C$6*((1+$E922)^2-(1+$E922)^1))/(1+$C922)^('Sensitivity &amp; Scenarios'!$C$18+1)+('Sensitivity &amp; Scenarios'!$C$6*(1+$E922)^3*$G922+'Sensitivity &amp; Scenarios'!$C$11*'Sensitivity &amp; Scenarios'!$C$6*((1+$E922)^3-(1+$E922)^2))/(1+$C922)^('Sensitivity &amp; Scenarios'!$C$18+2)+('Sensitivity &amp; Scenarios'!$C$6*(1+$E922)^4*$G922+'Sensitivity &amp; Scenarios'!$C$11*'Sensitivity &amp; Scenarios'!$C$6*((1+$E922)^4-(1+$E922)^3))/(1+$C922)^('Sensitivity &amp; Scenarios'!$C$18+3)+('Sensitivity &amp; Scenarios'!$C$6*(1+$E922)^5*$G922+'Sensitivity &amp; Scenarios'!$C$11*'Sensitivity &amp; Scenarios'!$C$6*((1+$E922)^5-(1+$E922)^4))/(1+$C922)^('Sensitivity &amp; Scenarios'!$C$18+4)</f>
        <v>21570.625530006851</v>
      </c>
      <c r="I922" s="209">
        <f>('Sensitivity &amp; Scenarios'!$C$6*(1+$E922)^5*$G922+'Sensitivity &amp; Scenarios'!$C$11*'Sensitivity &amp; Scenarios'!$C$6*((1+$E922)^5-(1+$E922)^4))*(1+$D922)/($C922-$D922)/(1+$C922)^('Sensitivity &amp; Scenarios'!$C$18+4)</f>
        <v>60882.922467691933</v>
      </c>
      <c r="J922" s="209">
        <f>($H922+$I922-'Sensitivity &amp; Scenarios'!$C$15+'Sensitivity &amp; Scenarios'!$C$16)/'Sensitivity &amp; Scenarios'!$C$17</f>
        <v>2022.1074530398246</v>
      </c>
    </row>
    <row r="923" spans="2:10" x14ac:dyDescent="0.3">
      <c r="B923" s="127">
        <v>893</v>
      </c>
      <c r="C923" s="206">
        <f>$D$7+0.490607*$E$7</f>
        <v>0.14245832943997799</v>
      </c>
      <c r="D923" s="206">
        <f>MIN($D$8+0.850861*$E$8,'Debt &amp; Cost of Capital'!$C$38)</f>
        <v>6.0105166000000002E-2</v>
      </c>
      <c r="E923" s="207">
        <f>$D$9+0.725708*$E$9</f>
        <v>0.18899233770254634</v>
      </c>
      <c r="F923" s="207">
        <f>$D$10+0.784954*$E$10</f>
        <v>0.1544194479999999</v>
      </c>
      <c r="G923" s="208">
        <f>$F923*(1-'Sensitivity &amp; Scenarios'!$C$12)+'Sensitivity &amp; Scenarios'!$C$9*'Sensitivity &amp; Scenarios'!$C$12-'Sensitivity &amp; Scenarios'!$C$10</f>
        <v>8.474749102686463E-2</v>
      </c>
      <c r="H923" s="209">
        <f>('Sensitivity &amp; Scenarios'!$C$6*(1+$E923)^1*$G923+'Sensitivity &amp; Scenarios'!$C$11*'Sensitivity &amp; Scenarios'!$C$6*((1+$E923)^1-(1+$E923)^0))*'Sensitivity &amp; Scenarios'!$C$18/(1+$C923)^'Sensitivity &amp; Scenarios'!$C$18+('Sensitivity &amp; Scenarios'!$C$6*(1+$E923)^2*$G923+'Sensitivity &amp; Scenarios'!$C$11*'Sensitivity &amp; Scenarios'!$C$6*((1+$E923)^2-(1+$E923)^1))/(1+$C923)^('Sensitivity &amp; Scenarios'!$C$18+1)+('Sensitivity &amp; Scenarios'!$C$6*(1+$E923)^3*$G923+'Sensitivity &amp; Scenarios'!$C$11*'Sensitivity &amp; Scenarios'!$C$6*((1+$E923)^3-(1+$E923)^2))/(1+$C923)^('Sensitivity &amp; Scenarios'!$C$18+2)+('Sensitivity &amp; Scenarios'!$C$6*(1+$E923)^4*$G923+'Sensitivity &amp; Scenarios'!$C$11*'Sensitivity &amp; Scenarios'!$C$6*((1+$E923)^4-(1+$E923)^3))/(1+$C923)^('Sensitivity &amp; Scenarios'!$C$18+3)+('Sensitivity &amp; Scenarios'!$C$6*(1+$E923)^5*$G923+'Sensitivity &amp; Scenarios'!$C$11*'Sensitivity &amp; Scenarios'!$C$6*((1+$E923)^5-(1+$E923)^4))/(1+$C923)^('Sensitivity &amp; Scenarios'!$C$18+4)</f>
        <v>26708.526198719152</v>
      </c>
      <c r="I923" s="209">
        <f>('Sensitivity &amp; Scenarios'!$C$6*(1+$E923)^5*$G923+'Sensitivity &amp; Scenarios'!$C$11*'Sensitivity &amp; Scenarios'!$C$6*((1+$E923)^5-(1+$E923)^4))*(1+$D923)/($C923-$D923)/(1+$C923)^('Sensitivity &amp; Scenarios'!$C$18+4)</f>
        <v>79757.192424322056</v>
      </c>
      <c r="J923" s="209">
        <f>($H923+$I923-'Sensitivity &amp; Scenarios'!$C$15+'Sensitivity &amp; Scenarios'!$C$16)/'Sensitivity &amp; Scenarios'!$C$17</f>
        <v>2527.5342617157603</v>
      </c>
    </row>
    <row r="924" spans="2:10" x14ac:dyDescent="0.3">
      <c r="B924" s="127">
        <v>894</v>
      </c>
      <c r="C924" s="206">
        <f>$D$7+0.363263*$E$7</f>
        <v>0.14118488943997798</v>
      </c>
      <c r="D924" s="206">
        <f>MIN($D$8+-0.072412*$E$8,'Debt &amp; Cost of Capital'!$C$38)</f>
        <v>5.4565528000000002E-2</v>
      </c>
      <c r="E924" s="207">
        <f>$D$9+-0.608367*$E$9</f>
        <v>0.14897008770254633</v>
      </c>
      <c r="F924" s="207">
        <f>$D$10+-1.897936*$E$10</f>
        <v>0.1222247679999999</v>
      </c>
      <c r="G924" s="208">
        <f>$F924*(1-'Sensitivity &amp; Scenarios'!$C$12)+'Sensitivity &amp; Scenarios'!$C$9*'Sensitivity &amp; Scenarios'!$C$12-'Sensitivity &amp; Scenarios'!$C$10</f>
        <v>6.0656211982864638E-2</v>
      </c>
      <c r="H924" s="209">
        <f>('Sensitivity &amp; Scenarios'!$C$6*(1+$E924)^1*$G924+'Sensitivity &amp; Scenarios'!$C$11*'Sensitivity &amp; Scenarios'!$C$6*((1+$E924)^1-(1+$E924)^0))*'Sensitivity &amp; Scenarios'!$C$18/(1+$C924)^'Sensitivity &amp; Scenarios'!$C$18+('Sensitivity &amp; Scenarios'!$C$6*(1+$E924)^2*$G924+'Sensitivity &amp; Scenarios'!$C$11*'Sensitivity &amp; Scenarios'!$C$6*((1+$E924)^2-(1+$E924)^1))/(1+$C924)^('Sensitivity &amp; Scenarios'!$C$18+1)+('Sensitivity &amp; Scenarios'!$C$6*(1+$E924)^3*$G924+'Sensitivity &amp; Scenarios'!$C$11*'Sensitivity &amp; Scenarios'!$C$6*((1+$E924)^3-(1+$E924)^2))/(1+$C924)^('Sensitivity &amp; Scenarios'!$C$18+2)+('Sensitivity &amp; Scenarios'!$C$6*(1+$E924)^4*$G924+'Sensitivity &amp; Scenarios'!$C$11*'Sensitivity &amp; Scenarios'!$C$6*((1+$E924)^4-(1+$E924)^3))/(1+$C924)^('Sensitivity &amp; Scenarios'!$C$18+3)+('Sensitivity &amp; Scenarios'!$C$6*(1+$E924)^5*$G924+'Sensitivity &amp; Scenarios'!$C$11*'Sensitivity &amp; Scenarios'!$C$6*((1+$E924)^5-(1+$E924)^4))/(1+$C924)^('Sensitivity &amp; Scenarios'!$C$18+4)</f>
        <v>17596.459442175474</v>
      </c>
      <c r="I924" s="209">
        <f>('Sensitivity &amp; Scenarios'!$C$6*(1+$E924)^5*$G924+'Sensitivity &amp; Scenarios'!$C$11*'Sensitivity &amp; Scenarios'!$C$6*((1+$E924)^5-(1+$E924)^4))*(1+$D924)/($C924-$D924)/(1+$C924)^('Sensitivity &amp; Scenarios'!$C$18+4)</f>
        <v>46822.260026272408</v>
      </c>
      <c r="J924" s="209">
        <f>($H924+$I924-'Sensitivity &amp; Scenarios'!$C$15+'Sensitivity &amp; Scenarios'!$C$16)/'Sensitivity &amp; Scenarios'!$C$17</f>
        <v>1642.4963811887553</v>
      </c>
    </row>
    <row r="925" spans="2:10" x14ac:dyDescent="0.3">
      <c r="B925" s="127">
        <v>895</v>
      </c>
      <c r="C925" s="206">
        <f>$D$7+0.339642*$E$7</f>
        <v>0.14094867943997799</v>
      </c>
      <c r="D925" s="206">
        <f>MIN($D$8+0.186053*$E$8,'Debt &amp; Cost of Capital'!$C$38)</f>
        <v>5.6116317999999998E-2</v>
      </c>
      <c r="E925" s="207">
        <f>$D$9+0.557576*$E$9</f>
        <v>0.18394837770254635</v>
      </c>
      <c r="F925" s="207">
        <f>$D$10+-1.337544*$E$10</f>
        <v>0.1289494719999999</v>
      </c>
      <c r="G925" s="208">
        <f>$F925*(1-'Sensitivity &amp; Scenarios'!$C$12)+'Sensitivity &amp; Scenarios'!$C$9*'Sensitivity &amp; Scenarios'!$C$12-'Sensitivity &amp; Scenarios'!$C$10</f>
        <v>6.5688307986064634E-2</v>
      </c>
      <c r="H925" s="209">
        <f>('Sensitivity &amp; Scenarios'!$C$6*(1+$E925)^1*$G925+'Sensitivity &amp; Scenarios'!$C$11*'Sensitivity &amp; Scenarios'!$C$6*((1+$E925)^1-(1+$E925)^0))*'Sensitivity &amp; Scenarios'!$C$18/(1+$C925)^'Sensitivity &amp; Scenarios'!$C$18+('Sensitivity &amp; Scenarios'!$C$6*(1+$E925)^2*$G925+'Sensitivity &amp; Scenarios'!$C$11*'Sensitivity &amp; Scenarios'!$C$6*((1+$E925)^2-(1+$E925)^1))/(1+$C925)^('Sensitivity &amp; Scenarios'!$C$18+1)+('Sensitivity &amp; Scenarios'!$C$6*(1+$E925)^3*$G925+'Sensitivity &amp; Scenarios'!$C$11*'Sensitivity &amp; Scenarios'!$C$6*((1+$E925)^3-(1+$E925)^2))/(1+$C925)^('Sensitivity &amp; Scenarios'!$C$18+2)+('Sensitivity &amp; Scenarios'!$C$6*(1+$E925)^4*$G925+'Sensitivity &amp; Scenarios'!$C$11*'Sensitivity &amp; Scenarios'!$C$6*((1+$E925)^4-(1+$E925)^3))/(1+$C925)^('Sensitivity &amp; Scenarios'!$C$18+3)+('Sensitivity &amp; Scenarios'!$C$6*(1+$E925)^5*$G925+'Sensitivity &amp; Scenarios'!$C$11*'Sensitivity &amp; Scenarios'!$C$6*((1+$E925)^5-(1+$E925)^4))/(1+$C925)^('Sensitivity &amp; Scenarios'!$C$18+4)</f>
        <v>21412.363431050755</v>
      </c>
      <c r="I925" s="209">
        <f>('Sensitivity &amp; Scenarios'!$C$6*(1+$E925)^5*$G925+'Sensitivity &amp; Scenarios'!$C$11*'Sensitivity &amp; Scenarios'!$C$6*((1+$E925)^5-(1+$E925)^4))*(1+$D925)/($C925-$D925)/(1+$C925)^('Sensitivity &amp; Scenarios'!$C$18+4)</f>
        <v>61519.415834977415</v>
      </c>
      <c r="J925" s="209">
        <f>($H925+$I925-'Sensitivity &amp; Scenarios'!$C$15+'Sensitivity &amp; Scenarios'!$C$16)/'Sensitivity &amp; Scenarios'!$C$17</f>
        <v>2032.1736360406096</v>
      </c>
    </row>
    <row r="926" spans="2:10" x14ac:dyDescent="0.3">
      <c r="B926" s="127">
        <v>896</v>
      </c>
      <c r="C926" s="206">
        <f>$D$7+0.645017*$E$7</f>
        <v>0.14400242943997799</v>
      </c>
      <c r="D926" s="206">
        <f>MIN($D$8+2.054545*$E$8,'Debt &amp; Cost of Capital'!$C$38)</f>
        <v>6.7327269999999995E-2</v>
      </c>
      <c r="E926" s="207">
        <f>$D$9+0.07845*$E$9</f>
        <v>0.16957459770254635</v>
      </c>
      <c r="F926" s="207">
        <f>$D$10+-0.061665*$E$10</f>
        <v>0.14426001999999991</v>
      </c>
      <c r="G926" s="208">
        <f>$F926*(1-'Sensitivity &amp; Scenarios'!$C$12)+'Sensitivity &amp; Scenarios'!$C$9*'Sensitivity &amp; Scenarios'!$C$12-'Sensitivity &amp; Scenarios'!$C$10</f>
        <v>7.7145191054464629E-2</v>
      </c>
      <c r="H926" s="209">
        <f>('Sensitivity &amp; Scenarios'!$C$6*(1+$E926)^1*$G926+'Sensitivity &amp; Scenarios'!$C$11*'Sensitivity &amp; Scenarios'!$C$6*((1+$E926)^1-(1+$E926)^0))*'Sensitivity &amp; Scenarios'!$C$18/(1+$C926)^'Sensitivity &amp; Scenarios'!$C$18+('Sensitivity &amp; Scenarios'!$C$6*(1+$E926)^2*$G926+'Sensitivity &amp; Scenarios'!$C$11*'Sensitivity &amp; Scenarios'!$C$6*((1+$E926)^2-(1+$E926)^1))/(1+$C926)^('Sensitivity &amp; Scenarios'!$C$18+1)+('Sensitivity &amp; Scenarios'!$C$6*(1+$E926)^3*$G926+'Sensitivity &amp; Scenarios'!$C$11*'Sensitivity &amp; Scenarios'!$C$6*((1+$E926)^3-(1+$E926)^2))/(1+$C926)^('Sensitivity &amp; Scenarios'!$C$18+2)+('Sensitivity &amp; Scenarios'!$C$6*(1+$E926)^4*$G926+'Sensitivity &amp; Scenarios'!$C$11*'Sensitivity &amp; Scenarios'!$C$6*((1+$E926)^4-(1+$E926)^3))/(1+$C926)^('Sensitivity &amp; Scenarios'!$C$18+3)+('Sensitivity &amp; Scenarios'!$C$6*(1+$E926)^5*$G926+'Sensitivity &amp; Scenarios'!$C$11*'Sensitivity &amp; Scenarios'!$C$6*((1+$E926)^5-(1+$E926)^4))/(1+$C926)^('Sensitivity &amp; Scenarios'!$C$18+4)</f>
        <v>22978.654463864852</v>
      </c>
      <c r="I926" s="209">
        <f>('Sensitivity &amp; Scenarios'!$C$6*(1+$E926)^5*$G926+'Sensitivity &amp; Scenarios'!$C$11*'Sensitivity &amp; Scenarios'!$C$6*((1+$E926)^5-(1+$E926)^4))*(1+$D926)/($C926-$D926)/(1+$C926)^('Sensitivity &amp; Scenarios'!$C$18+4)</f>
        <v>71879.416574119503</v>
      </c>
      <c r="J926" s="209">
        <f>($H926+$I926-'Sensitivity &amp; Scenarios'!$C$15+'Sensitivity &amp; Scenarios'!$C$16)/'Sensitivity &amp; Scenarios'!$C$17</f>
        <v>2283.2074839875368</v>
      </c>
    </row>
    <row r="927" spans="2:10" x14ac:dyDescent="0.3">
      <c r="B927" s="127">
        <v>897</v>
      </c>
      <c r="C927" s="206">
        <f>$D$7+0.309002*$E$7</f>
        <v>0.14064227943997798</v>
      </c>
      <c r="D927" s="206">
        <f>MIN($D$8+2.032337*$E$8,'Debt &amp; Cost of Capital'!$C$38)</f>
        <v>6.7194022000000006E-2</v>
      </c>
      <c r="E927" s="207">
        <f>$D$9+-1.023648*$E$9</f>
        <v>0.13651165770254634</v>
      </c>
      <c r="F927" s="207">
        <f>$D$10+0.203207*$E$10</f>
        <v>0.1474384839999999</v>
      </c>
      <c r="G927" s="208">
        <f>$F927*(1-'Sensitivity &amp; Scenarios'!$C$12)+'Sensitivity &amp; Scenarios'!$C$9*'Sensitivity &amp; Scenarios'!$C$12-'Sensitivity &amp; Scenarios'!$C$10</f>
        <v>7.952363566566463E-2</v>
      </c>
      <c r="H927" s="209">
        <f>('Sensitivity &amp; Scenarios'!$C$6*(1+$E927)^1*$G927+'Sensitivity &amp; Scenarios'!$C$11*'Sensitivity &amp; Scenarios'!$C$6*((1+$E927)^1-(1+$E927)^0))*'Sensitivity &amp; Scenarios'!$C$18/(1+$C927)^'Sensitivity &amp; Scenarios'!$C$18+('Sensitivity &amp; Scenarios'!$C$6*(1+$E927)^2*$G927+'Sensitivity &amp; Scenarios'!$C$11*'Sensitivity &amp; Scenarios'!$C$6*((1+$E927)^2-(1+$E927)^1))/(1+$C927)^('Sensitivity &amp; Scenarios'!$C$18+1)+('Sensitivity &amp; Scenarios'!$C$6*(1+$E927)^3*$G927+'Sensitivity &amp; Scenarios'!$C$11*'Sensitivity &amp; Scenarios'!$C$6*((1+$E927)^3-(1+$E927)^2))/(1+$C927)^('Sensitivity &amp; Scenarios'!$C$18+2)+('Sensitivity &amp; Scenarios'!$C$6*(1+$E927)^4*$G927+'Sensitivity &amp; Scenarios'!$C$11*'Sensitivity &amp; Scenarios'!$C$6*((1+$E927)^4-(1+$E927)^3))/(1+$C927)^('Sensitivity &amp; Scenarios'!$C$18+3)+('Sensitivity &amp; Scenarios'!$C$6*(1+$E927)^5*$G927+'Sensitivity &amp; Scenarios'!$C$11*'Sensitivity &amp; Scenarios'!$C$6*((1+$E927)^5-(1+$E927)^4))/(1+$C927)^('Sensitivity &amp; Scenarios'!$C$18+4)</f>
        <v>21071.503158287691</v>
      </c>
      <c r="I927" s="209">
        <f>('Sensitivity &amp; Scenarios'!$C$6*(1+$E927)^5*$G927+'Sensitivity &amp; Scenarios'!$C$11*'Sensitivity &amp; Scenarios'!$C$6*((1+$E927)^5-(1+$E927)^4))*(1+$D927)/($C927-$D927)/(1+$C927)^('Sensitivity &amp; Scenarios'!$C$18+4)</f>
        <v>65644.755452847472</v>
      </c>
      <c r="J927" s="209">
        <f>($H927+$I927-'Sensitivity &amp; Scenarios'!$C$15+'Sensitivity &amp; Scenarios'!$C$16)/'Sensitivity &amp; Scenarios'!$C$17</f>
        <v>2111.8322952989556</v>
      </c>
    </row>
    <row r="928" spans="2:10" x14ac:dyDescent="0.3">
      <c r="B928" s="127">
        <v>898</v>
      </c>
      <c r="C928" s="206">
        <f>$D$7+-0.799657*$E$7</f>
        <v>0.12955568943997797</v>
      </c>
      <c r="D928" s="206">
        <f>MIN($D$8+-0.547005*$E$8,'Debt &amp; Cost of Capital'!$C$38)</f>
        <v>5.1717970000000002E-2</v>
      </c>
      <c r="E928" s="207">
        <f>$D$9+-0.04959*$E$9</f>
        <v>0.16573339770254633</v>
      </c>
      <c r="F928" s="207">
        <f>$D$10+1.347323*$E$10</f>
        <v>0.1611678759999999</v>
      </c>
      <c r="G928" s="208">
        <f>$F928*(1-'Sensitivity &amp; Scenarios'!$C$12)+'Sensitivity &amp; Scenarios'!$C$9*'Sensitivity &amp; Scenarios'!$C$12-'Sensitivity &amp; Scenarios'!$C$10</f>
        <v>8.9797339699264636E-2</v>
      </c>
      <c r="H928" s="209">
        <f>('Sensitivity &amp; Scenarios'!$C$6*(1+$E928)^1*$G928+'Sensitivity &amp; Scenarios'!$C$11*'Sensitivity &amp; Scenarios'!$C$6*((1+$E928)^1-(1+$E928)^0))*'Sensitivity &amp; Scenarios'!$C$18/(1+$C928)^'Sensitivity &amp; Scenarios'!$C$18+('Sensitivity &amp; Scenarios'!$C$6*(1+$E928)^2*$G928+'Sensitivity &amp; Scenarios'!$C$11*'Sensitivity &amp; Scenarios'!$C$6*((1+$E928)^2-(1+$E928)^1))/(1+$C928)^('Sensitivity &amp; Scenarios'!$C$18+1)+('Sensitivity &amp; Scenarios'!$C$6*(1+$E928)^3*$G928+'Sensitivity &amp; Scenarios'!$C$11*'Sensitivity &amp; Scenarios'!$C$6*((1+$E928)^3-(1+$E928)^2))/(1+$C928)^('Sensitivity &amp; Scenarios'!$C$18+2)+('Sensitivity &amp; Scenarios'!$C$6*(1+$E928)^4*$G928+'Sensitivity &amp; Scenarios'!$C$11*'Sensitivity &amp; Scenarios'!$C$6*((1+$E928)^4-(1+$E928)^3))/(1+$C928)^('Sensitivity &amp; Scenarios'!$C$18+3)+('Sensitivity &amp; Scenarios'!$C$6*(1+$E928)^5*$G928+'Sensitivity &amp; Scenarios'!$C$11*'Sensitivity &amp; Scenarios'!$C$6*((1+$E928)^5-(1+$E928)^4))/(1+$C928)^('Sensitivity &amp; Scenarios'!$C$18+4)</f>
        <v>26698.422257082006</v>
      </c>
      <c r="I928" s="209">
        <f>('Sensitivity &amp; Scenarios'!$C$6*(1+$E928)^5*$G928+'Sensitivity &amp; Scenarios'!$C$11*'Sensitivity &amp; Scenarios'!$C$6*((1+$E928)^5-(1+$E928)^4))*(1+$D928)/($C928-$D928)/(1+$C928)^('Sensitivity &amp; Scenarios'!$C$18+4)</f>
        <v>82445.296830762687</v>
      </c>
      <c r="J928" s="209">
        <f>($H928+$I928-'Sensitivity &amp; Scenarios'!$C$15+'Sensitivity &amp; Scenarios'!$C$16)/'Sensitivity &amp; Scenarios'!$C$17</f>
        <v>2583.9028945094065</v>
      </c>
    </row>
    <row r="929" spans="2:10" x14ac:dyDescent="0.3">
      <c r="B929" s="127">
        <v>899</v>
      </c>
      <c r="C929" s="206">
        <f>$D$7+1.800991*$E$7</f>
        <v>0.15556216943997797</v>
      </c>
      <c r="D929" s="206">
        <f>MIN($D$8+0.448142*$E$8,'Debt &amp; Cost of Capital'!$C$38)</f>
        <v>5.7688851999999999E-2</v>
      </c>
      <c r="E929" s="207">
        <f>$D$9+-0.376595*$E$9</f>
        <v>0.15592324770254634</v>
      </c>
      <c r="F929" s="207">
        <f>$D$10+2.492739*$E$10</f>
        <v>0.17491286799999992</v>
      </c>
      <c r="G929" s="208">
        <f>$F929*(1-'Sensitivity &amp; Scenarios'!$C$12)+'Sensitivity &amp; Scenarios'!$C$9*'Sensitivity &amp; Scenarios'!$C$12-'Sensitivity &amp; Scenarios'!$C$10</f>
        <v>0.10008271721286463</v>
      </c>
      <c r="H929" s="209">
        <f>('Sensitivity &amp; Scenarios'!$C$6*(1+$E929)^1*$G929+'Sensitivity &amp; Scenarios'!$C$11*'Sensitivity &amp; Scenarios'!$C$6*((1+$E929)^1-(1+$E929)^0))*'Sensitivity &amp; Scenarios'!$C$18/(1+$C929)^'Sensitivity &amp; Scenarios'!$C$18+('Sensitivity &amp; Scenarios'!$C$6*(1+$E929)^2*$G929+'Sensitivity &amp; Scenarios'!$C$11*'Sensitivity &amp; Scenarios'!$C$6*((1+$E929)^2-(1+$E929)^1))/(1+$C929)^('Sensitivity &amp; Scenarios'!$C$18+1)+('Sensitivity &amp; Scenarios'!$C$6*(1+$E929)^3*$G929+'Sensitivity &amp; Scenarios'!$C$11*'Sensitivity &amp; Scenarios'!$C$6*((1+$E929)^3-(1+$E929)^2))/(1+$C929)^('Sensitivity &amp; Scenarios'!$C$18+2)+('Sensitivity &amp; Scenarios'!$C$6*(1+$E929)^4*$G929+'Sensitivity &amp; Scenarios'!$C$11*'Sensitivity &amp; Scenarios'!$C$6*((1+$E929)^4-(1+$E929)^3))/(1+$C929)^('Sensitivity &amp; Scenarios'!$C$18+3)+('Sensitivity &amp; Scenarios'!$C$6*(1+$E929)^5*$G929+'Sensitivity &amp; Scenarios'!$C$11*'Sensitivity &amp; Scenarios'!$C$6*((1+$E929)^5-(1+$E929)^4))/(1+$C929)^('Sensitivity &amp; Scenarios'!$C$18+4)</f>
        <v>26565.380929039635</v>
      </c>
      <c r="I929" s="209">
        <f>('Sensitivity &amp; Scenarios'!$C$6*(1+$E929)^5*$G929+'Sensitivity &amp; Scenarios'!$C$11*'Sensitivity &amp; Scenarios'!$C$6*((1+$E929)^5-(1+$E929)^4))*(1+$D929)/($C929-$D929)/(1+$C929)^('Sensitivity &amp; Scenarios'!$C$18+4)</f>
        <v>62002.434976515367</v>
      </c>
      <c r="J929" s="209">
        <f>($H929+$I929-'Sensitivity &amp; Scenarios'!$C$15+'Sensitivity &amp; Scenarios'!$C$16)/'Sensitivity &amp; Scenarios'!$C$17</f>
        <v>2150.8053106502462</v>
      </c>
    </row>
    <row r="930" spans="2:10" x14ac:dyDescent="0.3">
      <c r="B930" s="127">
        <v>900</v>
      </c>
      <c r="C930" s="206">
        <f>$D$7+-0.427554*$E$7</f>
        <v>0.13327671943997799</v>
      </c>
      <c r="D930" s="206">
        <f>MIN($D$8+-0.571136*$E$8,'Debt &amp; Cost of Capital'!$C$38)</f>
        <v>5.1573184000000001E-2</v>
      </c>
      <c r="E930" s="207">
        <f>$D$9+-1.774943*$E$9</f>
        <v>0.11397280770254634</v>
      </c>
      <c r="F930" s="207">
        <f>$D$10+1.396092*$E$10</f>
        <v>0.1617531039999999</v>
      </c>
      <c r="G930" s="208">
        <f>$F930*(1-'Sensitivity &amp; Scenarios'!$C$12)+'Sensitivity &amp; Scenarios'!$C$9*'Sensitivity &amp; Scenarios'!$C$12-'Sensitivity &amp; Scenarios'!$C$10</f>
        <v>9.0235265811664633E-2</v>
      </c>
      <c r="H930" s="209">
        <f>('Sensitivity &amp; Scenarios'!$C$6*(1+$E930)^1*$G930+'Sensitivity &amp; Scenarios'!$C$11*'Sensitivity &amp; Scenarios'!$C$6*((1+$E930)^1-(1+$E930)^0))*'Sensitivity &amp; Scenarios'!$C$18/(1+$C930)^'Sensitivity &amp; Scenarios'!$C$18+('Sensitivity &amp; Scenarios'!$C$6*(1+$E930)^2*$G930+'Sensitivity &amp; Scenarios'!$C$11*'Sensitivity &amp; Scenarios'!$C$6*((1+$E930)^2-(1+$E930)^1))/(1+$C930)^('Sensitivity &amp; Scenarios'!$C$18+1)+('Sensitivity &amp; Scenarios'!$C$6*(1+$E930)^3*$G930+'Sensitivity &amp; Scenarios'!$C$11*'Sensitivity &amp; Scenarios'!$C$6*((1+$E930)^3-(1+$E930)^2))/(1+$C930)^('Sensitivity &amp; Scenarios'!$C$18+2)+('Sensitivity &amp; Scenarios'!$C$6*(1+$E930)^4*$G930+'Sensitivity &amp; Scenarios'!$C$11*'Sensitivity &amp; Scenarios'!$C$6*((1+$E930)^4-(1+$E930)^3))/(1+$C930)^('Sensitivity &amp; Scenarios'!$C$18+3)+('Sensitivity &amp; Scenarios'!$C$6*(1+$E930)^5*$G930+'Sensitivity &amp; Scenarios'!$C$11*'Sensitivity &amp; Scenarios'!$C$6*((1+$E930)^5-(1+$E930)^4))/(1+$C930)^('Sensitivity &amp; Scenarios'!$C$18+4)</f>
        <v>22047.313512465244</v>
      </c>
      <c r="I930" s="209">
        <f>('Sensitivity &amp; Scenarios'!$C$6*(1+$E930)^5*$G930+'Sensitivity &amp; Scenarios'!$C$11*'Sensitivity &amp; Scenarios'!$C$6*((1+$E930)^5-(1+$E930)^4))*(1+$D930)/($C930-$D930)/(1+$C930)^('Sensitivity &amp; Scenarios'!$C$18+4)</f>
        <v>59326.244339359611</v>
      </c>
      <c r="J930" s="209">
        <f>($H930+$I930-'Sensitivity &amp; Scenarios'!$C$15+'Sensitivity &amp; Scenarios'!$C$16)/'Sensitivity &amp; Scenarios'!$C$17</f>
        <v>1999.3749820213811</v>
      </c>
    </row>
    <row r="931" spans="2:10" x14ac:dyDescent="0.3">
      <c r="B931" s="127">
        <v>901</v>
      </c>
      <c r="C931" s="206">
        <f>$D$7+0.968246*$E$7</f>
        <v>0.14723471943997798</v>
      </c>
      <c r="D931" s="206">
        <f>MIN($D$8+2.417806*$E$8,'Debt &amp; Cost of Capital'!$C$38)</f>
        <v>6.7799999999999999E-2</v>
      </c>
      <c r="E931" s="207">
        <f>$D$9+-1.389523*$E$9</f>
        <v>0.12553540770254634</v>
      </c>
      <c r="F931" s="207">
        <f>$D$10+1.458171*$E$10</f>
        <v>0.16249805199999989</v>
      </c>
      <c r="G931" s="208">
        <f>$F931*(1-'Sensitivity &amp; Scenarios'!$C$12)+'Sensitivity &amp; Scenarios'!$C$9*'Sensitivity &amp; Scenarios'!$C$12-'Sensitivity &amp; Scenarios'!$C$10</f>
        <v>9.0792710400064619E-2</v>
      </c>
      <c r="H931" s="209">
        <f>('Sensitivity &amp; Scenarios'!$C$6*(1+$E931)^1*$G931+'Sensitivity &amp; Scenarios'!$C$11*'Sensitivity &amp; Scenarios'!$C$6*((1+$E931)^1-(1+$E931)^0))*'Sensitivity &amp; Scenarios'!$C$18/(1+$C931)^'Sensitivity &amp; Scenarios'!$C$18+('Sensitivity &amp; Scenarios'!$C$6*(1+$E931)^2*$G931+'Sensitivity &amp; Scenarios'!$C$11*'Sensitivity &amp; Scenarios'!$C$6*((1+$E931)^2-(1+$E931)^1))/(1+$C931)^('Sensitivity &amp; Scenarios'!$C$18+1)+('Sensitivity &amp; Scenarios'!$C$6*(1+$E931)^3*$G931+'Sensitivity &amp; Scenarios'!$C$11*'Sensitivity &amp; Scenarios'!$C$6*((1+$E931)^3-(1+$E931)^2))/(1+$C931)^('Sensitivity &amp; Scenarios'!$C$18+2)+('Sensitivity &amp; Scenarios'!$C$6*(1+$E931)^4*$G931+'Sensitivity &amp; Scenarios'!$C$11*'Sensitivity &amp; Scenarios'!$C$6*((1+$E931)^4-(1+$E931)^3))/(1+$C931)^('Sensitivity &amp; Scenarios'!$C$18+3)+('Sensitivity &amp; Scenarios'!$C$6*(1+$E931)^5*$G931+'Sensitivity &amp; Scenarios'!$C$11*'Sensitivity &amp; Scenarios'!$C$6*((1+$E931)^5-(1+$E931)^4))/(1+$C931)^('Sensitivity &amp; Scenarios'!$C$18+4)</f>
        <v>22355.404964406807</v>
      </c>
      <c r="I931" s="209">
        <f>('Sensitivity &amp; Scenarios'!$C$6*(1+$E931)^5*$G931+'Sensitivity &amp; Scenarios'!$C$11*'Sensitivity &amp; Scenarios'!$C$6*((1+$E931)^5-(1+$E931)^4))*(1+$D931)/($C931-$D931)/(1+$C931)^('Sensitivity &amp; Scenarios'!$C$18+4)</f>
        <v>62603.054065601413</v>
      </c>
      <c r="J931" s="209">
        <f>($H931+$I931-'Sensitivity &amp; Scenarios'!$C$15+'Sensitivity &amp; Scenarios'!$C$16)/'Sensitivity &amp; Scenarios'!$C$17</f>
        <v>2074.8327650839224</v>
      </c>
    </row>
    <row r="932" spans="2:10" x14ac:dyDescent="0.3">
      <c r="B932" s="127">
        <v>902</v>
      </c>
      <c r="C932" s="206">
        <f>$D$7+0.070136*$E$7</f>
        <v>0.13825361943997799</v>
      </c>
      <c r="D932" s="206">
        <f>MIN($D$8+0.8061*$E$8,'Debt &amp; Cost of Capital'!$C$38)</f>
        <v>5.9836600000000004E-2</v>
      </c>
      <c r="E932" s="207">
        <f>$D$9+-1.647777*$E$9</f>
        <v>0.11778778770254633</v>
      </c>
      <c r="F932" s="207">
        <f>$D$10+1.468082*$E$10</f>
        <v>0.16261698399999991</v>
      </c>
      <c r="G932" s="208">
        <f>$F932*(1-'Sensitivity &amp; Scenarios'!$C$12)+'Sensitivity &amp; Scenarios'!$C$9*'Sensitivity &amp; Scenarios'!$C$12-'Sensitivity &amp; Scenarios'!$C$10</f>
        <v>9.0881707215664631E-2</v>
      </c>
      <c r="H932" s="209">
        <f>('Sensitivity &amp; Scenarios'!$C$6*(1+$E932)^1*$G932+'Sensitivity &amp; Scenarios'!$C$11*'Sensitivity &amp; Scenarios'!$C$6*((1+$E932)^1-(1+$E932)^0))*'Sensitivity &amp; Scenarios'!$C$18/(1+$C932)^'Sensitivity &amp; Scenarios'!$C$18+('Sensitivity &amp; Scenarios'!$C$6*(1+$E932)^2*$G932+'Sensitivity &amp; Scenarios'!$C$11*'Sensitivity &amp; Scenarios'!$C$6*((1+$E932)^2-(1+$E932)^1))/(1+$C932)^('Sensitivity &amp; Scenarios'!$C$18+1)+('Sensitivity &amp; Scenarios'!$C$6*(1+$E932)^3*$G932+'Sensitivity &amp; Scenarios'!$C$11*'Sensitivity &amp; Scenarios'!$C$6*((1+$E932)^3-(1+$E932)^2))/(1+$C932)^('Sensitivity &amp; Scenarios'!$C$18+2)+('Sensitivity &amp; Scenarios'!$C$6*(1+$E932)^4*$G932+'Sensitivity &amp; Scenarios'!$C$11*'Sensitivity &amp; Scenarios'!$C$6*((1+$E932)^4-(1+$E932)^3))/(1+$C932)^('Sensitivity &amp; Scenarios'!$C$18+3)+('Sensitivity &amp; Scenarios'!$C$6*(1+$E932)^5*$G932+'Sensitivity &amp; Scenarios'!$C$11*'Sensitivity &amp; Scenarios'!$C$6*((1+$E932)^5-(1+$E932)^4))/(1+$C932)^('Sensitivity &amp; Scenarios'!$C$18+4)</f>
        <v>22229.757640664633</v>
      </c>
      <c r="I932" s="209">
        <f>('Sensitivity &amp; Scenarios'!$C$6*(1+$E932)^5*$G932+'Sensitivity &amp; Scenarios'!$C$11*'Sensitivity &amp; Scenarios'!$C$6*((1+$E932)^5-(1+$E932)^4))*(1+$D932)/($C932-$D932)/(1+$C932)^('Sensitivity &amp; Scenarios'!$C$18+4)</f>
        <v>62700.657174591113</v>
      </c>
      <c r="J932" s="209">
        <f>($H932+$I932-'Sensitivity &amp; Scenarios'!$C$15+'Sensitivity &amp; Scenarios'!$C$16)/'Sensitivity &amp; Scenarios'!$C$17</f>
        <v>2074.2424686802642</v>
      </c>
    </row>
    <row r="933" spans="2:10" x14ac:dyDescent="0.3">
      <c r="B933" s="127">
        <v>903</v>
      </c>
      <c r="C933" s="206">
        <f>$D$7+0.786517*$E$7</f>
        <v>0.14541742943997799</v>
      </c>
      <c r="D933" s="206">
        <f>MIN($D$8+-0.03891*$E$8,'Debt &amp; Cost of Capital'!$C$38)</f>
        <v>5.4766540000000002E-2</v>
      </c>
      <c r="E933" s="207">
        <f>$D$9+0.645113*$E$9</f>
        <v>0.18657448770254634</v>
      </c>
      <c r="F933" s="207">
        <f>$D$10+-0.765495*$E$10</f>
        <v>0.1358140599999999</v>
      </c>
      <c r="G933" s="208">
        <f>$F933*(1-'Sensitivity &amp; Scenarios'!$C$12)+'Sensitivity &amp; Scenarios'!$C$9*'Sensitivity &amp; Scenarios'!$C$12-'Sensitivity &amp; Scenarios'!$C$10</f>
        <v>7.0825079186464635E-2</v>
      </c>
      <c r="H933" s="209">
        <f>('Sensitivity &amp; Scenarios'!$C$6*(1+$E933)^1*$G933+'Sensitivity &amp; Scenarios'!$C$11*'Sensitivity &amp; Scenarios'!$C$6*((1+$E933)^1-(1+$E933)^0))*'Sensitivity &amp; Scenarios'!$C$18/(1+$C933)^'Sensitivity &amp; Scenarios'!$C$18+('Sensitivity &amp; Scenarios'!$C$6*(1+$E933)^2*$G933+'Sensitivity &amp; Scenarios'!$C$11*'Sensitivity &amp; Scenarios'!$C$6*((1+$E933)^2-(1+$E933)^1))/(1+$C933)^('Sensitivity &amp; Scenarios'!$C$18+1)+('Sensitivity &amp; Scenarios'!$C$6*(1+$E933)^3*$G933+'Sensitivity &amp; Scenarios'!$C$11*'Sensitivity &amp; Scenarios'!$C$6*((1+$E933)^3-(1+$E933)^2))/(1+$C933)^('Sensitivity &amp; Scenarios'!$C$18+2)+('Sensitivity &amp; Scenarios'!$C$6*(1+$E933)^4*$G933+'Sensitivity &amp; Scenarios'!$C$11*'Sensitivity &amp; Scenarios'!$C$6*((1+$E933)^4-(1+$E933)^3))/(1+$C933)^('Sensitivity &amp; Scenarios'!$C$18+3)+('Sensitivity &amp; Scenarios'!$C$6*(1+$E933)^5*$G933+'Sensitivity &amp; Scenarios'!$C$11*'Sensitivity &amp; Scenarios'!$C$6*((1+$E933)^5-(1+$E933)^4))/(1+$C933)^('Sensitivity &amp; Scenarios'!$C$18+4)</f>
        <v>22702.730067030243</v>
      </c>
      <c r="I933" s="209">
        <f>('Sensitivity &amp; Scenarios'!$C$6*(1+$E933)^5*$G933+'Sensitivity &amp; Scenarios'!$C$11*'Sensitivity &amp; Scenarios'!$C$6*((1+$E933)^5-(1+$E933)^4))*(1+$D933)/($C933-$D933)/(1+$C933)^('Sensitivity &amp; Scenarios'!$C$18+4)</f>
        <v>60779.006277433509</v>
      </c>
      <c r="J933" s="209">
        <f>($H933+$I933-'Sensitivity &amp; Scenarios'!$C$15+'Sensitivity &amp; Scenarios'!$C$16)/'Sensitivity &amp; Scenarios'!$C$17</f>
        <v>2043.7495595753637</v>
      </c>
    </row>
    <row r="934" spans="2:10" x14ac:dyDescent="0.3">
      <c r="B934" s="127">
        <v>904</v>
      </c>
      <c r="C934" s="206">
        <f>$D$7+-0.57944*$E$7</f>
        <v>0.13175785943997798</v>
      </c>
      <c r="D934" s="206">
        <f>MIN($D$8+-0.463445*$E$8,'Debt &amp; Cost of Capital'!$C$38)</f>
        <v>5.2219330000000001E-2</v>
      </c>
      <c r="E934" s="207">
        <f>$D$9+-1.852728*$E$9</f>
        <v>0.11163925770254635</v>
      </c>
      <c r="F934" s="207">
        <f>$D$10+0.861758*$E$10</f>
        <v>0.1553410959999999</v>
      </c>
      <c r="G934" s="208">
        <f>$F934*(1-'Sensitivity &amp; Scenarios'!$C$12)+'Sensitivity &amp; Scenarios'!$C$9*'Sensitivity &amp; Scenarios'!$C$12-'Sensitivity &amp; Scenarios'!$C$10</f>
        <v>8.5437160225264625E-2</v>
      </c>
      <c r="H934" s="209">
        <f>('Sensitivity &amp; Scenarios'!$C$6*(1+$E934)^1*$G934+'Sensitivity &amp; Scenarios'!$C$11*'Sensitivity &amp; Scenarios'!$C$6*((1+$E934)^1-(1+$E934)^0))*'Sensitivity &amp; Scenarios'!$C$18/(1+$C934)^'Sensitivity &amp; Scenarios'!$C$18+('Sensitivity &amp; Scenarios'!$C$6*(1+$E934)^2*$G934+'Sensitivity &amp; Scenarios'!$C$11*'Sensitivity &amp; Scenarios'!$C$6*((1+$E934)^2-(1+$E934)^1))/(1+$C934)^('Sensitivity &amp; Scenarios'!$C$18+1)+('Sensitivity &amp; Scenarios'!$C$6*(1+$E934)^3*$G934+'Sensitivity &amp; Scenarios'!$C$11*'Sensitivity &amp; Scenarios'!$C$6*((1+$E934)^3-(1+$E934)^2))/(1+$C934)^('Sensitivity &amp; Scenarios'!$C$18+2)+('Sensitivity &amp; Scenarios'!$C$6*(1+$E934)^4*$G934+'Sensitivity &amp; Scenarios'!$C$11*'Sensitivity &amp; Scenarios'!$C$6*((1+$E934)^4-(1+$E934)^3))/(1+$C934)^('Sensitivity &amp; Scenarios'!$C$18+3)+('Sensitivity &amp; Scenarios'!$C$6*(1+$E934)^5*$G934+'Sensitivity &amp; Scenarios'!$C$11*'Sensitivity &amp; Scenarios'!$C$6*((1+$E934)^5-(1+$E934)^4))/(1+$C934)^('Sensitivity &amp; Scenarios'!$C$18+4)</f>
        <v>20900.188137231129</v>
      </c>
      <c r="I934" s="209">
        <f>('Sensitivity &amp; Scenarios'!$C$6*(1+$E934)^5*$G934+'Sensitivity &amp; Scenarios'!$C$11*'Sensitivity &amp; Scenarios'!$C$6*((1+$E934)^5-(1+$E934)^4))*(1+$D934)/($C934-$D934)/(1+$C934)^('Sensitivity &amp; Scenarios'!$C$18+4)</f>
        <v>57724.004618835424</v>
      </c>
      <c r="J934" s="209">
        <f>($H934+$I934-'Sensitivity &amp; Scenarios'!$C$15+'Sensitivity &amp; Scenarios'!$C$16)/'Sensitivity &amp; Scenarios'!$C$17</f>
        <v>1941.5042110729378</v>
      </c>
    </row>
    <row r="935" spans="2:10" x14ac:dyDescent="0.3">
      <c r="B935" s="127">
        <v>905</v>
      </c>
      <c r="C935" s="206">
        <f>$D$7+1.191594*$E$7</f>
        <v>0.14946819943997797</v>
      </c>
      <c r="D935" s="206">
        <f>MIN($D$8+-0.701344*$E$8,'Debt &amp; Cost of Capital'!$C$38)</f>
        <v>5.0791936000000003E-2</v>
      </c>
      <c r="E935" s="207">
        <f>$D$9+0.348203*$E$9</f>
        <v>0.17766718770254633</v>
      </c>
      <c r="F935" s="207">
        <f>$D$10+-0.26554*$E$10</f>
        <v>0.14181351999999992</v>
      </c>
      <c r="G935" s="208">
        <f>$F935*(1-'Sensitivity &amp; Scenarios'!$C$12)+'Sensitivity &amp; Scenarios'!$C$9*'Sensitivity &amp; Scenarios'!$C$12-'Sensitivity &amp; Scenarios'!$C$10</f>
        <v>7.5314475104464637E-2</v>
      </c>
      <c r="H935" s="209">
        <f>('Sensitivity &amp; Scenarios'!$C$6*(1+$E935)^1*$G935+'Sensitivity &amp; Scenarios'!$C$11*'Sensitivity &amp; Scenarios'!$C$6*((1+$E935)^1-(1+$E935)^0))*'Sensitivity &amp; Scenarios'!$C$18/(1+$C935)^'Sensitivity &amp; Scenarios'!$C$18+('Sensitivity &amp; Scenarios'!$C$6*(1+$E935)^2*$G935+'Sensitivity &amp; Scenarios'!$C$11*'Sensitivity &amp; Scenarios'!$C$6*((1+$E935)^2-(1+$E935)^1))/(1+$C935)^('Sensitivity &amp; Scenarios'!$C$18+1)+('Sensitivity &amp; Scenarios'!$C$6*(1+$E935)^3*$G935+'Sensitivity &amp; Scenarios'!$C$11*'Sensitivity &amp; Scenarios'!$C$6*((1+$E935)^3-(1+$E935)^2))/(1+$C935)^('Sensitivity &amp; Scenarios'!$C$18+2)+('Sensitivity &amp; Scenarios'!$C$6*(1+$E935)^4*$G935+'Sensitivity &amp; Scenarios'!$C$11*'Sensitivity &amp; Scenarios'!$C$6*((1+$E935)^4-(1+$E935)^3))/(1+$C935)^('Sensitivity &amp; Scenarios'!$C$18+3)+('Sensitivity &amp; Scenarios'!$C$6*(1+$E935)^5*$G935+'Sensitivity &amp; Scenarios'!$C$11*'Sensitivity &amp; Scenarios'!$C$6*((1+$E935)^5-(1+$E935)^4))/(1+$C935)^('Sensitivity &amp; Scenarios'!$C$18+4)</f>
        <v>22881.416731186939</v>
      </c>
      <c r="I935" s="209">
        <f>('Sensitivity &amp; Scenarios'!$C$6*(1+$E935)^5*$G935+'Sensitivity &amp; Scenarios'!$C$11*'Sensitivity &amp; Scenarios'!$C$6*((1+$E935)^5-(1+$E935)^4))*(1+$D935)/($C935-$D935)/(1+$C935)^('Sensitivity &amp; Scenarios'!$C$18+4)</f>
        <v>54965.204957572954</v>
      </c>
      <c r="J935" s="209">
        <f>($H935+$I935-'Sensitivity &amp; Scenarios'!$C$15+'Sensitivity &amp; Scenarios'!$C$16)/'Sensitivity &amp; Scenarios'!$C$17</f>
        <v>1925.1372915969964</v>
      </c>
    </row>
    <row r="936" spans="2:10" x14ac:dyDescent="0.3">
      <c r="B936" s="127">
        <v>906</v>
      </c>
      <c r="C936" s="206">
        <f>$D$7+0.328274*$E$7</f>
        <v>0.14083499943997799</v>
      </c>
      <c r="D936" s="206">
        <f>MIN($D$8+-0.627577*$E$8,'Debt &amp; Cost of Capital'!$C$38)</f>
        <v>5.1234538000000003E-2</v>
      </c>
      <c r="E936" s="207">
        <f>$D$9+-0.883425*$E$9</f>
        <v>0.14071834770254635</v>
      </c>
      <c r="F936" s="207">
        <f>$D$10+1.052075*$E$10</f>
        <v>0.1576248999999999</v>
      </c>
      <c r="G936" s="208">
        <f>$F936*(1-'Sensitivity &amp; Scenarios'!$C$12)+'Sensitivity &amp; Scenarios'!$C$9*'Sensitivity &amp; Scenarios'!$C$12-'Sensitivity &amp; Scenarios'!$C$10</f>
        <v>8.7146130758464627E-2</v>
      </c>
      <c r="H936" s="209">
        <f>('Sensitivity &amp; Scenarios'!$C$6*(1+$E936)^1*$G936+'Sensitivity &amp; Scenarios'!$C$11*'Sensitivity &amp; Scenarios'!$C$6*((1+$E936)^1-(1+$E936)^0))*'Sensitivity &amp; Scenarios'!$C$18/(1+$C936)^'Sensitivity &amp; Scenarios'!$C$18+('Sensitivity &amp; Scenarios'!$C$6*(1+$E936)^2*$G936+'Sensitivity &amp; Scenarios'!$C$11*'Sensitivity &amp; Scenarios'!$C$6*((1+$E936)^2-(1+$E936)^1))/(1+$C936)^('Sensitivity &amp; Scenarios'!$C$18+1)+('Sensitivity &amp; Scenarios'!$C$6*(1+$E936)^3*$G936+'Sensitivity &amp; Scenarios'!$C$11*'Sensitivity &amp; Scenarios'!$C$6*((1+$E936)^3-(1+$E936)^2))/(1+$C936)^('Sensitivity &amp; Scenarios'!$C$18+2)+('Sensitivity &amp; Scenarios'!$C$6*(1+$E936)^4*$G936+'Sensitivity &amp; Scenarios'!$C$11*'Sensitivity &amp; Scenarios'!$C$6*((1+$E936)^4-(1+$E936)^3))/(1+$C936)^('Sensitivity &amp; Scenarios'!$C$18+3)+('Sensitivity &amp; Scenarios'!$C$6*(1+$E936)^5*$G936+'Sensitivity &amp; Scenarios'!$C$11*'Sensitivity &amp; Scenarios'!$C$6*((1+$E936)^5-(1+$E936)^4))/(1+$C936)^('Sensitivity &amp; Scenarios'!$C$18+4)</f>
        <v>23142.003207912981</v>
      </c>
      <c r="I936" s="209">
        <f>('Sensitivity &amp; Scenarios'!$C$6*(1+$E936)^5*$G936+'Sensitivity &amp; Scenarios'!$C$11*'Sensitivity &amp; Scenarios'!$C$6*((1+$E936)^5-(1+$E936)^4))*(1+$D936)/($C936-$D936)/(1+$C936)^('Sensitivity &amp; Scenarios'!$C$18+4)</f>
        <v>58594.627333472483</v>
      </c>
      <c r="J936" s="209">
        <f>($H936+$I936-'Sensitivity &amp; Scenarios'!$C$15+'Sensitivity &amp; Scenarios'!$C$16)/'Sensitivity &amp; Scenarios'!$C$17</f>
        <v>2007.0172178552521</v>
      </c>
    </row>
    <row r="937" spans="2:10" x14ac:dyDescent="0.3">
      <c r="B937" s="127">
        <v>907</v>
      </c>
      <c r="C937" s="206">
        <f>$D$7+-0.063871*$E$7</f>
        <v>0.13691354943997799</v>
      </c>
      <c r="D937" s="206">
        <f>MIN($D$8+2.022109*$E$8,'Debt &amp; Cost of Capital'!$C$38)</f>
        <v>6.7132654E-2</v>
      </c>
      <c r="E937" s="207">
        <f>$D$9+0.04631*$E$9</f>
        <v>0.16861039770254635</v>
      </c>
      <c r="F937" s="207">
        <f>$D$10+-0.926078*$E$10</f>
        <v>0.13388706399999992</v>
      </c>
      <c r="G937" s="208">
        <f>$F937*(1-'Sensitivity &amp; Scenarios'!$C$12)+'Sensitivity &amp; Scenarios'!$C$9*'Sensitivity &amp; Scenarios'!$C$12-'Sensitivity &amp; Scenarios'!$C$10</f>
        <v>6.9383108079664649E-2</v>
      </c>
      <c r="H937" s="209">
        <f>('Sensitivity &amp; Scenarios'!$C$6*(1+$E937)^1*$G937+'Sensitivity &amp; Scenarios'!$C$11*'Sensitivity &amp; Scenarios'!$C$6*((1+$E937)^1-(1+$E937)^0))*'Sensitivity &amp; Scenarios'!$C$18/(1+$C937)^'Sensitivity &amp; Scenarios'!$C$18+('Sensitivity &amp; Scenarios'!$C$6*(1+$E937)^2*$G937+'Sensitivity &amp; Scenarios'!$C$11*'Sensitivity &amp; Scenarios'!$C$6*((1+$E937)^2-(1+$E937)^1))/(1+$C937)^('Sensitivity &amp; Scenarios'!$C$18+1)+('Sensitivity &amp; Scenarios'!$C$6*(1+$E937)^3*$G937+'Sensitivity &amp; Scenarios'!$C$11*'Sensitivity &amp; Scenarios'!$C$6*((1+$E937)^3-(1+$E937)^2))/(1+$C937)^('Sensitivity &amp; Scenarios'!$C$18+2)+('Sensitivity &amp; Scenarios'!$C$6*(1+$E937)^4*$G937+'Sensitivity &amp; Scenarios'!$C$11*'Sensitivity &amp; Scenarios'!$C$6*((1+$E937)^4-(1+$E937)^3))/(1+$C937)^('Sensitivity &amp; Scenarios'!$C$18+3)+('Sensitivity &amp; Scenarios'!$C$6*(1+$E937)^5*$G937+'Sensitivity &amp; Scenarios'!$C$11*'Sensitivity &amp; Scenarios'!$C$6*((1+$E937)^5-(1+$E937)^4))/(1+$C937)^('Sensitivity &amp; Scenarios'!$C$18+4)</f>
        <v>21361.341038645922</v>
      </c>
      <c r="I937" s="209">
        <f>('Sensitivity &amp; Scenarios'!$C$6*(1+$E937)^5*$G937+'Sensitivity &amp; Scenarios'!$C$11*'Sensitivity &amp; Scenarios'!$C$6*((1+$E937)^5-(1+$E937)^4))*(1+$D937)/($C937-$D937)/(1+$C937)^('Sensitivity &amp; Scenarios'!$C$18+4)</f>
        <v>74123.122864864243</v>
      </c>
      <c r="J937" s="209">
        <f>($H937+$I937-'Sensitivity &amp; Scenarios'!$C$15+'Sensitivity &amp; Scenarios'!$C$16)/'Sensitivity &amp; Scenarios'!$C$17</f>
        <v>2296.3922873083143</v>
      </c>
    </row>
    <row r="938" spans="2:10" x14ac:dyDescent="0.3">
      <c r="B938" s="127">
        <v>908</v>
      </c>
      <c r="C938" s="206">
        <f>$D$7+1.226941*$E$7</f>
        <v>0.14982166943997799</v>
      </c>
      <c r="D938" s="206">
        <f>MIN($D$8+0.6308*$E$8,'Debt &amp; Cost of Capital'!$C$38)</f>
        <v>5.8784799999999998E-2</v>
      </c>
      <c r="E938" s="207">
        <f>$D$9+0.726873*$E$9</f>
        <v>0.18902728770254634</v>
      </c>
      <c r="F938" s="207">
        <f>$D$10+1.190601*$E$10</f>
        <v>0.1592872119999999</v>
      </c>
      <c r="G938" s="208">
        <f>$F938*(1-'Sensitivity &amp; Scenarios'!$C$12)+'Sensitivity &amp; Scenarios'!$C$9*'Sensitivity &amp; Scenarios'!$C$12-'Sensitivity &amp; Scenarios'!$C$10</f>
        <v>8.8390038828064635E-2</v>
      </c>
      <c r="H938" s="209">
        <f>('Sensitivity &amp; Scenarios'!$C$6*(1+$E938)^1*$G938+'Sensitivity &amp; Scenarios'!$C$11*'Sensitivity &amp; Scenarios'!$C$6*((1+$E938)^1-(1+$E938)^0))*'Sensitivity &amp; Scenarios'!$C$18/(1+$C938)^'Sensitivity &amp; Scenarios'!$C$18+('Sensitivity &amp; Scenarios'!$C$6*(1+$E938)^2*$G938+'Sensitivity &amp; Scenarios'!$C$11*'Sensitivity &amp; Scenarios'!$C$6*((1+$E938)^2-(1+$E938)^1))/(1+$C938)^('Sensitivity &amp; Scenarios'!$C$18+1)+('Sensitivity &amp; Scenarios'!$C$6*(1+$E938)^3*$G938+'Sensitivity &amp; Scenarios'!$C$11*'Sensitivity &amp; Scenarios'!$C$6*((1+$E938)^3-(1+$E938)^2))/(1+$C938)^('Sensitivity &amp; Scenarios'!$C$18+2)+('Sensitivity &amp; Scenarios'!$C$6*(1+$E938)^4*$G938+'Sensitivity &amp; Scenarios'!$C$11*'Sensitivity &amp; Scenarios'!$C$6*((1+$E938)^4-(1+$E938)^3))/(1+$C938)^('Sensitivity &amp; Scenarios'!$C$18+3)+('Sensitivity &amp; Scenarios'!$C$6*(1+$E938)^5*$G938+'Sensitivity &amp; Scenarios'!$C$11*'Sensitivity &amp; Scenarios'!$C$6*((1+$E938)^5-(1+$E938)^4))/(1+$C938)^('Sensitivity &amp; Scenarios'!$C$18+4)</f>
        <v>27160.208474610092</v>
      </c>
      <c r="I938" s="209">
        <f>('Sensitivity &amp; Scenarios'!$C$6*(1+$E938)^5*$G938+'Sensitivity &amp; Scenarios'!$C$11*'Sensitivity &amp; Scenarios'!$C$6*((1+$E938)^5-(1+$E938)^4))*(1+$D938)/($C938-$D938)/(1+$C938)^('Sensitivity &amp; Scenarios'!$C$18+4)</f>
        <v>72451.09606088874</v>
      </c>
      <c r="J938" s="209">
        <f>($H938+$I938-'Sensitivity &amp; Scenarios'!$C$15+'Sensitivity &amp; Scenarios'!$C$16)/'Sensitivity &amp; Scenarios'!$C$17</f>
        <v>2383.2572327180737</v>
      </c>
    </row>
    <row r="939" spans="2:10" x14ac:dyDescent="0.3">
      <c r="B939" s="127">
        <v>909</v>
      </c>
      <c r="C939" s="206">
        <f>$D$7+-0.652796*$E$7</f>
        <v>0.13102429943997798</v>
      </c>
      <c r="D939" s="206">
        <f>MIN($D$8+-0.127253*$E$8,'Debt &amp; Cost of Capital'!$C$38)</f>
        <v>5.4236482000000003E-2</v>
      </c>
      <c r="E939" s="207">
        <f>$D$9+-0.17145*$E$9</f>
        <v>0.16207759770254634</v>
      </c>
      <c r="F939" s="207">
        <f>$D$10+-1.290747*$E$10</f>
        <v>0.12951103599999991</v>
      </c>
      <c r="G939" s="208">
        <f>$F939*(1-'Sensitivity &amp; Scenarios'!$C$12)+'Sensitivity &amp; Scenarios'!$C$9*'Sensitivity &amp; Scenarios'!$C$12-'Sensitivity &amp; Scenarios'!$C$10</f>
        <v>6.6108526327264647E-2</v>
      </c>
      <c r="H939" s="209">
        <f>('Sensitivity &amp; Scenarios'!$C$6*(1+$E939)^1*$G939+'Sensitivity &amp; Scenarios'!$C$11*'Sensitivity &amp; Scenarios'!$C$6*((1+$E939)^1-(1+$E939)^0))*'Sensitivity &amp; Scenarios'!$C$18/(1+$C939)^'Sensitivity &amp; Scenarios'!$C$18+('Sensitivity &amp; Scenarios'!$C$6*(1+$E939)^2*$G939+'Sensitivity &amp; Scenarios'!$C$11*'Sensitivity &amp; Scenarios'!$C$6*((1+$E939)^2-(1+$E939)^1))/(1+$C939)^('Sensitivity &amp; Scenarios'!$C$18+1)+('Sensitivity &amp; Scenarios'!$C$6*(1+$E939)^3*$G939+'Sensitivity &amp; Scenarios'!$C$11*'Sensitivity &amp; Scenarios'!$C$6*((1+$E939)^3-(1+$E939)^2))/(1+$C939)^('Sensitivity &amp; Scenarios'!$C$18+2)+('Sensitivity &amp; Scenarios'!$C$6*(1+$E939)^4*$G939+'Sensitivity &amp; Scenarios'!$C$11*'Sensitivity &amp; Scenarios'!$C$6*((1+$E939)^4-(1+$E939)^3))/(1+$C939)^('Sensitivity &amp; Scenarios'!$C$18+3)+('Sensitivity &amp; Scenarios'!$C$6*(1+$E939)^5*$G939+'Sensitivity &amp; Scenarios'!$C$11*'Sensitivity &amp; Scenarios'!$C$6*((1+$E939)^5-(1+$E939)^4))/(1+$C939)^('Sensitivity &amp; Scenarios'!$C$18+4)</f>
        <v>20342.467819548961</v>
      </c>
      <c r="I939" s="209">
        <f>('Sensitivity &amp; Scenarios'!$C$6*(1+$E939)^5*$G939+'Sensitivity &amp; Scenarios'!$C$11*'Sensitivity &amp; Scenarios'!$C$6*((1+$E939)^5-(1+$E939)^4))*(1+$D939)/($C939-$D939)/(1+$C939)^('Sensitivity &amp; Scenarios'!$C$18+4)</f>
        <v>63324.490601196987</v>
      </c>
      <c r="J939" s="209">
        <f>($H939+$I939-'Sensitivity &amp; Scenarios'!$C$15+'Sensitivity &amp; Scenarios'!$C$16)/'Sensitivity &amp; Scenarios'!$C$17</f>
        <v>2047.6482576302926</v>
      </c>
    </row>
    <row r="940" spans="2:10" x14ac:dyDescent="0.3">
      <c r="B940" s="127">
        <v>910</v>
      </c>
      <c r="C940" s="206">
        <f>$D$7+-0.26359*$E$7</f>
        <v>0.13491635943997798</v>
      </c>
      <c r="D940" s="206">
        <f>MIN($D$8+1.336379*$E$8,'Debt &amp; Cost of Capital'!$C$38)</f>
        <v>6.3018273999999999E-2</v>
      </c>
      <c r="E940" s="207">
        <f>$D$9+0.237338*$E$9</f>
        <v>0.17434123770254634</v>
      </c>
      <c r="F940" s="207">
        <f>$D$10+-1.346061*$E$10</f>
        <v>0.1288472679999999</v>
      </c>
      <c r="G940" s="208">
        <f>$F940*(1-'Sensitivity &amp; Scenarios'!$C$12)+'Sensitivity &amp; Scenarios'!$C$9*'Sensitivity &amp; Scenarios'!$C$12-'Sensitivity &amp; Scenarios'!$C$10</f>
        <v>6.5611828732864641E-2</v>
      </c>
      <c r="H940" s="209">
        <f>('Sensitivity &amp; Scenarios'!$C$6*(1+$E940)^1*$G940+'Sensitivity &amp; Scenarios'!$C$11*'Sensitivity &amp; Scenarios'!$C$6*((1+$E940)^1-(1+$E940)^0))*'Sensitivity &amp; Scenarios'!$C$18/(1+$C940)^'Sensitivity &amp; Scenarios'!$C$18+('Sensitivity &amp; Scenarios'!$C$6*(1+$E940)^2*$G940+'Sensitivity &amp; Scenarios'!$C$11*'Sensitivity &amp; Scenarios'!$C$6*((1+$E940)^2-(1+$E940)^1))/(1+$C940)^('Sensitivity &amp; Scenarios'!$C$18+1)+('Sensitivity &amp; Scenarios'!$C$6*(1+$E940)^3*$G940+'Sensitivity &amp; Scenarios'!$C$11*'Sensitivity &amp; Scenarios'!$C$6*((1+$E940)^3-(1+$E940)^2))/(1+$C940)^('Sensitivity &amp; Scenarios'!$C$18+2)+('Sensitivity &amp; Scenarios'!$C$6*(1+$E940)^4*$G940+'Sensitivity &amp; Scenarios'!$C$11*'Sensitivity &amp; Scenarios'!$C$6*((1+$E940)^4-(1+$E940)^3))/(1+$C940)^('Sensitivity &amp; Scenarios'!$C$18+3)+('Sensitivity &amp; Scenarios'!$C$6*(1+$E940)^5*$G940+'Sensitivity &amp; Scenarios'!$C$11*'Sensitivity &amp; Scenarios'!$C$6*((1+$E940)^5-(1+$E940)^4))/(1+$C940)^('Sensitivity &amp; Scenarios'!$C$18+4)</f>
        <v>20961.575625084119</v>
      </c>
      <c r="I940" s="209">
        <f>('Sensitivity &amp; Scenarios'!$C$6*(1+$E940)^5*$G940+'Sensitivity &amp; Scenarios'!$C$11*'Sensitivity &amp; Scenarios'!$C$6*((1+$E940)^5-(1+$E940)^4))*(1+$D940)/($C940-$D940)/(1+$C940)^('Sensitivity &amp; Scenarios'!$C$18+4)</f>
        <v>71161.960047366039</v>
      </c>
      <c r="J940" s="209">
        <f>($H940+$I940-'Sensitivity &amp; Scenarios'!$C$15+'Sensitivity &amp; Scenarios'!$C$16)/'Sensitivity &amp; Scenarios'!$C$17</f>
        <v>2225.6488607136057</v>
      </c>
    </row>
    <row r="941" spans="2:10" x14ac:dyDescent="0.3">
      <c r="B941" s="127">
        <v>911</v>
      </c>
      <c r="C941" s="206">
        <f>$D$7+-1.555839*$E$7</f>
        <v>0.12199386943997798</v>
      </c>
      <c r="D941" s="206">
        <f>MIN($D$8+1.664776*$E$8,'Debt &amp; Cost of Capital'!$C$38)</f>
        <v>6.4988656000000006E-2</v>
      </c>
      <c r="E941" s="207">
        <f>$D$9+-0.090319*$E$9</f>
        <v>0.16451152770254635</v>
      </c>
      <c r="F941" s="207">
        <f>$D$10+-0.64741*$E$10</f>
        <v>0.13723107999999989</v>
      </c>
      <c r="G941" s="208">
        <f>$F941*(1-'Sensitivity &amp; Scenarios'!$C$12)+'Sensitivity &amp; Scenarios'!$C$9*'Sensitivity &amp; Scenarios'!$C$12-'Sensitivity &amp; Scenarios'!$C$10</f>
        <v>7.188543525246463E-2</v>
      </c>
      <c r="H941" s="209">
        <f>('Sensitivity &amp; Scenarios'!$C$6*(1+$E941)^1*$G941+'Sensitivity &amp; Scenarios'!$C$11*'Sensitivity &amp; Scenarios'!$C$6*((1+$E941)^1-(1+$E941)^0))*'Sensitivity &amp; Scenarios'!$C$18/(1+$C941)^'Sensitivity &amp; Scenarios'!$C$18+('Sensitivity &amp; Scenarios'!$C$6*(1+$E941)^2*$G941+'Sensitivity &amp; Scenarios'!$C$11*'Sensitivity &amp; Scenarios'!$C$6*((1+$E941)^2-(1+$E941)^1))/(1+$C941)^('Sensitivity &amp; Scenarios'!$C$18+1)+('Sensitivity &amp; Scenarios'!$C$6*(1+$E941)^3*$G941+'Sensitivity &amp; Scenarios'!$C$11*'Sensitivity &amp; Scenarios'!$C$6*((1+$E941)^3-(1+$E941)^2))/(1+$C941)^('Sensitivity &amp; Scenarios'!$C$18+2)+('Sensitivity &amp; Scenarios'!$C$6*(1+$E941)^4*$G941+'Sensitivity &amp; Scenarios'!$C$11*'Sensitivity &amp; Scenarios'!$C$6*((1+$E941)^4-(1+$E941)^3))/(1+$C941)^('Sensitivity &amp; Scenarios'!$C$18+3)+('Sensitivity &amp; Scenarios'!$C$6*(1+$E941)^5*$G941+'Sensitivity &amp; Scenarios'!$C$11*'Sensitivity &amp; Scenarios'!$C$6*((1+$E941)^5-(1+$E941)^4))/(1+$C941)^('Sensitivity &amp; Scenarios'!$C$18+4)</f>
        <v>22490.050978956286</v>
      </c>
      <c r="I941" s="209">
        <f>('Sensitivity &amp; Scenarios'!$C$6*(1+$E941)^5*$G941+'Sensitivity &amp; Scenarios'!$C$11*'Sensitivity &amp; Scenarios'!$C$6*((1+$E941)^5-(1+$E941)^4))*(1+$D941)/($C941-$D941)/(1+$C941)^('Sensitivity &amp; Scenarios'!$C$18+4)</f>
        <v>97000.058013721879</v>
      </c>
      <c r="J941" s="209">
        <f>($H941+$I941-'Sensitivity &amp; Scenarios'!$C$15+'Sensitivity &amp; Scenarios'!$C$16)/'Sensitivity &amp; Scenarios'!$C$17</f>
        <v>2801.6817414328852</v>
      </c>
    </row>
    <row r="942" spans="2:10" x14ac:dyDescent="0.3">
      <c r="B942" s="127">
        <v>912</v>
      </c>
      <c r="C942" s="206">
        <f>$D$7+-0.273992*$E$7</f>
        <v>0.13481233943997797</v>
      </c>
      <c r="D942" s="206">
        <f>MIN($D$8+-1.477308*$E$8,'Debt &amp; Cost of Capital'!$C$38)</f>
        <v>4.6136152E-2</v>
      </c>
      <c r="E942" s="207">
        <f>$D$9+1.423095*$E$9</f>
        <v>0.20991394770254634</v>
      </c>
      <c r="F942" s="207">
        <f>$D$10+-0.393053*$E$10</f>
        <v>0.14028336399999991</v>
      </c>
      <c r="G942" s="208">
        <f>$F942*(1-'Sensitivity &amp; Scenarios'!$C$12)+'Sensitivity &amp; Scenarios'!$C$9*'Sensitivity &amp; Scenarios'!$C$12-'Sensitivity &amp; Scenarios'!$C$10</f>
        <v>7.4169459369664639E-2</v>
      </c>
      <c r="H942" s="209">
        <f>('Sensitivity &amp; Scenarios'!$C$6*(1+$E942)^1*$G942+'Sensitivity &amp; Scenarios'!$C$11*'Sensitivity &amp; Scenarios'!$C$6*((1+$E942)^1-(1+$E942)^0))*'Sensitivity &amp; Scenarios'!$C$18/(1+$C942)^'Sensitivity &amp; Scenarios'!$C$18+('Sensitivity &amp; Scenarios'!$C$6*(1+$E942)^2*$G942+'Sensitivity &amp; Scenarios'!$C$11*'Sensitivity &amp; Scenarios'!$C$6*((1+$E942)^2-(1+$E942)^1))/(1+$C942)^('Sensitivity &amp; Scenarios'!$C$18+1)+('Sensitivity &amp; Scenarios'!$C$6*(1+$E942)^3*$G942+'Sensitivity &amp; Scenarios'!$C$11*'Sensitivity &amp; Scenarios'!$C$6*((1+$E942)^3-(1+$E942)^2))/(1+$C942)^('Sensitivity &amp; Scenarios'!$C$18+2)+('Sensitivity &amp; Scenarios'!$C$6*(1+$E942)^4*$G942+'Sensitivity &amp; Scenarios'!$C$11*'Sensitivity &amp; Scenarios'!$C$6*((1+$E942)^4-(1+$E942)^3))/(1+$C942)^('Sensitivity &amp; Scenarios'!$C$18+3)+('Sensitivity &amp; Scenarios'!$C$6*(1+$E942)^5*$G942+'Sensitivity &amp; Scenarios'!$C$11*'Sensitivity &amp; Scenarios'!$C$6*((1+$E942)^5-(1+$E942)^4))/(1+$C942)^('Sensitivity &amp; Scenarios'!$C$18+4)</f>
        <v>26289.562366828657</v>
      </c>
      <c r="I942" s="209">
        <f>('Sensitivity &amp; Scenarios'!$C$6*(1+$E942)^5*$G942+'Sensitivity &amp; Scenarios'!$C$11*'Sensitivity &amp; Scenarios'!$C$6*((1+$E942)^5-(1+$E942)^4))*(1+$D942)/($C942-$D942)/(1+$C942)^('Sensitivity &amp; Scenarios'!$C$18+4)</f>
        <v>75049.8594189258</v>
      </c>
      <c r="J942" s="209">
        <f>($H942+$I942-'Sensitivity &amp; Scenarios'!$C$15+'Sensitivity &amp; Scenarios'!$C$16)/'Sensitivity &amp; Scenarios'!$C$17</f>
        <v>2419.6319861896618</v>
      </c>
    </row>
    <row r="943" spans="2:10" x14ac:dyDescent="0.3">
      <c r="B943" s="127">
        <v>913</v>
      </c>
      <c r="C943" s="206">
        <f>$D$7+1.367402*$E$7</f>
        <v>0.15122627943997799</v>
      </c>
      <c r="D943" s="206">
        <f>MIN($D$8+0.051652*$E$8,'Debt &amp; Cost of Capital'!$C$38)</f>
        <v>5.5309912000000003E-2</v>
      </c>
      <c r="E943" s="207">
        <f>$D$9+1.429532*$E$9</f>
        <v>0.21010705770254634</v>
      </c>
      <c r="F943" s="207">
        <f>$D$10+0.256694*$E$10</f>
        <v>0.1480803279999999</v>
      </c>
      <c r="G943" s="208">
        <f>$F943*(1-'Sensitivity &amp; Scenarios'!$C$12)+'Sensitivity &amp; Scenarios'!$C$9*'Sensitivity &amp; Scenarios'!$C$12-'Sensitivity &amp; Scenarios'!$C$10</f>
        <v>8.0003927530864632E-2</v>
      </c>
      <c r="H943" s="209">
        <f>('Sensitivity &amp; Scenarios'!$C$6*(1+$E943)^1*$G943+'Sensitivity &amp; Scenarios'!$C$11*'Sensitivity &amp; Scenarios'!$C$6*((1+$E943)^1-(1+$E943)^0))*'Sensitivity &amp; Scenarios'!$C$18/(1+$C943)^'Sensitivity &amp; Scenarios'!$C$18+('Sensitivity &amp; Scenarios'!$C$6*(1+$E943)^2*$G943+'Sensitivity &amp; Scenarios'!$C$11*'Sensitivity &amp; Scenarios'!$C$6*((1+$E943)^2-(1+$E943)^1))/(1+$C943)^('Sensitivity &amp; Scenarios'!$C$18+1)+('Sensitivity &amp; Scenarios'!$C$6*(1+$E943)^3*$G943+'Sensitivity &amp; Scenarios'!$C$11*'Sensitivity &amp; Scenarios'!$C$6*((1+$E943)^3-(1+$E943)^2))/(1+$C943)^('Sensitivity &amp; Scenarios'!$C$18+2)+('Sensitivity &amp; Scenarios'!$C$6*(1+$E943)^4*$G943+'Sensitivity &amp; Scenarios'!$C$11*'Sensitivity &amp; Scenarios'!$C$6*((1+$E943)^4-(1+$E943)^3))/(1+$C943)^('Sensitivity &amp; Scenarios'!$C$18+3)+('Sensitivity &amp; Scenarios'!$C$6*(1+$E943)^5*$G943+'Sensitivity &amp; Scenarios'!$C$11*'Sensitivity &amp; Scenarios'!$C$6*((1+$E943)^5-(1+$E943)^4))/(1+$C943)^('Sensitivity &amp; Scenarios'!$C$18+4)</f>
        <v>26814.985836659653</v>
      </c>
      <c r="I943" s="209">
        <f>('Sensitivity &amp; Scenarios'!$C$6*(1+$E943)^5*$G943+'Sensitivity &amp; Scenarios'!$C$11*'Sensitivity &amp; Scenarios'!$C$6*((1+$E943)^5-(1+$E943)^4))*(1+$D943)/($C943-$D943)/(1+$C943)^('Sensitivity &amp; Scenarios'!$C$18+4)</f>
        <v>69651.132137677167</v>
      </c>
      <c r="J943" s="209">
        <f>($H943+$I943-'Sensitivity &amp; Scenarios'!$C$15+'Sensitivity &amp; Scenarios'!$C$16)/'Sensitivity &amp; Scenarios'!$C$17</f>
        <v>2317.0549042779776</v>
      </c>
    </row>
    <row r="944" spans="2:10" x14ac:dyDescent="0.3">
      <c r="B944" s="127">
        <v>914</v>
      </c>
      <c r="C944" s="206">
        <f>$D$7+0.853233*$E$7</f>
        <v>0.14608458943997799</v>
      </c>
      <c r="D944" s="206">
        <f>MIN($D$8+0.719093*$E$8,'Debt &amp; Cost of Capital'!$C$38)</f>
        <v>5.9314558000000003E-2</v>
      </c>
      <c r="E944" s="207">
        <f>$D$9+0.623291*$E$9</f>
        <v>0.18591982770254634</v>
      </c>
      <c r="F944" s="207">
        <f>$D$10+0.347934*$E$10</f>
        <v>0.14917520799999992</v>
      </c>
      <c r="G944" s="208">
        <f>$F944*(1-'Sensitivity &amp; Scenarios'!$C$12)+'Sensitivity &amp; Scenarios'!$C$9*'Sensitivity &amp; Scenarios'!$C$12-'Sensitivity &amp; Scenarios'!$C$10</f>
        <v>8.082322623486464E-2</v>
      </c>
      <c r="H944" s="209">
        <f>('Sensitivity &amp; Scenarios'!$C$6*(1+$E944)^1*$G944+'Sensitivity &amp; Scenarios'!$C$11*'Sensitivity &amp; Scenarios'!$C$6*((1+$E944)^1-(1+$E944)^0))*'Sensitivity &amp; Scenarios'!$C$18/(1+$C944)^'Sensitivity &amp; Scenarios'!$C$18+('Sensitivity &amp; Scenarios'!$C$6*(1+$E944)^2*$G944+'Sensitivity &amp; Scenarios'!$C$11*'Sensitivity &amp; Scenarios'!$C$6*((1+$E944)^2-(1+$E944)^1))/(1+$C944)^('Sensitivity &amp; Scenarios'!$C$18+1)+('Sensitivity &amp; Scenarios'!$C$6*(1+$E944)^3*$G944+'Sensitivity &amp; Scenarios'!$C$11*'Sensitivity &amp; Scenarios'!$C$6*((1+$E944)^3-(1+$E944)^2))/(1+$C944)^('Sensitivity &amp; Scenarios'!$C$18+2)+('Sensitivity &amp; Scenarios'!$C$6*(1+$E944)^4*$G944+'Sensitivity &amp; Scenarios'!$C$11*'Sensitivity &amp; Scenarios'!$C$6*((1+$E944)^4-(1+$E944)^3))/(1+$C944)^('Sensitivity &amp; Scenarios'!$C$18+3)+('Sensitivity &amp; Scenarios'!$C$6*(1+$E944)^5*$G944+'Sensitivity &amp; Scenarios'!$C$11*'Sensitivity &amp; Scenarios'!$C$6*((1+$E944)^5-(1+$E944)^4))/(1+$C944)^('Sensitivity &amp; Scenarios'!$C$18+4)</f>
        <v>25178.614917834118</v>
      </c>
      <c r="I944" s="209">
        <f>('Sensitivity &amp; Scenarios'!$C$6*(1+$E944)^5*$G944+'Sensitivity &amp; Scenarios'!$C$11*'Sensitivity &amp; Scenarios'!$C$6*((1+$E944)^5-(1+$E944)^4))*(1+$D944)/($C944-$D944)/(1+$C944)^('Sensitivity &amp; Scenarios'!$C$18+4)</f>
        <v>70583.337630986978</v>
      </c>
      <c r="J944" s="209">
        <f>($H944+$I944-'Sensitivity &amp; Scenarios'!$C$15+'Sensitivity &amp; Scenarios'!$C$16)/'Sensitivity &amp; Scenarios'!$C$17</f>
        <v>2302.2330837374084</v>
      </c>
    </row>
    <row r="945" spans="2:10" x14ac:dyDescent="0.3">
      <c r="B945" s="127">
        <v>915</v>
      </c>
      <c r="C945" s="206">
        <f>$D$7+-0.232851*$E$7</f>
        <v>0.13522374943997797</v>
      </c>
      <c r="D945" s="206">
        <f>MIN($D$8+1.915435*$E$8,'Debt &amp; Cost of Capital'!$C$38)</f>
        <v>6.6492610000000008E-2</v>
      </c>
      <c r="E945" s="207">
        <f>$D$9+-0.906937*$E$9</f>
        <v>0.14001298770254633</v>
      </c>
      <c r="F945" s="207">
        <f>$D$10+0.004308*$E$10</f>
        <v>0.1450516959999999</v>
      </c>
      <c r="G945" s="208">
        <f>$F945*(1-'Sensitivity &amp; Scenarios'!$C$12)+'Sensitivity &amp; Scenarios'!$C$9*'Sensitivity &amp; Scenarios'!$C$12-'Sensitivity &amp; Scenarios'!$C$10</f>
        <v>7.7737602205264628E-2</v>
      </c>
      <c r="H945" s="209">
        <f>('Sensitivity &amp; Scenarios'!$C$6*(1+$E945)^1*$G945+'Sensitivity &amp; Scenarios'!$C$11*'Sensitivity &amp; Scenarios'!$C$6*((1+$E945)^1-(1+$E945)^0))*'Sensitivity &amp; Scenarios'!$C$18/(1+$C945)^'Sensitivity &amp; Scenarios'!$C$18+('Sensitivity &amp; Scenarios'!$C$6*(1+$E945)^2*$G945+'Sensitivity &amp; Scenarios'!$C$11*'Sensitivity &amp; Scenarios'!$C$6*((1+$E945)^2-(1+$E945)^1))/(1+$C945)^('Sensitivity &amp; Scenarios'!$C$18+1)+('Sensitivity &amp; Scenarios'!$C$6*(1+$E945)^3*$G945+'Sensitivity &amp; Scenarios'!$C$11*'Sensitivity &amp; Scenarios'!$C$6*((1+$E945)^3-(1+$E945)^2))/(1+$C945)^('Sensitivity &amp; Scenarios'!$C$18+2)+('Sensitivity &amp; Scenarios'!$C$6*(1+$E945)^4*$G945+'Sensitivity &amp; Scenarios'!$C$11*'Sensitivity &amp; Scenarios'!$C$6*((1+$E945)^4-(1+$E945)^3))/(1+$C945)^('Sensitivity &amp; Scenarios'!$C$18+3)+('Sensitivity &amp; Scenarios'!$C$6*(1+$E945)^5*$G945+'Sensitivity &amp; Scenarios'!$C$11*'Sensitivity &amp; Scenarios'!$C$6*((1+$E945)^5-(1+$E945)^4))/(1+$C945)^('Sensitivity &amp; Scenarios'!$C$18+4)</f>
        <v>21215.859470284511</v>
      </c>
      <c r="I945" s="209">
        <f>('Sensitivity &amp; Scenarios'!$C$6*(1+$E945)^5*$G945+'Sensitivity &amp; Scenarios'!$C$11*'Sensitivity &amp; Scenarios'!$C$6*((1+$E945)^5-(1+$E945)^4))*(1+$D945)/($C945-$D945)/(1+$C945)^('Sensitivity &amp; Scenarios'!$C$18+4)</f>
        <v>71610.07047954631</v>
      </c>
      <c r="J945" s="209">
        <f>($H945+$I945-'Sensitivity &amp; Scenarios'!$C$15+'Sensitivity &amp; Scenarios'!$C$16)/'Sensitivity &amp; Scenarios'!$C$17</f>
        <v>2240.4334007532339</v>
      </c>
    </row>
    <row r="946" spans="2:10" x14ac:dyDescent="0.3">
      <c r="B946" s="127">
        <v>916</v>
      </c>
      <c r="C946" s="206">
        <f>$D$7+0.014886*$E$7</f>
        <v>0.13770111943997798</v>
      </c>
      <c r="D946" s="206">
        <f>MIN($D$8+0.402441*$E$8,'Debt &amp; Cost of Capital'!$C$38)</f>
        <v>5.7414646E-2</v>
      </c>
      <c r="E946" s="207">
        <f>$D$9+-0.429473*$E$9</f>
        <v>0.15433690770254635</v>
      </c>
      <c r="F946" s="207">
        <f>$D$10+0.314746*$E$10</f>
        <v>0.14877695199999991</v>
      </c>
      <c r="G946" s="208">
        <f>$F946*(1-'Sensitivity &amp; Scenarios'!$C$12)+'Sensitivity &amp; Scenarios'!$C$9*'Sensitivity &amp; Scenarios'!$C$12-'Sensitivity &amp; Scenarios'!$C$10</f>
        <v>8.0525211270064637E-2</v>
      </c>
      <c r="H946" s="209">
        <f>('Sensitivity &amp; Scenarios'!$C$6*(1+$E946)^1*$G946+'Sensitivity &amp; Scenarios'!$C$11*'Sensitivity &amp; Scenarios'!$C$6*((1+$E946)^1-(1+$E946)^0))*'Sensitivity &amp; Scenarios'!$C$18/(1+$C946)^'Sensitivity &amp; Scenarios'!$C$18+('Sensitivity &amp; Scenarios'!$C$6*(1+$E946)^2*$G946+'Sensitivity &amp; Scenarios'!$C$11*'Sensitivity &amp; Scenarios'!$C$6*((1+$E946)^2-(1+$E946)^1))/(1+$C946)^('Sensitivity &amp; Scenarios'!$C$18+1)+('Sensitivity &amp; Scenarios'!$C$6*(1+$E946)^3*$G946+'Sensitivity &amp; Scenarios'!$C$11*'Sensitivity &amp; Scenarios'!$C$6*((1+$E946)^3-(1+$E946)^2))/(1+$C946)^('Sensitivity &amp; Scenarios'!$C$18+2)+('Sensitivity &amp; Scenarios'!$C$6*(1+$E946)^4*$G946+'Sensitivity &amp; Scenarios'!$C$11*'Sensitivity &amp; Scenarios'!$C$6*((1+$E946)^4-(1+$E946)^3))/(1+$C946)^('Sensitivity &amp; Scenarios'!$C$18+3)+('Sensitivity &amp; Scenarios'!$C$6*(1+$E946)^5*$G946+'Sensitivity &amp; Scenarios'!$C$11*'Sensitivity &amp; Scenarios'!$C$6*((1+$E946)^5-(1+$E946)^4))/(1+$C946)^('Sensitivity &amp; Scenarios'!$C$18+4)</f>
        <v>22897.378907484217</v>
      </c>
      <c r="I946" s="209">
        <f>('Sensitivity &amp; Scenarios'!$C$6*(1+$E946)^5*$G946+'Sensitivity &amp; Scenarios'!$C$11*'Sensitivity &amp; Scenarios'!$C$6*((1+$E946)^5-(1+$E946)^4))*(1+$D946)/($C946-$D946)/(1+$C946)^('Sensitivity &amp; Scenarios'!$C$18+4)</f>
        <v>66844.324604262278</v>
      </c>
      <c r="J946" s="209">
        <f>($H946+$I946-'Sensitivity &amp; Scenarios'!$C$15+'Sensitivity &amp; Scenarios'!$C$16)/'Sensitivity &amp; Scenarios'!$C$17</f>
        <v>2175.5142083088112</v>
      </c>
    </row>
    <row r="947" spans="2:10" x14ac:dyDescent="0.3">
      <c r="B947" s="127">
        <v>917</v>
      </c>
      <c r="C947" s="206">
        <f>$D$7+-0.168843*$E$7</f>
        <v>0.13586382943997799</v>
      </c>
      <c r="D947" s="206">
        <f>MIN($D$8+-1.581953*$E$8,'Debt &amp; Cost of Capital'!$C$38)</f>
        <v>4.5508281999999997E-2</v>
      </c>
      <c r="E947" s="207">
        <f>$D$9+0.009552*$E$9</f>
        <v>0.16750765770254633</v>
      </c>
      <c r="F947" s="207">
        <f>$D$10+-1.100565*$E$10</f>
        <v>0.13179321999999991</v>
      </c>
      <c r="G947" s="208">
        <f>$F947*(1-'Sensitivity &amp; Scenarios'!$C$12)+'Sensitivity &amp; Scenarios'!$C$9*'Sensitivity &amp; Scenarios'!$C$12-'Sensitivity &amp; Scenarios'!$C$10</f>
        <v>6.7816284614464636E-2</v>
      </c>
      <c r="H947" s="209">
        <f>('Sensitivity &amp; Scenarios'!$C$6*(1+$E947)^1*$G947+'Sensitivity &amp; Scenarios'!$C$11*'Sensitivity &amp; Scenarios'!$C$6*((1+$E947)^1-(1+$E947)^0))*'Sensitivity &amp; Scenarios'!$C$18/(1+$C947)^'Sensitivity &amp; Scenarios'!$C$18+('Sensitivity &amp; Scenarios'!$C$6*(1+$E947)^2*$G947+'Sensitivity &amp; Scenarios'!$C$11*'Sensitivity &amp; Scenarios'!$C$6*((1+$E947)^2-(1+$E947)^1))/(1+$C947)^('Sensitivity &amp; Scenarios'!$C$18+1)+('Sensitivity &amp; Scenarios'!$C$6*(1+$E947)^3*$G947+'Sensitivity &amp; Scenarios'!$C$11*'Sensitivity &amp; Scenarios'!$C$6*((1+$E947)^3-(1+$E947)^2))/(1+$C947)^('Sensitivity &amp; Scenarios'!$C$18+2)+('Sensitivity &amp; Scenarios'!$C$6*(1+$E947)^4*$G947+'Sensitivity &amp; Scenarios'!$C$11*'Sensitivity &amp; Scenarios'!$C$6*((1+$E947)^4-(1+$E947)^3))/(1+$C947)^('Sensitivity &amp; Scenarios'!$C$18+3)+('Sensitivity &amp; Scenarios'!$C$6*(1+$E947)^5*$G947+'Sensitivity &amp; Scenarios'!$C$11*'Sensitivity &amp; Scenarios'!$C$6*((1+$E947)^5-(1+$E947)^4))/(1+$C947)^('Sensitivity &amp; Scenarios'!$C$18+4)</f>
        <v>20938.011298825215</v>
      </c>
      <c r="I947" s="209">
        <f>('Sensitivity &amp; Scenarios'!$C$6*(1+$E947)^5*$G947+'Sensitivity &amp; Scenarios'!$C$11*'Sensitivity &amp; Scenarios'!$C$6*((1+$E947)^5-(1+$E947)^4))*(1+$D947)/($C947-$D947)/(1+$C947)^('Sensitivity &amp; Scenarios'!$C$18+4)</f>
        <v>54971.245558903218</v>
      </c>
      <c r="J947" s="209">
        <f>($H947+$I947-'Sensitivity &amp; Scenarios'!$C$15+'Sensitivity &amp; Scenarios'!$C$16)/'Sensitivity &amp; Scenarios'!$C$17</f>
        <v>1884.3581326001929</v>
      </c>
    </row>
    <row r="948" spans="2:10" x14ac:dyDescent="0.3">
      <c r="B948" s="127">
        <v>918</v>
      </c>
      <c r="C948" s="206">
        <f>$D$7+-1.734386*$E$7</f>
        <v>0.12020839943997798</v>
      </c>
      <c r="D948" s="206">
        <f>MIN($D$8+0.136873*$E$8,'Debt &amp; Cost of Capital'!$C$38)</f>
        <v>5.5821238000000002E-2</v>
      </c>
      <c r="E948" s="207">
        <f>$D$9+0.487883*$E$9</f>
        <v>0.18185758770254634</v>
      </c>
      <c r="F948" s="207">
        <f>$D$10+0.526698*$E$10</f>
        <v>0.1513203759999999</v>
      </c>
      <c r="G948" s="208">
        <f>$F948*(1-'Sensitivity &amp; Scenarios'!$C$12)+'Sensitivity &amp; Scenarios'!$C$9*'Sensitivity &amp; Scenarios'!$C$12-'Sensitivity &amp; Scenarios'!$C$10</f>
        <v>8.2428455449264623E-2</v>
      </c>
      <c r="H948" s="209">
        <f>('Sensitivity &amp; Scenarios'!$C$6*(1+$E948)^1*$G948+'Sensitivity &amp; Scenarios'!$C$11*'Sensitivity &amp; Scenarios'!$C$6*((1+$E948)^1-(1+$E948)^0))*'Sensitivity &amp; Scenarios'!$C$18/(1+$C948)^'Sensitivity &amp; Scenarios'!$C$18+('Sensitivity &amp; Scenarios'!$C$6*(1+$E948)^2*$G948+'Sensitivity &amp; Scenarios'!$C$11*'Sensitivity &amp; Scenarios'!$C$6*((1+$E948)^2-(1+$E948)^1))/(1+$C948)^('Sensitivity &amp; Scenarios'!$C$18+1)+('Sensitivity &amp; Scenarios'!$C$6*(1+$E948)^3*$G948+'Sensitivity &amp; Scenarios'!$C$11*'Sensitivity &amp; Scenarios'!$C$6*((1+$E948)^3-(1+$E948)^2))/(1+$C948)^('Sensitivity &amp; Scenarios'!$C$18+2)+('Sensitivity &amp; Scenarios'!$C$6*(1+$E948)^4*$G948+'Sensitivity &amp; Scenarios'!$C$11*'Sensitivity &amp; Scenarios'!$C$6*((1+$E948)^4-(1+$E948)^3))/(1+$C948)^('Sensitivity &amp; Scenarios'!$C$18+3)+('Sensitivity &amp; Scenarios'!$C$6*(1+$E948)^5*$G948+'Sensitivity &amp; Scenarios'!$C$11*'Sensitivity &amp; Scenarios'!$C$6*((1+$E948)^5-(1+$E948)^4))/(1+$C948)^('Sensitivity &amp; Scenarios'!$C$18+4)</f>
        <v>26936.329363957346</v>
      </c>
      <c r="I948" s="209">
        <f>('Sensitivity &amp; Scenarios'!$C$6*(1+$E948)^5*$G948+'Sensitivity &amp; Scenarios'!$C$11*'Sensitivity &amp; Scenarios'!$C$6*((1+$E948)^5-(1+$E948)^4))*(1+$D948)/($C948-$D948)/(1+$C948)^('Sensitivity &amp; Scenarios'!$C$18+4)</f>
        <v>104953.08628753375</v>
      </c>
      <c r="J948" s="209">
        <f>($H948+$I948-'Sensitivity &amp; Scenarios'!$C$15+'Sensitivity &amp; Scenarios'!$C$16)/'Sensitivity &amp; Scenarios'!$C$17</f>
        <v>3062.6719739337309</v>
      </c>
    </row>
    <row r="949" spans="2:10" x14ac:dyDescent="0.3">
      <c r="B949" s="127">
        <v>919</v>
      </c>
      <c r="C949" s="206">
        <f>$D$7+0.567171*$E$7</f>
        <v>0.14322396943997798</v>
      </c>
      <c r="D949" s="206">
        <f>MIN($D$8+-1.932589*$E$8,'Debt &amp; Cost of Capital'!$C$38)</f>
        <v>4.3404466000000003E-2</v>
      </c>
      <c r="E949" s="207">
        <f>$D$9+-1.361017*$E$9</f>
        <v>0.12639058770254635</v>
      </c>
      <c r="F949" s="207">
        <f>$D$10+1.973521*$E$10</f>
        <v>0.16868225199999992</v>
      </c>
      <c r="G949" s="208">
        <f>$F949*(1-'Sensitivity &amp; Scenarios'!$C$12)+'Sensitivity &amp; Scenarios'!$C$9*'Sensitivity &amp; Scenarios'!$C$12-'Sensitivity &amp; Scenarios'!$C$10</f>
        <v>9.5420347260064653E-2</v>
      </c>
      <c r="H949" s="209">
        <f>('Sensitivity &amp; Scenarios'!$C$6*(1+$E949)^1*$G949+'Sensitivity &amp; Scenarios'!$C$11*'Sensitivity &amp; Scenarios'!$C$6*((1+$E949)^1-(1+$E949)^0))*'Sensitivity &amp; Scenarios'!$C$18/(1+$C949)^'Sensitivity &amp; Scenarios'!$C$18+('Sensitivity &amp; Scenarios'!$C$6*(1+$E949)^2*$G949+'Sensitivity &amp; Scenarios'!$C$11*'Sensitivity &amp; Scenarios'!$C$6*((1+$E949)^2-(1+$E949)^1))/(1+$C949)^('Sensitivity &amp; Scenarios'!$C$18+1)+('Sensitivity &amp; Scenarios'!$C$6*(1+$E949)^3*$G949+'Sensitivity &amp; Scenarios'!$C$11*'Sensitivity &amp; Scenarios'!$C$6*((1+$E949)^3-(1+$E949)^2))/(1+$C949)^('Sensitivity &amp; Scenarios'!$C$18+2)+('Sensitivity &amp; Scenarios'!$C$6*(1+$E949)^4*$G949+'Sensitivity &amp; Scenarios'!$C$11*'Sensitivity &amp; Scenarios'!$C$6*((1+$E949)^4-(1+$E949)^3))/(1+$C949)^('Sensitivity &amp; Scenarios'!$C$18+3)+('Sensitivity &amp; Scenarios'!$C$6*(1+$E949)^5*$G949+'Sensitivity &amp; Scenarios'!$C$11*'Sensitivity &amp; Scenarios'!$C$6*((1+$E949)^5-(1+$E949)^4))/(1+$C949)^('Sensitivity &amp; Scenarios'!$C$18+4)</f>
        <v>23658.511380119475</v>
      </c>
      <c r="I949" s="209">
        <f>('Sensitivity &amp; Scenarios'!$C$6*(1+$E949)^5*$G949+'Sensitivity &amp; Scenarios'!$C$11*'Sensitivity &amp; Scenarios'!$C$6*((1+$E949)^5-(1+$E949)^4))*(1+$D949)/($C949-$D949)/(1+$C949)^('Sensitivity &amp; Scenarios'!$C$18+4)</f>
        <v>51930.620653307124</v>
      </c>
      <c r="J949" s="209">
        <f>($H949+$I949-'Sensitivity &amp; Scenarios'!$C$15+'Sensitivity &amp; Scenarios'!$C$16)/'Sensitivity &amp; Scenarios'!$C$17</f>
        <v>1877.6198967759788</v>
      </c>
    </row>
    <row r="950" spans="2:10" x14ac:dyDescent="0.3">
      <c r="B950" s="127">
        <v>920</v>
      </c>
      <c r="C950" s="206">
        <f>$D$7+-1.047209*$E$7</f>
        <v>0.12708016943997799</v>
      </c>
      <c r="D950" s="206">
        <f>MIN($D$8+0.610841*$E$8,'Debt &amp; Cost of Capital'!$C$38)</f>
        <v>5.8665045999999998E-2</v>
      </c>
      <c r="E950" s="207">
        <f>$D$9+-0.686938*$E$9</f>
        <v>0.14661295770254634</v>
      </c>
      <c r="F950" s="207">
        <f>$D$10+0.079673*$E$10</f>
        <v>0.14595607599999991</v>
      </c>
      <c r="G950" s="208">
        <f>$F950*(1-'Sensitivity &amp; Scenarios'!$C$12)+'Sensitivity &amp; Scenarios'!$C$9*'Sensitivity &amp; Scenarios'!$C$12-'Sensitivity &amp; Scenarios'!$C$10</f>
        <v>7.8414349759264632E-2</v>
      </c>
      <c r="H950" s="209">
        <f>('Sensitivity &amp; Scenarios'!$C$6*(1+$E950)^1*$G950+'Sensitivity &amp; Scenarios'!$C$11*'Sensitivity &amp; Scenarios'!$C$6*((1+$E950)^1-(1+$E950)^0))*'Sensitivity &amp; Scenarios'!$C$18/(1+$C950)^'Sensitivity &amp; Scenarios'!$C$18+('Sensitivity &amp; Scenarios'!$C$6*(1+$E950)^2*$G950+'Sensitivity &amp; Scenarios'!$C$11*'Sensitivity &amp; Scenarios'!$C$6*((1+$E950)^2-(1+$E950)^1))/(1+$C950)^('Sensitivity &amp; Scenarios'!$C$18+1)+('Sensitivity &amp; Scenarios'!$C$6*(1+$E950)^3*$G950+'Sensitivity &amp; Scenarios'!$C$11*'Sensitivity &amp; Scenarios'!$C$6*((1+$E950)^3-(1+$E950)^2))/(1+$C950)^('Sensitivity &amp; Scenarios'!$C$18+2)+('Sensitivity &amp; Scenarios'!$C$6*(1+$E950)^4*$G950+'Sensitivity &amp; Scenarios'!$C$11*'Sensitivity &amp; Scenarios'!$C$6*((1+$E950)^4-(1+$E950)^3))/(1+$C950)^('Sensitivity &amp; Scenarios'!$C$18+3)+('Sensitivity &amp; Scenarios'!$C$6*(1+$E950)^5*$G950+'Sensitivity &amp; Scenarios'!$C$11*'Sensitivity &amp; Scenarios'!$C$6*((1+$E950)^5-(1+$E950)^4))/(1+$C950)^('Sensitivity &amp; Scenarios'!$C$18+4)</f>
        <v>22348.136188460216</v>
      </c>
      <c r="I950" s="209">
        <f>('Sensitivity &amp; Scenarios'!$C$6*(1+$E950)^5*$G950+'Sensitivity &amp; Scenarios'!$C$11*'Sensitivity &amp; Scenarios'!$C$6*((1+$E950)^5-(1+$E950)^4))*(1+$D950)/($C950-$D950)/(1+$C950)^('Sensitivity &amp; Scenarios'!$C$18+4)</f>
        <v>77023.299611065988</v>
      </c>
      <c r="J950" s="209">
        <f>($H950+$I950-'Sensitivity &amp; Scenarios'!$C$15+'Sensitivity &amp; Scenarios'!$C$16)/'Sensitivity &amp; Scenarios'!$C$17</f>
        <v>2378.2082893461734</v>
      </c>
    </row>
    <row r="951" spans="2:10" x14ac:dyDescent="0.3">
      <c r="B951" s="127">
        <v>921</v>
      </c>
      <c r="C951" s="206">
        <f>$D$7+-0.633254*$E$7</f>
        <v>0.13121971943997798</v>
      </c>
      <c r="D951" s="206">
        <f>MIN($D$8+0.561541*$E$8,'Debt &amp; Cost of Capital'!$C$38)</f>
        <v>5.8369246E-2</v>
      </c>
      <c r="E951" s="207">
        <f>$D$9+0.136774*$E$9</f>
        <v>0.17132431770254633</v>
      </c>
      <c r="F951" s="207">
        <f>$D$10+-0.44829*$E$10</f>
        <v>0.13962051999999991</v>
      </c>
      <c r="G951" s="208">
        <f>$F951*(1-'Sensitivity &amp; Scenarios'!$C$12)+'Sensitivity &amp; Scenarios'!$C$9*'Sensitivity &amp; Scenarios'!$C$12-'Sensitivity &amp; Scenarios'!$C$10</f>
        <v>7.367345320446464E-2</v>
      </c>
      <c r="H951" s="209">
        <f>('Sensitivity &amp; Scenarios'!$C$6*(1+$E951)^1*$G951+'Sensitivity &amp; Scenarios'!$C$11*'Sensitivity &amp; Scenarios'!$C$6*((1+$E951)^1-(1+$E951)^0))*'Sensitivity &amp; Scenarios'!$C$18/(1+$C951)^'Sensitivity &amp; Scenarios'!$C$18+('Sensitivity &amp; Scenarios'!$C$6*(1+$E951)^2*$G951+'Sensitivity &amp; Scenarios'!$C$11*'Sensitivity &amp; Scenarios'!$C$6*((1+$E951)^2-(1+$E951)^1))/(1+$C951)^('Sensitivity &amp; Scenarios'!$C$18+1)+('Sensitivity &amp; Scenarios'!$C$6*(1+$E951)^3*$G951+'Sensitivity &amp; Scenarios'!$C$11*'Sensitivity &amp; Scenarios'!$C$6*((1+$E951)^3-(1+$E951)^2))/(1+$C951)^('Sensitivity &amp; Scenarios'!$C$18+2)+('Sensitivity &amp; Scenarios'!$C$6*(1+$E951)^4*$G951+'Sensitivity &amp; Scenarios'!$C$11*'Sensitivity &amp; Scenarios'!$C$6*((1+$E951)^4-(1+$E951)^3))/(1+$C951)^('Sensitivity &amp; Scenarios'!$C$18+3)+('Sensitivity &amp; Scenarios'!$C$6*(1+$E951)^5*$G951+'Sensitivity &amp; Scenarios'!$C$11*'Sensitivity &amp; Scenarios'!$C$6*((1+$E951)^5-(1+$E951)^4))/(1+$C951)^('Sensitivity &amp; Scenarios'!$C$18+4)</f>
        <v>22985.649883393711</v>
      </c>
      <c r="I951" s="209">
        <f>('Sensitivity &amp; Scenarios'!$C$6*(1+$E951)^5*$G951+'Sensitivity &amp; Scenarios'!$C$11*'Sensitivity &amp; Scenarios'!$C$6*((1+$E951)^5-(1+$E951)^4))*(1+$D951)/($C951-$D951)/(1+$C951)^('Sensitivity &amp; Scenarios'!$C$18+4)</f>
        <v>76770.6881125621</v>
      </c>
      <c r="J951" s="209">
        <f>($H951+$I951-'Sensitivity &amp; Scenarios'!$C$15+'Sensitivity &amp; Scenarios'!$C$16)/'Sensitivity &amp; Scenarios'!$C$17</f>
        <v>2386.3100095875102</v>
      </c>
    </row>
    <row r="952" spans="2:10" x14ac:dyDescent="0.3">
      <c r="B952" s="127">
        <v>922</v>
      </c>
      <c r="C952" s="206">
        <f>$D$7+-1.050172*$E$7</f>
        <v>0.12705053943997799</v>
      </c>
      <c r="D952" s="206">
        <f>MIN($D$8+0.267774*$E$8,'Debt &amp; Cost of Capital'!$C$38)</f>
        <v>5.6606643999999998E-2</v>
      </c>
      <c r="E952" s="207">
        <f>$D$9+-1.212719*$E$9</f>
        <v>0.13083952770254634</v>
      </c>
      <c r="F952" s="207">
        <f>$D$10+0.427481*$E$10</f>
        <v>0.15012977199999991</v>
      </c>
      <c r="G952" s="208">
        <f>$F952*(1-'Sensitivity &amp; Scenarios'!$C$12)+'Sensitivity &amp; Scenarios'!$C$9*'Sensitivity &amp; Scenarios'!$C$12-'Sensitivity &amp; Scenarios'!$C$10</f>
        <v>8.1537526476064645E-2</v>
      </c>
      <c r="H952" s="209">
        <f>('Sensitivity &amp; Scenarios'!$C$6*(1+$E952)^1*$G952+'Sensitivity &amp; Scenarios'!$C$11*'Sensitivity &amp; Scenarios'!$C$6*((1+$E952)^1-(1+$E952)^0))*'Sensitivity &amp; Scenarios'!$C$18/(1+$C952)^'Sensitivity &amp; Scenarios'!$C$18+('Sensitivity &amp; Scenarios'!$C$6*(1+$E952)^2*$G952+'Sensitivity &amp; Scenarios'!$C$11*'Sensitivity &amp; Scenarios'!$C$6*((1+$E952)^2-(1+$E952)^1))/(1+$C952)^('Sensitivity &amp; Scenarios'!$C$18+1)+('Sensitivity &amp; Scenarios'!$C$6*(1+$E952)^3*$G952+'Sensitivity &amp; Scenarios'!$C$11*'Sensitivity &amp; Scenarios'!$C$6*((1+$E952)^3-(1+$E952)^2))/(1+$C952)^('Sensitivity &amp; Scenarios'!$C$18+2)+('Sensitivity &amp; Scenarios'!$C$6*(1+$E952)^4*$G952+'Sensitivity &amp; Scenarios'!$C$11*'Sensitivity &amp; Scenarios'!$C$6*((1+$E952)^4-(1+$E952)^3))/(1+$C952)^('Sensitivity &amp; Scenarios'!$C$18+3)+('Sensitivity &amp; Scenarios'!$C$6*(1+$E952)^5*$G952+'Sensitivity &amp; Scenarios'!$C$11*'Sensitivity &amp; Scenarios'!$C$6*((1+$E952)^5-(1+$E952)^4))/(1+$C952)^('Sensitivity &amp; Scenarios'!$C$18+4)</f>
        <v>21800.331972904241</v>
      </c>
      <c r="I952" s="209">
        <f>('Sensitivity &amp; Scenarios'!$C$6*(1+$E952)^5*$G952+'Sensitivity &amp; Scenarios'!$C$11*'Sensitivity &amp; Scenarios'!$C$6*((1+$E952)^5-(1+$E952)^4))*(1+$D952)/($C952-$D952)/(1+$C952)^('Sensitivity &amp; Scenarios'!$C$18+4)</f>
        <v>71016.958110617008</v>
      </c>
      <c r="J952" s="209">
        <f>($H952+$I952-'Sensitivity &amp; Scenarios'!$C$15+'Sensitivity &amp; Scenarios'!$C$16)/'Sensitivity &amp; Scenarios'!$C$17</f>
        <v>2240.2515421397679</v>
      </c>
    </row>
    <row r="953" spans="2:10" x14ac:dyDescent="0.3">
      <c r="B953" s="127">
        <v>923</v>
      </c>
      <c r="C953" s="206">
        <f>$D$7+2.626485*$E$7</f>
        <v>0.16381710943997799</v>
      </c>
      <c r="D953" s="206">
        <f>MIN($D$8+1.35017*$E$8,'Debt &amp; Cost of Capital'!$C$38)</f>
        <v>6.3101020000000008E-2</v>
      </c>
      <c r="E953" s="207">
        <f>$D$9+0.718348*$E$9</f>
        <v>0.18877153770254634</v>
      </c>
      <c r="F953" s="207">
        <f>$D$10+-0.085607*$E$10</f>
        <v>0.14397271599999992</v>
      </c>
      <c r="G953" s="208">
        <f>$F953*(1-'Sensitivity &amp; Scenarios'!$C$12)+'Sensitivity &amp; Scenarios'!$C$9*'Sensitivity &amp; Scenarios'!$C$12-'Sensitivity &amp; Scenarios'!$C$10</f>
        <v>7.6930201471264642E-2</v>
      </c>
      <c r="H953" s="209">
        <f>('Sensitivity &amp; Scenarios'!$C$6*(1+$E953)^1*$G953+'Sensitivity &amp; Scenarios'!$C$11*'Sensitivity &amp; Scenarios'!$C$6*((1+$E953)^1-(1+$E953)^0))*'Sensitivity &amp; Scenarios'!$C$18/(1+$C953)^'Sensitivity &amp; Scenarios'!$C$18+('Sensitivity &amp; Scenarios'!$C$6*(1+$E953)^2*$G953+'Sensitivity &amp; Scenarios'!$C$11*'Sensitivity &amp; Scenarios'!$C$6*((1+$E953)^2-(1+$E953)^1))/(1+$C953)^('Sensitivity &amp; Scenarios'!$C$18+1)+('Sensitivity &amp; Scenarios'!$C$6*(1+$E953)^3*$G953+'Sensitivity &amp; Scenarios'!$C$11*'Sensitivity &amp; Scenarios'!$C$6*((1+$E953)^3-(1+$E953)^2))/(1+$C953)^('Sensitivity &amp; Scenarios'!$C$18+2)+('Sensitivity &amp; Scenarios'!$C$6*(1+$E953)^4*$G953+'Sensitivity &amp; Scenarios'!$C$11*'Sensitivity &amp; Scenarios'!$C$6*((1+$E953)^4-(1+$E953)^3))/(1+$C953)^('Sensitivity &amp; Scenarios'!$C$18+3)+('Sensitivity &amp; Scenarios'!$C$6*(1+$E953)^5*$G953+'Sensitivity &amp; Scenarios'!$C$11*'Sensitivity &amp; Scenarios'!$C$6*((1+$E953)^5-(1+$E953)^4))/(1+$C953)^('Sensitivity &amp; Scenarios'!$C$18+4)</f>
        <v>23381.058299156313</v>
      </c>
      <c r="I953" s="209">
        <f>('Sensitivity &amp; Scenarios'!$C$6*(1+$E953)^5*$G953+'Sensitivity &amp; Scenarios'!$C$11*'Sensitivity &amp; Scenarios'!$C$6*((1+$E953)^5-(1+$E953)^4))*(1+$D953)/($C953-$D953)/(1+$C953)^('Sensitivity &amp; Scenarios'!$C$18+4)</f>
        <v>55370.549902930783</v>
      </c>
      <c r="J953" s="209">
        <f>($H953+$I953-'Sensitivity &amp; Scenarios'!$C$15+'Sensitivity &amp; Scenarios'!$C$16)/'Sensitivity &amp; Scenarios'!$C$17</f>
        <v>1944.1861502971335</v>
      </c>
    </row>
    <row r="954" spans="2:10" x14ac:dyDescent="0.3">
      <c r="B954" s="127">
        <v>924</v>
      </c>
      <c r="C954" s="206">
        <f>$D$7+-1.938753*$E$7</f>
        <v>0.11816472943997798</v>
      </c>
      <c r="D954" s="206">
        <f>MIN($D$8+-1.322286*$E$8,'Debt &amp; Cost of Capital'!$C$38)</f>
        <v>4.7066284E-2</v>
      </c>
      <c r="E954" s="207">
        <f>$D$9+1.282793*$E$9</f>
        <v>0.20570488770254636</v>
      </c>
      <c r="F954" s="207">
        <f>$D$10+-0.789756*$E$10</f>
        <v>0.1355229279999999</v>
      </c>
      <c r="G954" s="208">
        <f>$F954*(1-'Sensitivity &amp; Scenarios'!$C$12)+'Sensitivity &amp; Scenarios'!$C$9*'Sensitivity &amp; Scenarios'!$C$12-'Sensitivity &amp; Scenarios'!$C$10</f>
        <v>7.0607225110864633E-2</v>
      </c>
      <c r="H954" s="209">
        <f>('Sensitivity &amp; Scenarios'!$C$6*(1+$E954)^1*$G954+'Sensitivity &amp; Scenarios'!$C$11*'Sensitivity &amp; Scenarios'!$C$6*((1+$E954)^1-(1+$E954)^0))*'Sensitivity &amp; Scenarios'!$C$18/(1+$C954)^'Sensitivity &amp; Scenarios'!$C$18+('Sensitivity &amp; Scenarios'!$C$6*(1+$E954)^2*$G954+'Sensitivity &amp; Scenarios'!$C$11*'Sensitivity &amp; Scenarios'!$C$6*((1+$E954)^2-(1+$E954)^1))/(1+$C954)^('Sensitivity &amp; Scenarios'!$C$18+1)+('Sensitivity &amp; Scenarios'!$C$6*(1+$E954)^3*$G954+'Sensitivity &amp; Scenarios'!$C$11*'Sensitivity &amp; Scenarios'!$C$6*((1+$E954)^3-(1+$E954)^2))/(1+$C954)^('Sensitivity &amp; Scenarios'!$C$18+2)+('Sensitivity &amp; Scenarios'!$C$6*(1+$E954)^4*$G954+'Sensitivity &amp; Scenarios'!$C$11*'Sensitivity &amp; Scenarios'!$C$6*((1+$E954)^4-(1+$E954)^3))/(1+$C954)^('Sensitivity &amp; Scenarios'!$C$18+3)+('Sensitivity &amp; Scenarios'!$C$6*(1+$E954)^5*$G954+'Sensitivity &amp; Scenarios'!$C$11*'Sensitivity &amp; Scenarios'!$C$6*((1+$E954)^5-(1+$E954)^4))/(1+$C954)^('Sensitivity &amp; Scenarios'!$C$18+4)</f>
        <v>26006.48807962862</v>
      </c>
      <c r="I954" s="209">
        <f>('Sensitivity &amp; Scenarios'!$C$6*(1+$E954)^5*$G954+'Sensitivity &amp; Scenarios'!$C$11*'Sensitivity &amp; Scenarios'!$C$6*((1+$E954)^5-(1+$E954)^4))*(1+$D954)/($C954-$D954)/(1+$C954)^('Sensitivity &amp; Scenarios'!$C$18+4)</f>
        <v>94492.214479992253</v>
      </c>
      <c r="J954" s="209">
        <f>($H954+$I954-'Sensitivity &amp; Scenarios'!$C$15+'Sensitivity &amp; Scenarios'!$C$16)/'Sensitivity &amp; Scenarios'!$C$17</f>
        <v>2822.9114018307218</v>
      </c>
    </row>
    <row r="955" spans="2:10" x14ac:dyDescent="0.3">
      <c r="B955" s="127">
        <v>925</v>
      </c>
      <c r="C955" s="206">
        <f>$D$7+-0.699252*$E$7</f>
        <v>0.13055973943997798</v>
      </c>
      <c r="D955" s="206">
        <f>MIN($D$8+-0.16565*$E$8,'Debt &amp; Cost of Capital'!$C$38)</f>
        <v>5.4006100000000001E-2</v>
      </c>
      <c r="E955" s="207">
        <f>$D$9+-1.062046*$E$9</f>
        <v>0.13535971770254634</v>
      </c>
      <c r="F955" s="207">
        <f>$D$10+-1.226769*$E$10</f>
        <v>0.1302787719999999</v>
      </c>
      <c r="G955" s="208">
        <f>$F955*(1-'Sensitivity &amp; Scenarios'!$C$12)+'Sensitivity &amp; Scenarios'!$C$9*'Sensitivity &amp; Scenarios'!$C$12-'Sensitivity &amp; Scenarios'!$C$10</f>
        <v>6.6683023176064629E-2</v>
      </c>
      <c r="H955" s="209">
        <f>('Sensitivity &amp; Scenarios'!$C$6*(1+$E955)^1*$G955+'Sensitivity &amp; Scenarios'!$C$11*'Sensitivity &amp; Scenarios'!$C$6*((1+$E955)^1-(1+$E955)^0))*'Sensitivity &amp; Scenarios'!$C$18/(1+$C955)^'Sensitivity &amp; Scenarios'!$C$18+('Sensitivity &amp; Scenarios'!$C$6*(1+$E955)^2*$G955+'Sensitivity &amp; Scenarios'!$C$11*'Sensitivity &amp; Scenarios'!$C$6*((1+$E955)^2-(1+$E955)^1))/(1+$C955)^('Sensitivity &amp; Scenarios'!$C$18+1)+('Sensitivity &amp; Scenarios'!$C$6*(1+$E955)^3*$G955+'Sensitivity &amp; Scenarios'!$C$11*'Sensitivity &amp; Scenarios'!$C$6*((1+$E955)^3-(1+$E955)^2))/(1+$C955)^('Sensitivity &amp; Scenarios'!$C$18+2)+('Sensitivity &amp; Scenarios'!$C$6*(1+$E955)^4*$G955+'Sensitivity &amp; Scenarios'!$C$11*'Sensitivity &amp; Scenarios'!$C$6*((1+$E955)^4-(1+$E955)^3))/(1+$C955)^('Sensitivity &amp; Scenarios'!$C$18+3)+('Sensitivity &amp; Scenarios'!$C$6*(1+$E955)^5*$G955+'Sensitivity &amp; Scenarios'!$C$11*'Sensitivity &amp; Scenarios'!$C$6*((1+$E955)^5-(1+$E955)^4))/(1+$C955)^('Sensitivity &amp; Scenarios'!$C$18+4)</f>
        <v>18527.171606037686</v>
      </c>
      <c r="I955" s="209">
        <f>('Sensitivity &amp; Scenarios'!$C$6*(1+$E955)^5*$G955+'Sensitivity &amp; Scenarios'!$C$11*'Sensitivity &amp; Scenarios'!$C$6*((1+$E955)^5-(1+$E955)^4))*(1+$D955)/($C955-$D955)/(1+$C955)^('Sensitivity &amp; Scenarios'!$C$18+4)</f>
        <v>55490.278850966606</v>
      </c>
      <c r="J955" s="209">
        <f>($H955+$I955-'Sensitivity &amp; Scenarios'!$C$15+'Sensitivity &amp; Scenarios'!$C$16)/'Sensitivity &amp; Scenarios'!$C$17</f>
        <v>1844.5379228128452</v>
      </c>
    </row>
    <row r="956" spans="2:10" x14ac:dyDescent="0.3">
      <c r="B956" s="127">
        <v>926</v>
      </c>
      <c r="C956" s="206">
        <f>$D$7+-0.050474*$E$7</f>
        <v>0.13704751943997798</v>
      </c>
      <c r="D956" s="206">
        <f>MIN($D$8+-0.891529*$E$8,'Debt &amp; Cost of Capital'!$C$38)</f>
        <v>4.9650826000000002E-2</v>
      </c>
      <c r="E956" s="207">
        <f>$D$9+-0.741019*$E$9</f>
        <v>0.14499052770254633</v>
      </c>
      <c r="F956" s="207">
        <f>$D$10+-0.781191*$E$10</f>
        <v>0.1356257079999999</v>
      </c>
      <c r="G956" s="208">
        <f>$F956*(1-'Sensitivity &amp; Scenarios'!$C$12)+'Sensitivity &amp; Scenarios'!$C$9*'Sensitivity &amp; Scenarios'!$C$12-'Sensitivity &amp; Scenarios'!$C$10</f>
        <v>7.0684135384864635E-2</v>
      </c>
      <c r="H956" s="209">
        <f>('Sensitivity &amp; Scenarios'!$C$6*(1+$E956)^1*$G956+'Sensitivity &amp; Scenarios'!$C$11*'Sensitivity &amp; Scenarios'!$C$6*((1+$E956)^1-(1+$E956)^0))*'Sensitivity &amp; Scenarios'!$C$18/(1+$C956)^'Sensitivity &amp; Scenarios'!$C$18+('Sensitivity &amp; Scenarios'!$C$6*(1+$E956)^2*$G956+'Sensitivity &amp; Scenarios'!$C$11*'Sensitivity &amp; Scenarios'!$C$6*((1+$E956)^2-(1+$E956)^1))/(1+$C956)^('Sensitivity &amp; Scenarios'!$C$18+1)+('Sensitivity &amp; Scenarios'!$C$6*(1+$E956)^3*$G956+'Sensitivity &amp; Scenarios'!$C$11*'Sensitivity &amp; Scenarios'!$C$6*((1+$E956)^3-(1+$E956)^2))/(1+$C956)^('Sensitivity &amp; Scenarios'!$C$18+2)+('Sensitivity &amp; Scenarios'!$C$6*(1+$E956)^4*$G956+'Sensitivity &amp; Scenarios'!$C$11*'Sensitivity &amp; Scenarios'!$C$6*((1+$E956)^4-(1+$E956)^3))/(1+$C956)^('Sensitivity &amp; Scenarios'!$C$18+3)+('Sensitivity &amp; Scenarios'!$C$6*(1+$E956)^5*$G956+'Sensitivity &amp; Scenarios'!$C$11*'Sensitivity &amp; Scenarios'!$C$6*((1+$E956)^5-(1+$E956)^4))/(1+$C956)^('Sensitivity &amp; Scenarios'!$C$18+4)</f>
        <v>19857.363245019136</v>
      </c>
      <c r="I956" s="209">
        <f>('Sensitivity &amp; Scenarios'!$C$6*(1+$E956)^5*$G956+'Sensitivity &amp; Scenarios'!$C$11*'Sensitivity &amp; Scenarios'!$C$6*((1+$E956)^5-(1+$E956)^4))*(1+$D956)/($C956-$D956)/(1+$C956)^('Sensitivity &amp; Scenarios'!$C$18+4)</f>
        <v>52139.755326557497</v>
      </c>
      <c r="J956" s="209">
        <f>($H956+$I956-'Sensitivity &amp; Scenarios'!$C$15+'Sensitivity &amp; Scenarios'!$C$16)/'Sensitivity &amp; Scenarios'!$C$17</f>
        <v>1802.0124088453479</v>
      </c>
    </row>
    <row r="957" spans="2:10" x14ac:dyDescent="0.3">
      <c r="B957" s="127">
        <v>927</v>
      </c>
      <c r="C957" s="206">
        <f>$D$7+0.52236*$E$7</f>
        <v>0.14277585943997798</v>
      </c>
      <c r="D957" s="206">
        <f>MIN($D$8+-0.232126*$E$8,'Debt &amp; Cost of Capital'!$C$38)</f>
        <v>5.3607243999999998E-2</v>
      </c>
      <c r="E957" s="207">
        <f>$D$9+-0.178572*$E$9</f>
        <v>0.16186393770254634</v>
      </c>
      <c r="F957" s="207">
        <f>$D$10+0.596946*$E$10</f>
        <v>0.15216335199999992</v>
      </c>
      <c r="G957" s="208">
        <f>$F957*(1-'Sensitivity &amp; Scenarios'!$C$12)+'Sensitivity &amp; Scenarios'!$C$9*'Sensitivity &amp; Scenarios'!$C$12-'Sensitivity &amp; Scenarios'!$C$10</f>
        <v>8.3059254390064646E-2</v>
      </c>
      <c r="H957" s="209">
        <f>('Sensitivity &amp; Scenarios'!$C$6*(1+$E957)^1*$G957+'Sensitivity &amp; Scenarios'!$C$11*'Sensitivity &amp; Scenarios'!$C$6*((1+$E957)^1-(1+$E957)^0))*'Sensitivity &amp; Scenarios'!$C$18/(1+$C957)^'Sensitivity &amp; Scenarios'!$C$18+('Sensitivity &amp; Scenarios'!$C$6*(1+$E957)^2*$G957+'Sensitivity &amp; Scenarios'!$C$11*'Sensitivity &amp; Scenarios'!$C$6*((1+$E957)^2-(1+$E957)^1))/(1+$C957)^('Sensitivity &amp; Scenarios'!$C$18+1)+('Sensitivity &amp; Scenarios'!$C$6*(1+$E957)^3*$G957+'Sensitivity &amp; Scenarios'!$C$11*'Sensitivity &amp; Scenarios'!$C$6*((1+$E957)^3-(1+$E957)^2))/(1+$C957)^('Sensitivity &amp; Scenarios'!$C$18+2)+('Sensitivity &amp; Scenarios'!$C$6*(1+$E957)^4*$G957+'Sensitivity &amp; Scenarios'!$C$11*'Sensitivity &amp; Scenarios'!$C$6*((1+$E957)^4-(1+$E957)^3))/(1+$C957)^('Sensitivity &amp; Scenarios'!$C$18+3)+('Sensitivity &amp; Scenarios'!$C$6*(1+$E957)^5*$G957+'Sensitivity &amp; Scenarios'!$C$11*'Sensitivity &amp; Scenarios'!$C$6*((1+$E957)^5-(1+$E957)^4))/(1+$C957)^('Sensitivity &amp; Scenarios'!$C$18+4)</f>
        <v>23848.977090116296</v>
      </c>
      <c r="I957" s="209">
        <f>('Sensitivity &amp; Scenarios'!$C$6*(1+$E957)^5*$G957+'Sensitivity &amp; Scenarios'!$C$11*'Sensitivity &amp; Scenarios'!$C$6*((1+$E957)^5-(1+$E957)^4))*(1+$D957)/($C957-$D957)/(1+$C957)^('Sensitivity &amp; Scenarios'!$C$18+4)</f>
        <v>62693.978774934367</v>
      </c>
      <c r="J957" s="209">
        <f>($H957+$I957-'Sensitivity &amp; Scenarios'!$C$15+'Sensitivity &amp; Scenarios'!$C$16)/'Sensitivity &amp; Scenarios'!$C$17</f>
        <v>2108.1844845593546</v>
      </c>
    </row>
    <row r="958" spans="2:10" x14ac:dyDescent="0.3">
      <c r="B958" s="127">
        <v>928</v>
      </c>
      <c r="C958" s="206">
        <f>$D$7+-0.14204*$E$7</f>
        <v>0.13613185943997799</v>
      </c>
      <c r="D958" s="206">
        <f>MIN($D$8+-0.278254*$E$8,'Debt &amp; Cost of Capital'!$C$38)</f>
        <v>5.3330476000000002E-2</v>
      </c>
      <c r="E958" s="207">
        <f>$D$9+0.47045*$E$9</f>
        <v>0.18133459770254634</v>
      </c>
      <c r="F958" s="207">
        <f>$D$10+0.668198*$E$10</f>
        <v>0.1530183759999999</v>
      </c>
      <c r="G958" s="208">
        <f>$F958*(1-'Sensitivity &amp; Scenarios'!$C$12)+'Sensitivity &amp; Scenarios'!$C$9*'Sensitivity &amp; Scenarios'!$C$12-'Sensitivity &amp; Scenarios'!$C$10</f>
        <v>8.3699068849264632E-2</v>
      </c>
      <c r="H958" s="209">
        <f>('Sensitivity &amp; Scenarios'!$C$6*(1+$E958)^1*$G958+'Sensitivity &amp; Scenarios'!$C$11*'Sensitivity &amp; Scenarios'!$C$6*((1+$E958)^1-(1+$E958)^0))*'Sensitivity &amp; Scenarios'!$C$18/(1+$C958)^'Sensitivity &amp; Scenarios'!$C$18+('Sensitivity &amp; Scenarios'!$C$6*(1+$E958)^2*$G958+'Sensitivity &amp; Scenarios'!$C$11*'Sensitivity &amp; Scenarios'!$C$6*((1+$E958)^2-(1+$E958)^1))/(1+$C958)^('Sensitivity &amp; Scenarios'!$C$18+1)+('Sensitivity &amp; Scenarios'!$C$6*(1+$E958)^3*$G958+'Sensitivity &amp; Scenarios'!$C$11*'Sensitivity &amp; Scenarios'!$C$6*((1+$E958)^3-(1+$E958)^2))/(1+$C958)^('Sensitivity &amp; Scenarios'!$C$18+2)+('Sensitivity &amp; Scenarios'!$C$6*(1+$E958)^4*$G958+'Sensitivity &amp; Scenarios'!$C$11*'Sensitivity &amp; Scenarios'!$C$6*((1+$E958)^4-(1+$E958)^3))/(1+$C958)^('Sensitivity &amp; Scenarios'!$C$18+3)+('Sensitivity &amp; Scenarios'!$C$6*(1+$E958)^5*$G958+'Sensitivity &amp; Scenarios'!$C$11*'Sensitivity &amp; Scenarios'!$C$6*((1+$E958)^5-(1+$E958)^4))/(1+$C958)^('Sensitivity &amp; Scenarios'!$C$18+4)</f>
        <v>26147.599166752163</v>
      </c>
      <c r="I958" s="209">
        <f>('Sensitivity &amp; Scenarios'!$C$6*(1+$E958)^5*$G958+'Sensitivity &amp; Scenarios'!$C$11*'Sensitivity &amp; Scenarios'!$C$6*((1+$E958)^5-(1+$E958)^4))*(1+$D958)/($C958-$D958)/(1+$C958)^('Sensitivity &amp; Scenarios'!$C$18+4)</f>
        <v>77039.21660812867</v>
      </c>
      <c r="J958" s="209">
        <f>($H958+$I958-'Sensitivity &amp; Scenarios'!$C$15+'Sensitivity &amp; Scenarios'!$C$16)/'Sensitivity &amp; Scenarios'!$C$17</f>
        <v>2458.5173690590386</v>
      </c>
    </row>
    <row r="959" spans="2:10" x14ac:dyDescent="0.3">
      <c r="B959" s="127">
        <v>929</v>
      </c>
      <c r="C959" s="206">
        <f>$D$7+-0.147073*$E$7</f>
        <v>0.13608152943997798</v>
      </c>
      <c r="D959" s="206">
        <f>MIN($D$8+0.080608*$E$8,'Debt &amp; Cost of Capital'!$C$38)</f>
        <v>5.5483648000000003E-2</v>
      </c>
      <c r="E959" s="207">
        <f>$D$9+-0.78179*$E$9</f>
        <v>0.14376739770254635</v>
      </c>
      <c r="F959" s="207">
        <f>$D$10+-0.860683*$E$10</f>
        <v>0.1346718039999999</v>
      </c>
      <c r="G959" s="208">
        <f>$F959*(1-'Sensitivity &amp; Scenarios'!$C$12)+'Sensitivity &amp; Scenarios'!$C$9*'Sensitivity &amp; Scenarios'!$C$12-'Sensitivity &amp; Scenarios'!$C$10</f>
        <v>6.9970329021664626E-2</v>
      </c>
      <c r="H959" s="209">
        <f>('Sensitivity &amp; Scenarios'!$C$6*(1+$E959)^1*$G959+'Sensitivity &amp; Scenarios'!$C$11*'Sensitivity &amp; Scenarios'!$C$6*((1+$E959)^1-(1+$E959)^0))*'Sensitivity &amp; Scenarios'!$C$18/(1+$C959)^'Sensitivity &amp; Scenarios'!$C$18+('Sensitivity &amp; Scenarios'!$C$6*(1+$E959)^2*$G959+'Sensitivity &amp; Scenarios'!$C$11*'Sensitivity &amp; Scenarios'!$C$6*((1+$E959)^2-(1+$E959)^1))/(1+$C959)^('Sensitivity &amp; Scenarios'!$C$18+1)+('Sensitivity &amp; Scenarios'!$C$6*(1+$E959)^3*$G959+'Sensitivity &amp; Scenarios'!$C$11*'Sensitivity &amp; Scenarios'!$C$6*((1+$E959)^3-(1+$E959)^2))/(1+$C959)^('Sensitivity &amp; Scenarios'!$C$18+2)+('Sensitivity &amp; Scenarios'!$C$6*(1+$E959)^4*$G959+'Sensitivity &amp; Scenarios'!$C$11*'Sensitivity &amp; Scenarios'!$C$6*((1+$E959)^4-(1+$E959)^3))/(1+$C959)^('Sensitivity &amp; Scenarios'!$C$18+3)+('Sensitivity &amp; Scenarios'!$C$6*(1+$E959)^5*$G959+'Sensitivity &amp; Scenarios'!$C$11*'Sensitivity &amp; Scenarios'!$C$6*((1+$E959)^5-(1+$E959)^4))/(1+$C959)^('Sensitivity &amp; Scenarios'!$C$18+4)</f>
        <v>19645.958046221</v>
      </c>
      <c r="I959" s="209">
        <f>('Sensitivity &amp; Scenarios'!$C$6*(1+$E959)^5*$G959+'Sensitivity &amp; Scenarios'!$C$11*'Sensitivity &amp; Scenarios'!$C$6*((1+$E959)^5-(1+$E959)^4))*(1+$D959)/($C959-$D959)/(1+$C959)^('Sensitivity &amp; Scenarios'!$C$18+4)</f>
        <v>56224.392752605709</v>
      </c>
      <c r="J959" s="209">
        <f>($H959+$I959-'Sensitivity &amp; Scenarios'!$C$15+'Sensitivity &amp; Scenarios'!$C$16)/'Sensitivity &amp; Scenarios'!$C$17</f>
        <v>1883.5392076685121</v>
      </c>
    </row>
    <row r="960" spans="2:10" x14ac:dyDescent="0.3">
      <c r="B960" s="127">
        <v>930</v>
      </c>
      <c r="C960" s="206">
        <f>$D$7+0.769148*$E$7</f>
        <v>0.14524373943997798</v>
      </c>
      <c r="D960" s="206">
        <f>MIN($D$8+0.444942*$E$8,'Debt &amp; Cost of Capital'!$C$38)</f>
        <v>5.7669652000000002E-2</v>
      </c>
      <c r="E960" s="207">
        <f>$D$9+0.455298*$E$9</f>
        <v>0.18088003770254635</v>
      </c>
      <c r="F960" s="207">
        <f>$D$10+0.280854*$E$10</f>
        <v>0.1483702479999999</v>
      </c>
      <c r="G960" s="208">
        <f>$F960*(1-'Sensitivity &amp; Scenarios'!$C$12)+'Sensitivity &amp; Scenarios'!$C$9*'Sensitivity &amp; Scenarios'!$C$12-'Sensitivity &amp; Scenarios'!$C$10</f>
        <v>8.0220874666864631E-2</v>
      </c>
      <c r="H960" s="209">
        <f>('Sensitivity &amp; Scenarios'!$C$6*(1+$E960)^1*$G960+'Sensitivity &amp; Scenarios'!$C$11*'Sensitivity &amp; Scenarios'!$C$6*((1+$E960)^1-(1+$E960)^0))*'Sensitivity &amp; Scenarios'!$C$18/(1+$C960)^'Sensitivity &amp; Scenarios'!$C$18+('Sensitivity &amp; Scenarios'!$C$6*(1+$E960)^2*$G960+'Sensitivity &amp; Scenarios'!$C$11*'Sensitivity &amp; Scenarios'!$C$6*((1+$E960)^2-(1+$E960)^1))/(1+$C960)^('Sensitivity &amp; Scenarios'!$C$18+1)+('Sensitivity &amp; Scenarios'!$C$6*(1+$E960)^3*$G960+'Sensitivity &amp; Scenarios'!$C$11*'Sensitivity &amp; Scenarios'!$C$6*((1+$E960)^3-(1+$E960)^2))/(1+$C960)^('Sensitivity &amp; Scenarios'!$C$18+2)+('Sensitivity &amp; Scenarios'!$C$6*(1+$E960)^4*$G960+'Sensitivity &amp; Scenarios'!$C$11*'Sensitivity &amp; Scenarios'!$C$6*((1+$E960)^4-(1+$E960)^3))/(1+$C960)^('Sensitivity &amp; Scenarios'!$C$18+3)+('Sensitivity &amp; Scenarios'!$C$6*(1+$E960)^5*$G960+'Sensitivity &amp; Scenarios'!$C$11*'Sensitivity &amp; Scenarios'!$C$6*((1+$E960)^5-(1+$E960)^4))/(1+$C960)^('Sensitivity &amp; Scenarios'!$C$18+4)</f>
        <v>24634.666203036042</v>
      </c>
      <c r="I960" s="209">
        <f>('Sensitivity &amp; Scenarios'!$C$6*(1+$E960)^5*$G960+'Sensitivity &amp; Scenarios'!$C$11*'Sensitivity &amp; Scenarios'!$C$6*((1+$E960)^5-(1+$E960)^4))*(1+$D960)/($C960-$D960)/(1+$C960)^('Sensitivity &amp; Scenarios'!$C$18+4)</f>
        <v>67890.211322047049</v>
      </c>
      <c r="J960" s="209">
        <f>($H960+$I960-'Sensitivity &amp; Scenarios'!$C$15+'Sensitivity &amp; Scenarios'!$C$16)/'Sensitivity &amp; Scenarios'!$C$17</f>
        <v>2234.0966156012987</v>
      </c>
    </row>
    <row r="961" spans="2:10" x14ac:dyDescent="0.3">
      <c r="B961" s="127">
        <v>931</v>
      </c>
      <c r="C961" s="206">
        <f>$D$7+0.046203*$E$7</f>
        <v>0.13801428943997798</v>
      </c>
      <c r="D961" s="206">
        <f>MIN($D$8+0.696412*$E$8,'Debt &amp; Cost of Capital'!$C$38)</f>
        <v>5.9178472000000003E-2</v>
      </c>
      <c r="E961" s="207">
        <f>$D$9+0.935109*$E$9</f>
        <v>0.19527436770254633</v>
      </c>
      <c r="F961" s="207">
        <f>$D$10+0.911228*$E$10</f>
        <v>0.15593473599999991</v>
      </c>
      <c r="G961" s="208">
        <f>$F961*(1-'Sensitivity &amp; Scenarios'!$C$12)+'Sensitivity &amp; Scenarios'!$C$9*'Sensitivity &amp; Scenarios'!$C$12-'Sensitivity &amp; Scenarios'!$C$10</f>
        <v>8.5881381037264642E-2</v>
      </c>
      <c r="H961" s="209">
        <f>('Sensitivity &amp; Scenarios'!$C$6*(1+$E961)^1*$G961+'Sensitivity &amp; Scenarios'!$C$11*'Sensitivity &amp; Scenarios'!$C$6*((1+$E961)^1-(1+$E961)^0))*'Sensitivity &amp; Scenarios'!$C$18/(1+$C961)^'Sensitivity &amp; Scenarios'!$C$18+('Sensitivity &amp; Scenarios'!$C$6*(1+$E961)^2*$G961+'Sensitivity &amp; Scenarios'!$C$11*'Sensitivity &amp; Scenarios'!$C$6*((1+$E961)^2-(1+$E961)^1))/(1+$C961)^('Sensitivity &amp; Scenarios'!$C$18+1)+('Sensitivity &amp; Scenarios'!$C$6*(1+$E961)^3*$G961+'Sensitivity &amp; Scenarios'!$C$11*'Sensitivity &amp; Scenarios'!$C$6*((1+$E961)^3-(1+$E961)^2))/(1+$C961)^('Sensitivity &amp; Scenarios'!$C$18+2)+('Sensitivity &amp; Scenarios'!$C$6*(1+$E961)^4*$G961+'Sensitivity &amp; Scenarios'!$C$11*'Sensitivity &amp; Scenarios'!$C$6*((1+$E961)^4-(1+$E961)^3))/(1+$C961)^('Sensitivity &amp; Scenarios'!$C$18+3)+('Sensitivity &amp; Scenarios'!$C$6*(1+$E961)^5*$G961+'Sensitivity &amp; Scenarios'!$C$11*'Sensitivity &amp; Scenarios'!$C$6*((1+$E961)^5-(1+$E961)^4))/(1+$C961)^('Sensitivity &amp; Scenarios'!$C$18+4)</f>
        <v>27909.515712950015</v>
      </c>
      <c r="I961" s="209">
        <f>('Sensitivity &amp; Scenarios'!$C$6*(1+$E961)^5*$G961+'Sensitivity &amp; Scenarios'!$C$11*'Sensitivity &amp; Scenarios'!$C$6*((1+$E961)^5-(1+$E961)^4))*(1+$D961)/($C961-$D961)/(1+$C961)^('Sensitivity &amp; Scenarios'!$C$18+4)</f>
        <v>88401.55125916058</v>
      </c>
      <c r="J961" s="209">
        <f>($H961+$I961-'Sensitivity &amp; Scenarios'!$C$15+'Sensitivity &amp; Scenarios'!$C$16)/'Sensitivity &amp; Scenarios'!$C$17</f>
        <v>2734.7667970002321</v>
      </c>
    </row>
    <row r="962" spans="2:10" x14ac:dyDescent="0.3">
      <c r="B962" s="127">
        <v>932</v>
      </c>
      <c r="C962" s="206">
        <f>$D$7+-0.100778*$E$7</f>
        <v>0.13654447943997797</v>
      </c>
      <c r="D962" s="206">
        <f>MIN($D$8+1.386993*$E$8,'Debt &amp; Cost of Capital'!$C$38)</f>
        <v>6.3321957999999998E-2</v>
      </c>
      <c r="E962" s="207">
        <f>$D$9+0.228461*$E$9</f>
        <v>0.17407492770254634</v>
      </c>
      <c r="F962" s="207">
        <f>$D$10+0.632376*$E$10</f>
        <v>0.1525885119999999</v>
      </c>
      <c r="G962" s="208">
        <f>$F962*(1-'Sensitivity &amp; Scenarios'!$C$12)+'Sensitivity &amp; Scenarios'!$C$9*'Sensitivity &amp; Scenarios'!$C$12-'Sensitivity &amp; Scenarios'!$C$10</f>
        <v>8.3377401618064631E-2</v>
      </c>
      <c r="H962" s="209">
        <f>('Sensitivity &amp; Scenarios'!$C$6*(1+$E962)^1*$G962+'Sensitivity &amp; Scenarios'!$C$11*'Sensitivity &amp; Scenarios'!$C$6*((1+$E962)^1-(1+$E962)^0))*'Sensitivity &amp; Scenarios'!$C$18/(1+$C962)^'Sensitivity &amp; Scenarios'!$C$18+('Sensitivity &amp; Scenarios'!$C$6*(1+$E962)^2*$G962+'Sensitivity &amp; Scenarios'!$C$11*'Sensitivity &amp; Scenarios'!$C$6*((1+$E962)^2-(1+$E962)^1))/(1+$C962)^('Sensitivity &amp; Scenarios'!$C$18+1)+('Sensitivity &amp; Scenarios'!$C$6*(1+$E962)^3*$G962+'Sensitivity &amp; Scenarios'!$C$11*'Sensitivity &amp; Scenarios'!$C$6*((1+$E962)^3-(1+$E962)^2))/(1+$C962)^('Sensitivity &amp; Scenarios'!$C$18+2)+('Sensitivity &amp; Scenarios'!$C$6*(1+$E962)^4*$G962+'Sensitivity &amp; Scenarios'!$C$11*'Sensitivity &amp; Scenarios'!$C$6*((1+$E962)^4-(1+$E962)^3))/(1+$C962)^('Sensitivity &amp; Scenarios'!$C$18+3)+('Sensitivity &amp; Scenarios'!$C$6*(1+$E962)^5*$G962+'Sensitivity &amp; Scenarios'!$C$11*'Sensitivity &amp; Scenarios'!$C$6*((1+$E962)^5-(1+$E962)^4))/(1+$C962)^('Sensitivity &amp; Scenarios'!$C$18+4)</f>
        <v>25378.164041872518</v>
      </c>
      <c r="I962" s="209">
        <f>('Sensitivity &amp; Scenarios'!$C$6*(1+$E962)^5*$G962+'Sensitivity &amp; Scenarios'!$C$11*'Sensitivity &amp; Scenarios'!$C$6*((1+$E962)^5-(1+$E962)^4))*(1+$D962)/($C962-$D962)/(1+$C962)^('Sensitivity &amp; Scenarios'!$C$18+4)</f>
        <v>84371.647106958131</v>
      </c>
      <c r="J962" s="209">
        <f>($H962+$I962-'Sensitivity &amp; Scenarios'!$C$15+'Sensitivity &amp; Scenarios'!$C$16)/'Sensitivity &amp; Scenarios'!$C$17</f>
        <v>2596.6603907361173</v>
      </c>
    </row>
    <row r="963" spans="2:10" x14ac:dyDescent="0.3">
      <c r="B963" s="127">
        <v>933</v>
      </c>
      <c r="C963" s="206">
        <f>$D$7+0.282088*$E$7</f>
        <v>0.14037313943997798</v>
      </c>
      <c r="D963" s="206">
        <f>MIN($D$8+0.247007*$E$8,'Debt &amp; Cost of Capital'!$C$38)</f>
        <v>5.6482042000000003E-2</v>
      </c>
      <c r="E963" s="207">
        <f>$D$9+-0.735752*$E$9</f>
        <v>0.14514853770254635</v>
      </c>
      <c r="F963" s="207">
        <f>$D$10+0.701351*$E$10</f>
        <v>0.15341621199999991</v>
      </c>
      <c r="G963" s="208">
        <f>$F963*(1-'Sensitivity &amp; Scenarios'!$C$12)+'Sensitivity &amp; Scenarios'!$C$9*'Sensitivity &amp; Scenarios'!$C$12-'Sensitivity &amp; Scenarios'!$C$10</f>
        <v>8.3996769528064646E-2</v>
      </c>
      <c r="H963" s="209">
        <f>('Sensitivity &amp; Scenarios'!$C$6*(1+$E963)^1*$G963+'Sensitivity &amp; Scenarios'!$C$11*'Sensitivity &amp; Scenarios'!$C$6*((1+$E963)^1-(1+$E963)^0))*'Sensitivity &amp; Scenarios'!$C$18/(1+$C963)^'Sensitivity &amp; Scenarios'!$C$18+('Sensitivity &amp; Scenarios'!$C$6*(1+$E963)^2*$G963+'Sensitivity &amp; Scenarios'!$C$11*'Sensitivity &amp; Scenarios'!$C$6*((1+$E963)^2-(1+$E963)^1))/(1+$C963)^('Sensitivity &amp; Scenarios'!$C$18+1)+('Sensitivity &amp; Scenarios'!$C$6*(1+$E963)^3*$G963+'Sensitivity &amp; Scenarios'!$C$11*'Sensitivity &amp; Scenarios'!$C$6*((1+$E963)^3-(1+$E963)^2))/(1+$C963)^('Sensitivity &amp; Scenarios'!$C$18+2)+('Sensitivity &amp; Scenarios'!$C$6*(1+$E963)^4*$G963+'Sensitivity &amp; Scenarios'!$C$11*'Sensitivity &amp; Scenarios'!$C$6*((1+$E963)^4-(1+$E963)^3))/(1+$C963)^('Sensitivity &amp; Scenarios'!$C$18+3)+('Sensitivity &amp; Scenarios'!$C$6*(1+$E963)^5*$G963+'Sensitivity &amp; Scenarios'!$C$11*'Sensitivity &amp; Scenarios'!$C$6*((1+$E963)^5-(1+$E963)^4))/(1+$C963)^('Sensitivity &amp; Scenarios'!$C$18+4)</f>
        <v>22807.408136816808</v>
      </c>
      <c r="I963" s="209">
        <f>('Sensitivity &amp; Scenarios'!$C$6*(1+$E963)^5*$G963+'Sensitivity &amp; Scenarios'!$C$11*'Sensitivity &amp; Scenarios'!$C$6*((1+$E963)^5-(1+$E963)^4))*(1+$D963)/($C963-$D963)/(1+$C963)^('Sensitivity &amp; Scenarios'!$C$18+4)</f>
        <v>62475.049358047523</v>
      </c>
      <c r="J963" s="209">
        <f>($H963+$I963-'Sensitivity &amp; Scenarios'!$C$15+'Sensitivity &amp; Scenarios'!$C$16)/'Sensitivity &amp; Scenarios'!$C$17</f>
        <v>2081.652536301744</v>
      </c>
    </row>
    <row r="964" spans="2:10" x14ac:dyDescent="0.3">
      <c r="B964" s="127">
        <v>934</v>
      </c>
      <c r="C964" s="206">
        <f>$D$7+2.845294*$E$7</f>
        <v>0.16600519943997799</v>
      </c>
      <c r="D964" s="206">
        <f>MIN($D$8+-0.374795*$E$8,'Debt &amp; Cost of Capital'!$C$38)</f>
        <v>5.2751230000000003E-2</v>
      </c>
      <c r="E964" s="207">
        <f>$D$9+0.070995*$E$9</f>
        <v>0.16935094770254633</v>
      </c>
      <c r="F964" s="207">
        <f>$D$10+-0.446205*$E$10</f>
        <v>0.1396455399999999</v>
      </c>
      <c r="G964" s="208">
        <f>$F964*(1-'Sensitivity &amp; Scenarios'!$C$12)+'Sensitivity &amp; Scenarios'!$C$9*'Sensitivity &amp; Scenarios'!$C$12-'Sensitivity &amp; Scenarios'!$C$10</f>
        <v>7.3692175670464627E-2</v>
      </c>
      <c r="H964" s="209">
        <f>('Sensitivity &amp; Scenarios'!$C$6*(1+$E964)^1*$G964+'Sensitivity &amp; Scenarios'!$C$11*'Sensitivity &amp; Scenarios'!$C$6*((1+$E964)^1-(1+$E964)^0))*'Sensitivity &amp; Scenarios'!$C$18/(1+$C964)^'Sensitivity &amp; Scenarios'!$C$18+('Sensitivity &amp; Scenarios'!$C$6*(1+$E964)^2*$G964+'Sensitivity &amp; Scenarios'!$C$11*'Sensitivity &amp; Scenarios'!$C$6*((1+$E964)^2-(1+$E964)^1))/(1+$C964)^('Sensitivity &amp; Scenarios'!$C$18+1)+('Sensitivity &amp; Scenarios'!$C$6*(1+$E964)^3*$G964+'Sensitivity &amp; Scenarios'!$C$11*'Sensitivity &amp; Scenarios'!$C$6*((1+$E964)^3-(1+$E964)^2))/(1+$C964)^('Sensitivity &amp; Scenarios'!$C$18+2)+('Sensitivity &amp; Scenarios'!$C$6*(1+$E964)^4*$G964+'Sensitivity &amp; Scenarios'!$C$11*'Sensitivity &amp; Scenarios'!$C$6*((1+$E964)^4-(1+$E964)^3))/(1+$C964)^('Sensitivity &amp; Scenarios'!$C$18+3)+('Sensitivity &amp; Scenarios'!$C$6*(1+$E964)^5*$G964+'Sensitivity &amp; Scenarios'!$C$11*'Sensitivity &amp; Scenarios'!$C$6*((1+$E964)^5-(1+$E964)^4))/(1+$C964)^('Sensitivity &amp; Scenarios'!$C$18+4)</f>
        <v>20954.448572147972</v>
      </c>
      <c r="I964" s="209">
        <f>('Sensitivity &amp; Scenarios'!$C$6*(1+$E964)^5*$G964+'Sensitivity &amp; Scenarios'!$C$11*'Sensitivity &amp; Scenarios'!$C$6*((1+$E964)^5-(1+$E964)^4))*(1+$D964)/($C964-$D964)/(1+$C964)^('Sensitivity &amp; Scenarios'!$C$18+4)</f>
        <v>42265.511848020469</v>
      </c>
      <c r="J964" s="209">
        <f>($H964+$I964-'Sensitivity &amp; Scenarios'!$C$15+'Sensitivity &amp; Scenarios'!$C$16)/'Sensitivity &amp; Scenarios'!$C$17</f>
        <v>1617.2639701086914</v>
      </c>
    </row>
    <row r="965" spans="2:10" x14ac:dyDescent="0.3">
      <c r="B965" s="127">
        <v>935</v>
      </c>
      <c r="C965" s="206">
        <f>$D$7+-0.48802*$E$7</f>
        <v>0.13267205943997798</v>
      </c>
      <c r="D965" s="206">
        <f>MIN($D$8+1.544449*$E$8,'Debt &amp; Cost of Capital'!$C$38)</f>
        <v>6.4266693999999999E-2</v>
      </c>
      <c r="E965" s="207">
        <f>$D$9+-0.672971*$E$9</f>
        <v>0.14703196770254634</v>
      </c>
      <c r="F965" s="207">
        <f>$D$10+-0.47408*$E$10</f>
        <v>0.13931103999999991</v>
      </c>
      <c r="G965" s="208">
        <f>$F965*(1-'Sensitivity &amp; Scenarios'!$C$12)+'Sensitivity &amp; Scenarios'!$C$9*'Sensitivity &amp; Scenarios'!$C$12-'Sensitivity &amp; Scenarios'!$C$10</f>
        <v>7.3441869320464648E-2</v>
      </c>
      <c r="H965" s="209">
        <f>('Sensitivity &amp; Scenarios'!$C$6*(1+$E965)^1*$G965+'Sensitivity &amp; Scenarios'!$C$11*'Sensitivity &amp; Scenarios'!$C$6*((1+$E965)^1-(1+$E965)^0))*'Sensitivity &amp; Scenarios'!$C$18/(1+$C965)^'Sensitivity &amp; Scenarios'!$C$18+('Sensitivity &amp; Scenarios'!$C$6*(1+$E965)^2*$G965+'Sensitivity &amp; Scenarios'!$C$11*'Sensitivity &amp; Scenarios'!$C$6*((1+$E965)^2-(1+$E965)^1))/(1+$C965)^('Sensitivity &amp; Scenarios'!$C$18+1)+('Sensitivity &amp; Scenarios'!$C$6*(1+$E965)^3*$G965+'Sensitivity &amp; Scenarios'!$C$11*'Sensitivity &amp; Scenarios'!$C$6*((1+$E965)^3-(1+$E965)^2))/(1+$C965)^('Sensitivity &amp; Scenarios'!$C$18+2)+('Sensitivity &amp; Scenarios'!$C$6*(1+$E965)^4*$G965+'Sensitivity &amp; Scenarios'!$C$11*'Sensitivity &amp; Scenarios'!$C$6*((1+$E965)^4-(1+$E965)^3))/(1+$C965)^('Sensitivity &amp; Scenarios'!$C$18+3)+('Sensitivity &amp; Scenarios'!$C$6*(1+$E965)^5*$G965+'Sensitivity &amp; Scenarios'!$C$11*'Sensitivity &amp; Scenarios'!$C$6*((1+$E965)^5-(1+$E965)^4))/(1+$C965)^('Sensitivity &amp; Scenarios'!$C$18+4)</f>
        <v>20886.244097671544</v>
      </c>
      <c r="I965" s="209">
        <f>('Sensitivity &amp; Scenarios'!$C$6*(1+$E965)^5*$G965+'Sensitivity &amp; Scenarios'!$C$11*'Sensitivity &amp; Scenarios'!$C$6*((1+$E965)^5-(1+$E965)^4))*(1+$D965)/($C965-$D965)/(1+$C965)^('Sensitivity &amp; Scenarios'!$C$18+4)</f>
        <v>71776.600039267258</v>
      </c>
      <c r="J965" s="209">
        <f>($H965+$I965-'Sensitivity &amp; Scenarios'!$C$15+'Sensitivity &amp; Scenarios'!$C$16)/'Sensitivity &amp; Scenarios'!$C$17</f>
        <v>2237.0006439551735</v>
      </c>
    </row>
    <row r="966" spans="2:10" x14ac:dyDescent="0.3">
      <c r="B966" s="127">
        <v>936</v>
      </c>
      <c r="C966" s="206">
        <f>$D$7+-1.587493*$E$7</f>
        <v>0.12167732943997797</v>
      </c>
      <c r="D966" s="206">
        <f>MIN($D$8+-0.757612*$E$8,'Debt &amp; Cost of Capital'!$C$38)</f>
        <v>5.0454328E-2</v>
      </c>
      <c r="E966" s="207">
        <f>$D$9+-1.7084*$E$9</f>
        <v>0.11596909770254635</v>
      </c>
      <c r="F966" s="207">
        <f>$D$10+0.631805*$E$10</f>
        <v>0.1525816599999999</v>
      </c>
      <c r="G966" s="208">
        <f>$F966*(1-'Sensitivity &amp; Scenarios'!$C$12)+'Sensitivity &amp; Scenarios'!$C$9*'Sensitivity &amp; Scenarios'!$C$12-'Sensitivity &amp; Scenarios'!$C$10</f>
        <v>8.3372274266464624E-2</v>
      </c>
      <c r="H966" s="209">
        <f>('Sensitivity &amp; Scenarios'!$C$6*(1+$E966)^1*$G966+'Sensitivity &amp; Scenarios'!$C$11*'Sensitivity &amp; Scenarios'!$C$6*((1+$E966)^1-(1+$E966)^0))*'Sensitivity &amp; Scenarios'!$C$18/(1+$C966)^'Sensitivity &amp; Scenarios'!$C$18+('Sensitivity &amp; Scenarios'!$C$6*(1+$E966)^2*$G966+'Sensitivity &amp; Scenarios'!$C$11*'Sensitivity &amp; Scenarios'!$C$6*((1+$E966)^2-(1+$E966)^1))/(1+$C966)^('Sensitivity &amp; Scenarios'!$C$18+1)+('Sensitivity &amp; Scenarios'!$C$6*(1+$E966)^3*$G966+'Sensitivity &amp; Scenarios'!$C$11*'Sensitivity &amp; Scenarios'!$C$6*((1+$E966)^3-(1+$E966)^2))/(1+$C966)^('Sensitivity &amp; Scenarios'!$C$18+2)+('Sensitivity &amp; Scenarios'!$C$6*(1+$E966)^4*$G966+'Sensitivity &amp; Scenarios'!$C$11*'Sensitivity &amp; Scenarios'!$C$6*((1+$E966)^4-(1+$E966)^3))/(1+$C966)^('Sensitivity &amp; Scenarios'!$C$18+3)+('Sensitivity &amp; Scenarios'!$C$6*(1+$E966)^5*$G966+'Sensitivity &amp; Scenarios'!$C$11*'Sensitivity &amp; Scenarios'!$C$6*((1+$E966)^5-(1+$E966)^4))/(1+$C966)^('Sensitivity &amp; Scenarios'!$C$18+4)</f>
        <v>21309.780296559707</v>
      </c>
      <c r="I966" s="209">
        <f>('Sensitivity &amp; Scenarios'!$C$6*(1+$E966)^5*$G966+'Sensitivity &amp; Scenarios'!$C$11*'Sensitivity &amp; Scenarios'!$C$6*((1+$E966)^5-(1+$E966)^4))*(1+$D966)/($C966-$D966)/(1+$C966)^('Sensitivity &amp; Scenarios'!$C$18+4)</f>
        <v>67203.901272144591</v>
      </c>
      <c r="J966" s="209">
        <f>($H966+$I966-'Sensitivity &amp; Scenarios'!$C$15+'Sensitivity &amp; Scenarios'!$C$16)/'Sensitivity &amp; Scenarios'!$C$17</f>
        <v>2149.6658491021353</v>
      </c>
    </row>
    <row r="967" spans="2:10" x14ac:dyDescent="0.3">
      <c r="B967" s="127">
        <v>937</v>
      </c>
      <c r="C967" s="206">
        <f>$D$7+2.799697*$E$7</f>
        <v>0.16554922943997799</v>
      </c>
      <c r="D967" s="206">
        <f>MIN($D$8+-0.366679*$E$8,'Debt &amp; Cost of Capital'!$C$38)</f>
        <v>5.2799925999999997E-2</v>
      </c>
      <c r="E967" s="207">
        <f>$D$9+-1.666758*$E$9</f>
        <v>0.11721835770254635</v>
      </c>
      <c r="F967" s="207">
        <f>$D$10+0.9*$E$10</f>
        <v>0.15579999999999991</v>
      </c>
      <c r="G967" s="208">
        <f>$F967*(1-'Sensitivity &amp; Scenarios'!$C$12)+'Sensitivity &amp; Scenarios'!$C$9*'Sensitivity &amp; Scenarios'!$C$12-'Sensitivity &amp; Scenarios'!$C$10</f>
        <v>8.5780558088464645E-2</v>
      </c>
      <c r="H967" s="209">
        <f>('Sensitivity &amp; Scenarios'!$C$6*(1+$E967)^1*$G967+'Sensitivity &amp; Scenarios'!$C$11*'Sensitivity &amp; Scenarios'!$C$6*((1+$E967)^1-(1+$E967)^0))*'Sensitivity &amp; Scenarios'!$C$18/(1+$C967)^'Sensitivity &amp; Scenarios'!$C$18+('Sensitivity &amp; Scenarios'!$C$6*(1+$E967)^2*$G967+'Sensitivity &amp; Scenarios'!$C$11*'Sensitivity &amp; Scenarios'!$C$6*((1+$E967)^2-(1+$E967)^1))/(1+$C967)^('Sensitivity &amp; Scenarios'!$C$18+1)+('Sensitivity &amp; Scenarios'!$C$6*(1+$E967)^3*$G967+'Sensitivity &amp; Scenarios'!$C$11*'Sensitivity &amp; Scenarios'!$C$6*((1+$E967)^3-(1+$E967)^2))/(1+$C967)^('Sensitivity &amp; Scenarios'!$C$18+2)+('Sensitivity &amp; Scenarios'!$C$6*(1+$E967)^4*$G967+'Sensitivity &amp; Scenarios'!$C$11*'Sensitivity &amp; Scenarios'!$C$6*((1+$E967)^4-(1+$E967)^3))/(1+$C967)^('Sensitivity &amp; Scenarios'!$C$18+3)+('Sensitivity &amp; Scenarios'!$C$6*(1+$E967)^5*$G967+'Sensitivity &amp; Scenarios'!$C$11*'Sensitivity &amp; Scenarios'!$C$6*((1+$E967)^5-(1+$E967)^4))/(1+$C967)^('Sensitivity &amp; Scenarios'!$C$18+4)</f>
        <v>19755.45270174912</v>
      </c>
      <c r="I967" s="209">
        <f>('Sensitivity &amp; Scenarios'!$C$6*(1+$E967)^5*$G967+'Sensitivity &amp; Scenarios'!$C$11*'Sensitivity &amp; Scenarios'!$C$6*((1+$E967)^5-(1+$E967)^4))*(1+$D967)/($C967-$D967)/(1+$C967)^('Sensitivity &amp; Scenarios'!$C$18+4)</f>
        <v>36769.65800856243</v>
      </c>
      <c r="J967" s="209">
        <f>($H967+$I967-'Sensitivity &amp; Scenarios'!$C$15+'Sensitivity &amp; Scenarios'!$C$16)/'Sensitivity &amp; Scenarios'!$C$17</f>
        <v>1476.3455760070449</v>
      </c>
    </row>
    <row r="968" spans="2:10" x14ac:dyDescent="0.3">
      <c r="B968" s="127">
        <v>938</v>
      </c>
      <c r="C968" s="206">
        <f>$D$7+-0.726925*$E$7</f>
        <v>0.13028300943997798</v>
      </c>
      <c r="D968" s="206">
        <f>MIN($D$8+1.299347*$E$8,'Debt &amp; Cost of Capital'!$C$38)</f>
        <v>6.2796082000000003E-2</v>
      </c>
      <c r="E968" s="207">
        <f>$D$9+-0.282029*$E$9</f>
        <v>0.15876022770254633</v>
      </c>
      <c r="F968" s="207">
        <f>$D$10+-0.631816*$E$10</f>
        <v>0.1374182079999999</v>
      </c>
      <c r="G968" s="208">
        <f>$F968*(1-'Sensitivity &amp; Scenarios'!$C$12)+'Sensitivity &amp; Scenarios'!$C$9*'Sensitivity &amp; Scenarios'!$C$12-'Sensitivity &amp; Scenarios'!$C$10</f>
        <v>7.2025463134864631E-2</v>
      </c>
      <c r="H968" s="209">
        <f>('Sensitivity &amp; Scenarios'!$C$6*(1+$E968)^1*$G968+'Sensitivity &amp; Scenarios'!$C$11*'Sensitivity &amp; Scenarios'!$C$6*((1+$E968)^1-(1+$E968)^0))*'Sensitivity &amp; Scenarios'!$C$18/(1+$C968)^'Sensitivity &amp; Scenarios'!$C$18+('Sensitivity &amp; Scenarios'!$C$6*(1+$E968)^2*$G968+'Sensitivity &amp; Scenarios'!$C$11*'Sensitivity &amp; Scenarios'!$C$6*((1+$E968)^2-(1+$E968)^1))/(1+$C968)^('Sensitivity &amp; Scenarios'!$C$18+1)+('Sensitivity &amp; Scenarios'!$C$6*(1+$E968)^3*$G968+'Sensitivity &amp; Scenarios'!$C$11*'Sensitivity &amp; Scenarios'!$C$6*((1+$E968)^3-(1+$E968)^2))/(1+$C968)^('Sensitivity &amp; Scenarios'!$C$18+2)+('Sensitivity &amp; Scenarios'!$C$6*(1+$E968)^4*$G968+'Sensitivity &amp; Scenarios'!$C$11*'Sensitivity &amp; Scenarios'!$C$6*((1+$E968)^4-(1+$E968)^3))/(1+$C968)^('Sensitivity &amp; Scenarios'!$C$18+3)+('Sensitivity &amp; Scenarios'!$C$6*(1+$E968)^5*$G968+'Sensitivity &amp; Scenarios'!$C$11*'Sensitivity &amp; Scenarios'!$C$6*((1+$E968)^5-(1+$E968)^4))/(1+$C968)^('Sensitivity &amp; Scenarios'!$C$18+4)</f>
        <v>21594.275142102306</v>
      </c>
      <c r="I968" s="209">
        <f>('Sensitivity &amp; Scenarios'!$C$6*(1+$E968)^5*$G968+'Sensitivity &amp; Scenarios'!$C$11*'Sensitivity &amp; Scenarios'!$C$6*((1+$E968)^5-(1+$E968)^4))*(1+$D968)/($C968-$D968)/(1+$C968)^('Sensitivity &amp; Scenarios'!$C$18+4)</f>
        <v>76802.323502823419</v>
      </c>
      <c r="J968" s="209">
        <f>($H968+$I968-'Sensitivity &amp; Scenarios'!$C$15+'Sensitivity &amp; Scenarios'!$C$16)/'Sensitivity &amp; Scenarios'!$C$17</f>
        <v>2357.6891601214106</v>
      </c>
    </row>
    <row r="969" spans="2:10" x14ac:dyDescent="0.3">
      <c r="B969" s="127">
        <v>939</v>
      </c>
      <c r="C969" s="206">
        <f>$D$7+-0.177958*$E$7</f>
        <v>0.13577267943997798</v>
      </c>
      <c r="D969" s="206">
        <f>MIN($D$8+0.757777*$E$8,'Debt &amp; Cost of Capital'!$C$38)</f>
        <v>5.9546662E-2</v>
      </c>
      <c r="E969" s="207">
        <f>$D$9+-0.227421*$E$9</f>
        <v>0.16039846770254634</v>
      </c>
      <c r="F969" s="207">
        <f>$D$10+-0.496725*$E$10</f>
        <v>0.13903929999999989</v>
      </c>
      <c r="G969" s="208">
        <f>$F969*(1-'Sensitivity &amp; Scenarios'!$C$12)+'Sensitivity &amp; Scenarios'!$C$9*'Sensitivity &amp; Scenarios'!$C$12-'Sensitivity &amp; Scenarios'!$C$10</f>
        <v>7.3238526278464625E-2</v>
      </c>
      <c r="H969" s="209">
        <f>('Sensitivity &amp; Scenarios'!$C$6*(1+$E969)^1*$G969+'Sensitivity &amp; Scenarios'!$C$11*'Sensitivity &amp; Scenarios'!$C$6*((1+$E969)^1-(1+$E969)^0))*'Sensitivity &amp; Scenarios'!$C$18/(1+$C969)^'Sensitivity &amp; Scenarios'!$C$18+('Sensitivity &amp; Scenarios'!$C$6*(1+$E969)^2*$G969+'Sensitivity &amp; Scenarios'!$C$11*'Sensitivity &amp; Scenarios'!$C$6*((1+$E969)^2-(1+$E969)^1))/(1+$C969)^('Sensitivity &amp; Scenarios'!$C$18+1)+('Sensitivity &amp; Scenarios'!$C$6*(1+$E969)^3*$G969+'Sensitivity &amp; Scenarios'!$C$11*'Sensitivity &amp; Scenarios'!$C$6*((1+$E969)^3-(1+$E969)^2))/(1+$C969)^('Sensitivity &amp; Scenarios'!$C$18+2)+('Sensitivity &amp; Scenarios'!$C$6*(1+$E969)^4*$G969+'Sensitivity &amp; Scenarios'!$C$11*'Sensitivity &amp; Scenarios'!$C$6*((1+$E969)^4-(1+$E969)^3))/(1+$C969)^('Sensitivity &amp; Scenarios'!$C$18+3)+('Sensitivity &amp; Scenarios'!$C$6*(1+$E969)^5*$G969+'Sensitivity &amp; Scenarios'!$C$11*'Sensitivity &amp; Scenarios'!$C$6*((1+$E969)^5-(1+$E969)^4))/(1+$C969)^('Sensitivity &amp; Scenarios'!$C$18+4)</f>
        <v>21727.309249158527</v>
      </c>
      <c r="I969" s="209">
        <f>('Sensitivity &amp; Scenarios'!$C$6*(1+$E969)^5*$G969+'Sensitivity &amp; Scenarios'!$C$11*'Sensitivity &amp; Scenarios'!$C$6*((1+$E969)^5-(1+$E969)^4))*(1+$D969)/($C969-$D969)/(1+$C969)^('Sensitivity &amp; Scenarios'!$C$18+4)</f>
        <v>67786.905129008213</v>
      </c>
      <c r="J969" s="209">
        <f>($H969+$I969-'Sensitivity &amp; Scenarios'!$C$15+'Sensitivity &amp; Scenarios'!$C$16)/'Sensitivity &amp; Scenarios'!$C$17</f>
        <v>2170.7258404187251</v>
      </c>
    </row>
    <row r="970" spans="2:10" x14ac:dyDescent="0.3">
      <c r="B970" s="127">
        <v>940</v>
      </c>
      <c r="C970" s="206">
        <f>$D$7+-0.198832*$E$7</f>
        <v>0.13556393943997799</v>
      </c>
      <c r="D970" s="206">
        <f>MIN($D$8+-1.271855*$E$8,'Debt &amp; Cost of Capital'!$C$38)</f>
        <v>4.736887E-2</v>
      </c>
      <c r="E970" s="207">
        <f>$D$9+0.397032*$E$9</f>
        <v>0.17913205770254634</v>
      </c>
      <c r="F970" s="207">
        <f>$D$10+-1.786727*$E$10</f>
        <v>0.12355927599999991</v>
      </c>
      <c r="G970" s="208">
        <f>$F970*(1-'Sensitivity &amp; Scenarios'!$C$12)+'Sensitivity &amp; Scenarios'!$C$9*'Sensitivity &amp; Scenarios'!$C$12-'Sensitivity &amp; Scenarios'!$C$10</f>
        <v>6.1654824319264639E-2</v>
      </c>
      <c r="H970" s="209">
        <f>('Sensitivity &amp; Scenarios'!$C$6*(1+$E970)^1*$G970+'Sensitivity &amp; Scenarios'!$C$11*'Sensitivity &amp; Scenarios'!$C$6*((1+$E970)^1-(1+$E970)^0))*'Sensitivity &amp; Scenarios'!$C$18/(1+$C970)^'Sensitivity &amp; Scenarios'!$C$18+('Sensitivity &amp; Scenarios'!$C$6*(1+$E970)^2*$G970+'Sensitivity &amp; Scenarios'!$C$11*'Sensitivity &amp; Scenarios'!$C$6*((1+$E970)^2-(1+$E970)^1))/(1+$C970)^('Sensitivity &amp; Scenarios'!$C$18+1)+('Sensitivity &amp; Scenarios'!$C$6*(1+$E970)^3*$G970+'Sensitivity &amp; Scenarios'!$C$11*'Sensitivity &amp; Scenarios'!$C$6*((1+$E970)^3-(1+$E970)^2))/(1+$C970)^('Sensitivity &amp; Scenarios'!$C$18+2)+('Sensitivity &amp; Scenarios'!$C$6*(1+$E970)^4*$G970+'Sensitivity &amp; Scenarios'!$C$11*'Sensitivity &amp; Scenarios'!$C$6*((1+$E970)^4-(1+$E970)^3))/(1+$C970)^('Sensitivity &amp; Scenarios'!$C$18+3)+('Sensitivity &amp; Scenarios'!$C$6*(1+$E970)^5*$G970+'Sensitivity &amp; Scenarios'!$C$11*'Sensitivity &amp; Scenarios'!$C$6*((1+$E970)^5-(1+$E970)^4))/(1+$C970)^('Sensitivity &amp; Scenarios'!$C$18+4)</f>
        <v>20278.448991150181</v>
      </c>
      <c r="I970" s="209">
        <f>('Sensitivity &amp; Scenarios'!$C$6*(1+$E970)^5*$G970+'Sensitivity &amp; Scenarios'!$C$11*'Sensitivity &amp; Scenarios'!$C$6*((1+$E970)^5-(1+$E970)^4))*(1+$D970)/($C970-$D970)/(1+$C970)^('Sensitivity &amp; Scenarios'!$C$18+4)</f>
        <v>55640.578067712238</v>
      </c>
      <c r="J970" s="209">
        <f>($H970+$I970-'Sensitivity &amp; Scenarios'!$C$15+'Sensitivity &amp; Scenarios'!$C$16)/'Sensitivity &amp; Scenarios'!$C$17</f>
        <v>1884.5637833785549</v>
      </c>
    </row>
    <row r="971" spans="2:10" x14ac:dyDescent="0.3">
      <c r="B971" s="127">
        <v>941</v>
      </c>
      <c r="C971" s="206">
        <f>$D$7+-0.444121*$E$7</f>
        <v>0.13311104943997798</v>
      </c>
      <c r="D971" s="206">
        <f>MIN($D$8+0.759385*$E$8,'Debt &amp; Cost of Capital'!$C$38)</f>
        <v>5.9556310000000001E-2</v>
      </c>
      <c r="E971" s="207">
        <f>$D$9+0.303048*$E$9</f>
        <v>0.17631253770254635</v>
      </c>
      <c r="F971" s="207">
        <f>$D$10+0.590321*$E$10</f>
        <v>0.15208385199999991</v>
      </c>
      <c r="G971" s="208">
        <f>$F971*(1-'Sensitivity &amp; Scenarios'!$C$12)+'Sensitivity &amp; Scenarios'!$C$9*'Sensitivity &amp; Scenarios'!$C$12-'Sensitivity &amp; Scenarios'!$C$10</f>
        <v>8.2999764540064636E-2</v>
      </c>
      <c r="H971" s="209">
        <f>('Sensitivity &amp; Scenarios'!$C$6*(1+$E971)^1*$G971+'Sensitivity &amp; Scenarios'!$C$11*'Sensitivity &amp; Scenarios'!$C$6*((1+$E971)^1-(1+$E971)^0))*'Sensitivity &amp; Scenarios'!$C$18/(1+$C971)^'Sensitivity &amp; Scenarios'!$C$18+('Sensitivity &amp; Scenarios'!$C$6*(1+$E971)^2*$G971+'Sensitivity &amp; Scenarios'!$C$11*'Sensitivity &amp; Scenarios'!$C$6*((1+$E971)^2-(1+$E971)^1))/(1+$C971)^('Sensitivity &amp; Scenarios'!$C$18+1)+('Sensitivity &amp; Scenarios'!$C$6*(1+$E971)^3*$G971+'Sensitivity &amp; Scenarios'!$C$11*'Sensitivity &amp; Scenarios'!$C$6*((1+$E971)^3-(1+$E971)^2))/(1+$C971)^('Sensitivity &amp; Scenarios'!$C$18+2)+('Sensitivity &amp; Scenarios'!$C$6*(1+$E971)^4*$G971+'Sensitivity &amp; Scenarios'!$C$11*'Sensitivity &amp; Scenarios'!$C$6*((1+$E971)^4-(1+$E971)^3))/(1+$C971)^('Sensitivity &amp; Scenarios'!$C$18+3)+('Sensitivity &amp; Scenarios'!$C$6*(1+$E971)^5*$G971+'Sensitivity &amp; Scenarios'!$C$11*'Sensitivity &amp; Scenarios'!$C$6*((1+$E971)^5-(1+$E971)^4))/(1+$C971)^('Sensitivity &amp; Scenarios'!$C$18+4)</f>
        <v>25704.29185551019</v>
      </c>
      <c r="I971" s="209">
        <f>('Sensitivity &amp; Scenarios'!$C$6*(1+$E971)^5*$G971+'Sensitivity &amp; Scenarios'!$C$11*'Sensitivity &amp; Scenarios'!$C$6*((1+$E971)^5-(1+$E971)^4))*(1+$D971)/($C971-$D971)/(1+$C971)^('Sensitivity &amp; Scenarios'!$C$18+4)</f>
        <v>85514.969537986908</v>
      </c>
      <c r="J971" s="209">
        <f>($H971+$I971-'Sensitivity &amp; Scenarios'!$C$15+'Sensitivity &amp; Scenarios'!$C$16)/'Sensitivity &amp; Scenarios'!$C$17</f>
        <v>2627.5905202632662</v>
      </c>
    </row>
    <row r="972" spans="2:10" x14ac:dyDescent="0.3">
      <c r="B972" s="127">
        <v>942</v>
      </c>
      <c r="C972" s="206">
        <f>$D$7+-0.065046*$E$7</f>
        <v>0.13690179943997799</v>
      </c>
      <c r="D972" s="206">
        <f>MIN($D$8+1.169746*$E$8,'Debt &amp; Cost of Capital'!$C$38)</f>
        <v>6.2018476000000003E-2</v>
      </c>
      <c r="E972" s="207">
        <f>$D$9+0.924699*$E$9</f>
        <v>0.19496206770254634</v>
      </c>
      <c r="F972" s="207">
        <f>$D$10+0.446141*$E$10</f>
        <v>0.1503536919999999</v>
      </c>
      <c r="G972" s="208">
        <f>$F972*(1-'Sensitivity &amp; Scenarios'!$C$12)+'Sensitivity &amp; Scenarios'!$C$9*'Sensitivity &amp; Scenarios'!$C$12-'Sensitivity &amp; Scenarios'!$C$10</f>
        <v>8.1705085812064634E-2</v>
      </c>
      <c r="H972" s="209">
        <f>('Sensitivity &amp; Scenarios'!$C$6*(1+$E972)^1*$G972+'Sensitivity &amp; Scenarios'!$C$11*'Sensitivity &amp; Scenarios'!$C$6*((1+$E972)^1-(1+$E972)^0))*'Sensitivity &amp; Scenarios'!$C$18/(1+$C972)^'Sensitivity &amp; Scenarios'!$C$18+('Sensitivity &amp; Scenarios'!$C$6*(1+$E972)^2*$G972+'Sensitivity &amp; Scenarios'!$C$11*'Sensitivity &amp; Scenarios'!$C$6*((1+$E972)^2-(1+$E972)^1))/(1+$C972)^('Sensitivity &amp; Scenarios'!$C$18+1)+('Sensitivity &amp; Scenarios'!$C$6*(1+$E972)^3*$G972+'Sensitivity &amp; Scenarios'!$C$11*'Sensitivity &amp; Scenarios'!$C$6*((1+$E972)^3-(1+$E972)^2))/(1+$C972)^('Sensitivity &amp; Scenarios'!$C$18+2)+('Sensitivity &amp; Scenarios'!$C$6*(1+$E972)^4*$G972+'Sensitivity &amp; Scenarios'!$C$11*'Sensitivity &amp; Scenarios'!$C$6*((1+$E972)^4-(1+$E972)^3))/(1+$C972)^('Sensitivity &amp; Scenarios'!$C$18+3)+('Sensitivity &amp; Scenarios'!$C$6*(1+$E972)^5*$G972+'Sensitivity &amp; Scenarios'!$C$11*'Sensitivity &amp; Scenarios'!$C$6*((1+$E972)^5-(1+$E972)^4))/(1+$C972)^('Sensitivity &amp; Scenarios'!$C$18+4)</f>
        <v>26833.483673335286</v>
      </c>
      <c r="I972" s="209">
        <f>('Sensitivity &amp; Scenarios'!$C$6*(1+$E972)^5*$G972+'Sensitivity &amp; Scenarios'!$C$11*'Sensitivity &amp; Scenarios'!$C$6*((1+$E972)^5-(1+$E972)^4))*(1+$D972)/($C972-$D972)/(1+$C972)^('Sensitivity &amp; Scenarios'!$C$18+4)</f>
        <v>89832.070010557218</v>
      </c>
      <c r="J972" s="209">
        <f>($H972+$I972-'Sensitivity &amp; Scenarios'!$C$15+'Sensitivity &amp; Scenarios'!$C$16)/'Sensitivity &amp; Scenarios'!$C$17</f>
        <v>2742.2283085082699</v>
      </c>
    </row>
    <row r="973" spans="2:10" x14ac:dyDescent="0.3">
      <c r="B973" s="127">
        <v>943</v>
      </c>
      <c r="C973" s="206">
        <f>$D$7+0.927546*$E$7</f>
        <v>0.14682771943997797</v>
      </c>
      <c r="D973" s="206">
        <f>MIN($D$8+0.750424*$E$8,'Debt &amp; Cost of Capital'!$C$38)</f>
        <v>5.9502543999999997E-2</v>
      </c>
      <c r="E973" s="207">
        <f>$D$9+-0.439464*$E$9</f>
        <v>0.15403717770254635</v>
      </c>
      <c r="F973" s="207">
        <f>$D$10+-1.343899*$E$10</f>
        <v>0.1288732119999999</v>
      </c>
      <c r="G973" s="208">
        <f>$F973*(1-'Sensitivity &amp; Scenarios'!$C$12)+'Sensitivity &amp; Scenarios'!$C$9*'Sensitivity &amp; Scenarios'!$C$12-'Sensitivity &amp; Scenarios'!$C$10</f>
        <v>6.5631242628064634E-2</v>
      </c>
      <c r="H973" s="209">
        <f>('Sensitivity &amp; Scenarios'!$C$6*(1+$E973)^1*$G973+'Sensitivity &amp; Scenarios'!$C$11*'Sensitivity &amp; Scenarios'!$C$6*((1+$E973)^1-(1+$E973)^0))*'Sensitivity &amp; Scenarios'!$C$18/(1+$C973)^'Sensitivity &amp; Scenarios'!$C$18+('Sensitivity &amp; Scenarios'!$C$6*(1+$E973)^2*$G973+'Sensitivity &amp; Scenarios'!$C$11*'Sensitivity &amp; Scenarios'!$C$6*((1+$E973)^2-(1+$E973)^1))/(1+$C973)^('Sensitivity &amp; Scenarios'!$C$18+1)+('Sensitivity &amp; Scenarios'!$C$6*(1+$E973)^3*$G973+'Sensitivity &amp; Scenarios'!$C$11*'Sensitivity &amp; Scenarios'!$C$6*((1+$E973)^3-(1+$E973)^2))/(1+$C973)^('Sensitivity &amp; Scenarios'!$C$18+2)+('Sensitivity &amp; Scenarios'!$C$6*(1+$E973)^4*$G973+'Sensitivity &amp; Scenarios'!$C$11*'Sensitivity &amp; Scenarios'!$C$6*((1+$E973)^4-(1+$E973)^3))/(1+$C973)^('Sensitivity &amp; Scenarios'!$C$18+3)+('Sensitivity &amp; Scenarios'!$C$6*(1+$E973)^5*$G973+'Sensitivity &amp; Scenarios'!$C$11*'Sensitivity &amp; Scenarios'!$C$6*((1+$E973)^5-(1+$E973)^4))/(1+$C973)^('Sensitivity &amp; Scenarios'!$C$18+4)</f>
        <v>18866.040850692472</v>
      </c>
      <c r="I973" s="209">
        <f>('Sensitivity &amp; Scenarios'!$C$6*(1+$E973)^5*$G973+'Sensitivity &amp; Scenarios'!$C$11*'Sensitivity &amp; Scenarios'!$C$6*((1+$E973)^5-(1+$E973)^4))*(1+$D973)/($C973-$D973)/(1+$C973)^('Sensitivity &amp; Scenarios'!$C$18+4)</f>
        <v>49979.162786011635</v>
      </c>
      <c r="J973" s="209">
        <f>($H973+$I973-'Sensitivity &amp; Scenarios'!$C$15+'Sensitivity &amp; Scenarios'!$C$16)/'Sensitivity &amp; Scenarios'!$C$17</f>
        <v>1735.668456371958</v>
      </c>
    </row>
    <row r="974" spans="2:10" x14ac:dyDescent="0.3">
      <c r="B974" s="127">
        <v>944</v>
      </c>
      <c r="C974" s="206">
        <f>$D$7+0.420362*$E$7</f>
        <v>0.14175587943997797</v>
      </c>
      <c r="D974" s="206">
        <f>MIN($D$8+0.546089*$E$8,'Debt &amp; Cost of Capital'!$C$38)</f>
        <v>5.8276533999999998E-2</v>
      </c>
      <c r="E974" s="207">
        <f>$D$9+1.090472*$E$9</f>
        <v>0.19993525770254633</v>
      </c>
      <c r="F974" s="207">
        <f>$D$10+-0.936321*$E$10</f>
        <v>0.13376414799999992</v>
      </c>
      <c r="G974" s="208">
        <f>$F974*(1-'Sensitivity &amp; Scenarios'!$C$12)+'Sensitivity &amp; Scenarios'!$C$9*'Sensitivity &amp; Scenarios'!$C$12-'Sensitivity &amp; Scenarios'!$C$10</f>
        <v>6.9291130036864643E-2</v>
      </c>
      <c r="H974" s="209">
        <f>('Sensitivity &amp; Scenarios'!$C$6*(1+$E974)^1*$G974+'Sensitivity &amp; Scenarios'!$C$11*'Sensitivity &amp; Scenarios'!$C$6*((1+$E974)^1-(1+$E974)^0))*'Sensitivity &amp; Scenarios'!$C$18/(1+$C974)^'Sensitivity &amp; Scenarios'!$C$18+('Sensitivity &amp; Scenarios'!$C$6*(1+$E974)^2*$G974+'Sensitivity &amp; Scenarios'!$C$11*'Sensitivity &amp; Scenarios'!$C$6*((1+$E974)^2-(1+$E974)^1))/(1+$C974)^('Sensitivity &amp; Scenarios'!$C$18+1)+('Sensitivity &amp; Scenarios'!$C$6*(1+$E974)^3*$G974+'Sensitivity &amp; Scenarios'!$C$11*'Sensitivity &amp; Scenarios'!$C$6*((1+$E974)^3-(1+$E974)^2))/(1+$C974)^('Sensitivity &amp; Scenarios'!$C$18+2)+('Sensitivity &amp; Scenarios'!$C$6*(1+$E974)^4*$G974+'Sensitivity &amp; Scenarios'!$C$11*'Sensitivity &amp; Scenarios'!$C$6*((1+$E974)^4-(1+$E974)^3))/(1+$C974)^('Sensitivity &amp; Scenarios'!$C$18+3)+('Sensitivity &amp; Scenarios'!$C$6*(1+$E974)^5*$G974+'Sensitivity &amp; Scenarios'!$C$11*'Sensitivity &amp; Scenarios'!$C$6*((1+$E974)^5-(1+$E974)^4))/(1+$C974)^('Sensitivity &amp; Scenarios'!$C$18+4)</f>
        <v>23622.18023187065</v>
      </c>
      <c r="I974" s="209">
        <f>('Sensitivity &amp; Scenarios'!$C$6*(1+$E974)^5*$G974+'Sensitivity &amp; Scenarios'!$C$11*'Sensitivity &amp; Scenarios'!$C$6*((1+$E974)^5-(1+$E974)^4))*(1+$D974)/($C974-$D974)/(1+$C974)^('Sensitivity &amp; Scenarios'!$C$18+4)</f>
        <v>70675.007412716062</v>
      </c>
      <c r="J974" s="209">
        <f>($H974+$I974-'Sensitivity &amp; Scenarios'!$C$15+'Sensitivity &amp; Scenarios'!$C$16)/'Sensitivity &amp; Scenarios'!$C$17</f>
        <v>2271.4015748930415</v>
      </c>
    </row>
    <row r="975" spans="2:10" x14ac:dyDescent="0.3">
      <c r="B975" s="127">
        <v>945</v>
      </c>
      <c r="C975" s="206">
        <f>$D$7+-0.906431*$E$7</f>
        <v>0.12848794943997799</v>
      </c>
      <c r="D975" s="206">
        <f>MIN($D$8+0.4599*$E$8,'Debt &amp; Cost of Capital'!$C$38)</f>
        <v>5.7759400000000002E-2</v>
      </c>
      <c r="E975" s="207">
        <f>$D$9+-0.071167*$E$9</f>
        <v>0.16508608770254635</v>
      </c>
      <c r="F975" s="207">
        <f>$D$10+-1.885762*$E$10</f>
        <v>0.1223708559999999</v>
      </c>
      <c r="G975" s="208">
        <f>$F975*(1-'Sensitivity &amp; Scenarios'!$C$12)+'Sensitivity &amp; Scenarios'!$C$9*'Sensitivity &amp; Scenarios'!$C$12-'Sensitivity &amp; Scenarios'!$C$10</f>
        <v>6.0765529633264634E-2</v>
      </c>
      <c r="H975" s="209">
        <f>('Sensitivity &amp; Scenarios'!$C$6*(1+$E975)^1*$G975+'Sensitivity &amp; Scenarios'!$C$11*'Sensitivity &amp; Scenarios'!$C$6*((1+$E975)^1-(1+$E975)^0))*'Sensitivity &amp; Scenarios'!$C$18/(1+$C975)^'Sensitivity &amp; Scenarios'!$C$18+('Sensitivity &amp; Scenarios'!$C$6*(1+$E975)^2*$G975+'Sensitivity &amp; Scenarios'!$C$11*'Sensitivity &amp; Scenarios'!$C$6*((1+$E975)^2-(1+$E975)^1))/(1+$C975)^('Sensitivity &amp; Scenarios'!$C$18+1)+('Sensitivity &amp; Scenarios'!$C$6*(1+$E975)^3*$G975+'Sensitivity &amp; Scenarios'!$C$11*'Sensitivity &amp; Scenarios'!$C$6*((1+$E975)^3-(1+$E975)^2))/(1+$C975)^('Sensitivity &amp; Scenarios'!$C$18+2)+('Sensitivity &amp; Scenarios'!$C$6*(1+$E975)^4*$G975+'Sensitivity &amp; Scenarios'!$C$11*'Sensitivity &amp; Scenarios'!$C$6*((1+$E975)^4-(1+$E975)^3))/(1+$C975)^('Sensitivity &amp; Scenarios'!$C$18+3)+('Sensitivity &amp; Scenarios'!$C$6*(1+$E975)^5*$G975+'Sensitivity &amp; Scenarios'!$C$11*'Sensitivity &amp; Scenarios'!$C$6*((1+$E975)^5-(1+$E975)^4))/(1+$C975)^('Sensitivity &amp; Scenarios'!$C$18+4)</f>
        <v>19351.30642653679</v>
      </c>
      <c r="I975" s="209">
        <f>('Sensitivity &amp; Scenarios'!$C$6*(1+$E975)^5*$G975+'Sensitivity &amp; Scenarios'!$C$11*'Sensitivity &amp; Scenarios'!$C$6*((1+$E975)^5-(1+$E975)^4))*(1+$D975)/($C975-$D975)/(1+$C975)^('Sensitivity &amp; Scenarios'!$C$18+4)</f>
        <v>66187.491428717243</v>
      </c>
      <c r="J975" s="209">
        <f>($H975+$I975-'Sensitivity &amp; Scenarios'!$C$15+'Sensitivity &amp; Scenarios'!$C$16)/'Sensitivity &amp; Scenarios'!$C$17</f>
        <v>2087.0481872117816</v>
      </c>
    </row>
    <row r="976" spans="2:10" x14ac:dyDescent="0.3">
      <c r="B976" s="127">
        <v>946</v>
      </c>
      <c r="C976" s="206">
        <f>$D$7+0.375108*$E$7</f>
        <v>0.14130333943997797</v>
      </c>
      <c r="D976" s="206">
        <f>MIN($D$8+-1.852423*$E$8,'Debt &amp; Cost of Capital'!$C$38)</f>
        <v>4.3885462E-2</v>
      </c>
      <c r="E976" s="207">
        <f>$D$9+-0.945257*$E$9</f>
        <v>0.13886338770254633</v>
      </c>
      <c r="F976" s="207">
        <f>$D$10+1.351681*$E$10</f>
        <v>0.16122017199999991</v>
      </c>
      <c r="G976" s="208">
        <f>$F976*(1-'Sensitivity &amp; Scenarios'!$C$12)+'Sensitivity &amp; Scenarios'!$C$9*'Sensitivity &amp; Scenarios'!$C$12-'Sensitivity &amp; Scenarios'!$C$10</f>
        <v>8.9836472796064645E-2</v>
      </c>
      <c r="H976" s="209">
        <f>('Sensitivity &amp; Scenarios'!$C$6*(1+$E976)^1*$G976+'Sensitivity &amp; Scenarios'!$C$11*'Sensitivity &amp; Scenarios'!$C$6*((1+$E976)^1-(1+$E976)^0))*'Sensitivity &amp; Scenarios'!$C$18/(1+$C976)^'Sensitivity &amp; Scenarios'!$C$18+('Sensitivity &amp; Scenarios'!$C$6*(1+$E976)^2*$G976+'Sensitivity &amp; Scenarios'!$C$11*'Sensitivity &amp; Scenarios'!$C$6*((1+$E976)^2-(1+$E976)^1))/(1+$C976)^('Sensitivity &amp; Scenarios'!$C$18+1)+('Sensitivity &amp; Scenarios'!$C$6*(1+$E976)^3*$G976+'Sensitivity &amp; Scenarios'!$C$11*'Sensitivity &amp; Scenarios'!$C$6*((1+$E976)^3-(1+$E976)^2))/(1+$C976)^('Sensitivity &amp; Scenarios'!$C$18+2)+('Sensitivity &amp; Scenarios'!$C$6*(1+$E976)^4*$G976+'Sensitivity &amp; Scenarios'!$C$11*'Sensitivity &amp; Scenarios'!$C$6*((1+$E976)^4-(1+$E976)^3))/(1+$C976)^('Sensitivity &amp; Scenarios'!$C$18+3)+('Sensitivity &amp; Scenarios'!$C$6*(1+$E976)^5*$G976+'Sensitivity &amp; Scenarios'!$C$11*'Sensitivity &amp; Scenarios'!$C$6*((1+$E976)^5-(1+$E976)^4))/(1+$C976)^('Sensitivity &amp; Scenarios'!$C$18+4)</f>
        <v>23575.524964037646</v>
      </c>
      <c r="I976" s="209">
        <f>('Sensitivity &amp; Scenarios'!$C$6*(1+$E976)^5*$G976+'Sensitivity &amp; Scenarios'!$C$11*'Sensitivity &amp; Scenarios'!$C$6*((1+$E976)^5-(1+$E976)^4))*(1+$D976)/($C976-$D976)/(1+$C976)^('Sensitivity &amp; Scenarios'!$C$18+4)</f>
        <v>54313.951664899942</v>
      </c>
      <c r="J976" s="209">
        <f>($H976+$I976-'Sensitivity &amp; Scenarios'!$C$15+'Sensitivity &amp; Scenarios'!$C$16)/'Sensitivity &amp; Scenarios'!$C$17</f>
        <v>1926.0393356474062</v>
      </c>
    </row>
    <row r="977" spans="2:10" x14ac:dyDescent="0.3">
      <c r="B977" s="127">
        <v>947</v>
      </c>
      <c r="C977" s="206">
        <f>$D$7+1.824879*$E$7</f>
        <v>0.15580104943997797</v>
      </c>
      <c r="D977" s="206">
        <f>MIN($D$8+-1.215656*$E$8,'Debt &amp; Cost of Capital'!$C$38)</f>
        <v>4.7706063999999999E-2</v>
      </c>
      <c r="E977" s="207">
        <f>$D$9+-0.329392*$E$9</f>
        <v>0.15733933770254635</v>
      </c>
      <c r="F977" s="207">
        <f>$D$10+0.042623*$E$10</f>
        <v>0.14551147599999992</v>
      </c>
      <c r="G977" s="208">
        <f>$F977*(1-'Sensitivity &amp; Scenarios'!$C$12)+'Sensitivity &amp; Scenarios'!$C$9*'Sensitivity &amp; Scenarios'!$C$12-'Sensitivity &amp; Scenarios'!$C$10</f>
        <v>7.808165557926465E-2</v>
      </c>
      <c r="H977" s="209">
        <f>('Sensitivity &amp; Scenarios'!$C$6*(1+$E977)^1*$G977+'Sensitivity &amp; Scenarios'!$C$11*'Sensitivity &amp; Scenarios'!$C$6*((1+$E977)^1-(1+$E977)^0))*'Sensitivity &amp; Scenarios'!$C$18/(1+$C977)^'Sensitivity &amp; Scenarios'!$C$18+('Sensitivity &amp; Scenarios'!$C$6*(1+$E977)^2*$G977+'Sensitivity &amp; Scenarios'!$C$11*'Sensitivity &amp; Scenarios'!$C$6*((1+$E977)^2-(1+$E977)^1))/(1+$C977)^('Sensitivity &amp; Scenarios'!$C$18+1)+('Sensitivity &amp; Scenarios'!$C$6*(1+$E977)^3*$G977+'Sensitivity &amp; Scenarios'!$C$11*'Sensitivity &amp; Scenarios'!$C$6*((1+$E977)^3-(1+$E977)^2))/(1+$C977)^('Sensitivity &amp; Scenarios'!$C$18+2)+('Sensitivity &amp; Scenarios'!$C$6*(1+$E977)^4*$G977+'Sensitivity &amp; Scenarios'!$C$11*'Sensitivity &amp; Scenarios'!$C$6*((1+$E977)^4-(1+$E977)^3))/(1+$C977)^('Sensitivity &amp; Scenarios'!$C$18+3)+('Sensitivity &amp; Scenarios'!$C$6*(1+$E977)^5*$G977+'Sensitivity &amp; Scenarios'!$C$11*'Sensitivity &amp; Scenarios'!$C$6*((1+$E977)^5-(1+$E977)^4))/(1+$C977)^('Sensitivity &amp; Scenarios'!$C$18+4)</f>
        <v>21577.377644037835</v>
      </c>
      <c r="I977" s="209">
        <f>('Sensitivity &amp; Scenarios'!$C$6*(1+$E977)^5*$G977+'Sensitivity &amp; Scenarios'!$C$11*'Sensitivity &amp; Scenarios'!$C$6*((1+$E977)^5-(1+$E977)^4))*(1+$D977)/($C977-$D977)/(1+$C977)^('Sensitivity &amp; Scenarios'!$C$18+4)</f>
        <v>45252.736473665595</v>
      </c>
      <c r="J977" s="209">
        <f>($H977+$I977-'Sensitivity &amp; Scenarios'!$C$15+'Sensitivity &amp; Scenarios'!$C$16)/'Sensitivity &amp; Scenarios'!$C$17</f>
        <v>1693.2532878028187</v>
      </c>
    </row>
    <row r="978" spans="2:10" x14ac:dyDescent="0.3">
      <c r="B978" s="127">
        <v>948</v>
      </c>
      <c r="C978" s="206">
        <f>$D$7+1.781227*$E$7</f>
        <v>0.15536452943997797</v>
      </c>
      <c r="D978" s="206">
        <f>MIN($D$8+-0.492869*$E$8,'Debt &amp; Cost of Capital'!$C$38)</f>
        <v>5.2042786000000001E-2</v>
      </c>
      <c r="E978" s="207">
        <f>$D$9+-0.476884*$E$9</f>
        <v>0.15291457770254635</v>
      </c>
      <c r="F978" s="207">
        <f>$D$10+1.548726*$E$10</f>
        <v>0.16358471199999991</v>
      </c>
      <c r="G978" s="208">
        <f>$F978*(1-'Sensitivity &amp; Scenarios'!$C$12)+'Sensitivity &amp; Scenarios'!$C$9*'Sensitivity &amp; Scenarios'!$C$12-'Sensitivity &amp; Scenarios'!$C$10</f>
        <v>9.160585807806465E-2</v>
      </c>
      <c r="H978" s="209">
        <f>('Sensitivity &amp; Scenarios'!$C$6*(1+$E978)^1*$G978+'Sensitivity &amp; Scenarios'!$C$11*'Sensitivity &amp; Scenarios'!$C$6*((1+$E978)^1-(1+$E978)^0))*'Sensitivity &amp; Scenarios'!$C$18/(1+$C978)^'Sensitivity &amp; Scenarios'!$C$18+('Sensitivity &amp; Scenarios'!$C$6*(1+$E978)^2*$G978+'Sensitivity &amp; Scenarios'!$C$11*'Sensitivity &amp; Scenarios'!$C$6*((1+$E978)^2-(1+$E978)^1))/(1+$C978)^('Sensitivity &amp; Scenarios'!$C$18+1)+('Sensitivity &amp; Scenarios'!$C$6*(1+$E978)^3*$G978+'Sensitivity &amp; Scenarios'!$C$11*'Sensitivity &amp; Scenarios'!$C$6*((1+$E978)^3-(1+$E978)^2))/(1+$C978)^('Sensitivity &amp; Scenarios'!$C$18+2)+('Sensitivity &amp; Scenarios'!$C$6*(1+$E978)^4*$G978+'Sensitivity &amp; Scenarios'!$C$11*'Sensitivity &amp; Scenarios'!$C$6*((1+$E978)^4-(1+$E978)^3))/(1+$C978)^('Sensitivity &amp; Scenarios'!$C$18+3)+('Sensitivity &amp; Scenarios'!$C$6*(1+$E978)^5*$G978+'Sensitivity &amp; Scenarios'!$C$11*'Sensitivity &amp; Scenarios'!$C$6*((1+$E978)^5-(1+$E978)^4))/(1+$C978)^('Sensitivity &amp; Scenarios'!$C$18+4)</f>
        <v>24358.919500865857</v>
      </c>
      <c r="I978" s="209">
        <f>('Sensitivity &amp; Scenarios'!$C$6*(1+$E978)^5*$G978+'Sensitivity &amp; Scenarios'!$C$11*'Sensitivity &amp; Scenarios'!$C$6*((1+$E978)^5-(1+$E978)^4))*(1+$D978)/($C978-$D978)/(1+$C978)^('Sensitivity &amp; Scenarios'!$C$18+4)</f>
        <v>53327.28646319051</v>
      </c>
      <c r="J978" s="209">
        <f>($H978+$I978-'Sensitivity &amp; Scenarios'!$C$15+'Sensitivity &amp; Scenarios'!$C$16)/'Sensitivity &amp; Scenarios'!$C$17</f>
        <v>1921.7607368879953</v>
      </c>
    </row>
    <row r="979" spans="2:10" x14ac:dyDescent="0.3">
      <c r="B979" s="127">
        <v>949</v>
      </c>
      <c r="C979" s="206">
        <f>$D$7+-0.374789*$E$7</f>
        <v>0.13380436943997798</v>
      </c>
      <c r="D979" s="206">
        <f>MIN($D$8+0.722202*$E$8,'Debt &amp; Cost of Capital'!$C$38)</f>
        <v>5.9333212000000003E-2</v>
      </c>
      <c r="E979" s="207">
        <f>$D$9+-1.477143*$E$9</f>
        <v>0.12290680770254633</v>
      </c>
      <c r="F979" s="207">
        <f>$D$10+-0.171233*$E$10</f>
        <v>0.14294520399999991</v>
      </c>
      <c r="G979" s="208">
        <f>$F979*(1-'Sensitivity &amp; Scenarios'!$C$12)+'Sensitivity &amp; Scenarios'!$C$9*'Sensitivity &amp; Scenarios'!$C$12-'Sensitivity &amp; Scenarios'!$C$10</f>
        <v>7.616131424166464E-2</v>
      </c>
      <c r="H979" s="209">
        <f>('Sensitivity &amp; Scenarios'!$C$6*(1+$E979)^1*$G979+'Sensitivity &amp; Scenarios'!$C$11*'Sensitivity &amp; Scenarios'!$C$6*((1+$E979)^1-(1+$E979)^0))*'Sensitivity &amp; Scenarios'!$C$18/(1+$C979)^'Sensitivity &amp; Scenarios'!$C$18+('Sensitivity &amp; Scenarios'!$C$6*(1+$E979)^2*$G979+'Sensitivity &amp; Scenarios'!$C$11*'Sensitivity &amp; Scenarios'!$C$6*((1+$E979)^2-(1+$E979)^1))/(1+$C979)^('Sensitivity &amp; Scenarios'!$C$18+1)+('Sensitivity &amp; Scenarios'!$C$6*(1+$E979)^3*$G979+'Sensitivity &amp; Scenarios'!$C$11*'Sensitivity &amp; Scenarios'!$C$6*((1+$E979)^3-(1+$E979)^2))/(1+$C979)^('Sensitivity &amp; Scenarios'!$C$18+2)+('Sensitivity &amp; Scenarios'!$C$6*(1+$E979)^4*$G979+'Sensitivity &amp; Scenarios'!$C$11*'Sensitivity &amp; Scenarios'!$C$6*((1+$E979)^4-(1+$E979)^3))/(1+$C979)^('Sensitivity &amp; Scenarios'!$C$18+3)+('Sensitivity &amp; Scenarios'!$C$6*(1+$E979)^5*$G979+'Sensitivity &amp; Scenarios'!$C$11*'Sensitivity &amp; Scenarios'!$C$6*((1+$E979)^5-(1+$E979)^4))/(1+$C979)^('Sensitivity &amp; Scenarios'!$C$18+4)</f>
        <v>19621.048777436561</v>
      </c>
      <c r="I979" s="209">
        <f>('Sensitivity &amp; Scenarios'!$C$6*(1+$E979)^5*$G979+'Sensitivity &amp; Scenarios'!$C$11*'Sensitivity &amp; Scenarios'!$C$6*((1+$E979)^5-(1+$E979)^4))*(1+$D979)/($C979-$D979)/(1+$C979)^('Sensitivity &amp; Scenarios'!$C$18+4)</f>
        <v>59177.29183847391</v>
      </c>
      <c r="J979" s="209">
        <f>($H979+$I979-'Sensitivity &amp; Scenarios'!$C$15+'Sensitivity &amp; Scenarios'!$C$16)/'Sensitivity &amp; Scenarios'!$C$17</f>
        <v>1945.1698104230345</v>
      </c>
    </row>
    <row r="980" spans="2:10" x14ac:dyDescent="0.3">
      <c r="B980" s="127">
        <v>950</v>
      </c>
      <c r="C980" s="206">
        <f>$D$7+-1.659597*$E$7</f>
        <v>0.12095628943997798</v>
      </c>
      <c r="D980" s="206">
        <f>MIN($D$8+-1.055434*$E$8,'Debt &amp; Cost of Capital'!$C$38)</f>
        <v>4.8667396000000002E-2</v>
      </c>
      <c r="E980" s="207">
        <f>$D$9+0.839201*$E$9</f>
        <v>0.19239712770254633</v>
      </c>
      <c r="F980" s="207">
        <f>$D$10+-0.049905*$E$10</f>
        <v>0.1444011399999999</v>
      </c>
      <c r="G980" s="208">
        <f>$F980*(1-'Sensitivity &amp; Scenarios'!$C$12)+'Sensitivity &amp; Scenarios'!$C$9*'Sensitivity &amp; Scenarios'!$C$12-'Sensitivity &amp; Scenarios'!$C$10</f>
        <v>7.7250791150464626E-2</v>
      </c>
      <c r="H980" s="209">
        <f>('Sensitivity &amp; Scenarios'!$C$6*(1+$E980)^1*$G980+'Sensitivity &amp; Scenarios'!$C$11*'Sensitivity &amp; Scenarios'!$C$6*((1+$E980)^1-(1+$E980)^0))*'Sensitivity &amp; Scenarios'!$C$18/(1+$C980)^'Sensitivity &amp; Scenarios'!$C$18+('Sensitivity &amp; Scenarios'!$C$6*(1+$E980)^2*$G980+'Sensitivity &amp; Scenarios'!$C$11*'Sensitivity &amp; Scenarios'!$C$6*((1+$E980)^2-(1+$E980)^1))/(1+$C980)^('Sensitivity &amp; Scenarios'!$C$18+1)+('Sensitivity &amp; Scenarios'!$C$6*(1+$E980)^3*$G980+'Sensitivity &amp; Scenarios'!$C$11*'Sensitivity &amp; Scenarios'!$C$6*((1+$E980)^3-(1+$E980)^2))/(1+$C980)^('Sensitivity &amp; Scenarios'!$C$18+2)+('Sensitivity &amp; Scenarios'!$C$6*(1+$E980)^4*$G980+'Sensitivity &amp; Scenarios'!$C$11*'Sensitivity &amp; Scenarios'!$C$6*((1+$E980)^4-(1+$E980)^3))/(1+$C980)^('Sensitivity &amp; Scenarios'!$C$18+3)+('Sensitivity &amp; Scenarios'!$C$6*(1+$E980)^5*$G980+'Sensitivity &amp; Scenarios'!$C$11*'Sensitivity &amp; Scenarios'!$C$6*((1+$E980)^5-(1+$E980)^4))/(1+$C980)^('Sensitivity &amp; Scenarios'!$C$18+4)</f>
        <v>26461.431762458986</v>
      </c>
      <c r="I980" s="209">
        <f>('Sensitivity &amp; Scenarios'!$C$6*(1+$E980)^5*$G980+'Sensitivity &amp; Scenarios'!$C$11*'Sensitivity &amp; Scenarios'!$C$6*((1+$E980)^5-(1+$E980)^4))*(1+$D980)/($C980-$D980)/(1+$C980)^('Sensitivity &amp; Scenarios'!$C$18+4)</f>
        <v>92520.965099692403</v>
      </c>
      <c r="J980" s="209">
        <f>($H980+$I980-'Sensitivity &amp; Scenarios'!$C$15+'Sensitivity &amp; Scenarios'!$C$16)/'Sensitivity &amp; Scenarios'!$C$17</f>
        <v>2790.9950223577098</v>
      </c>
    </row>
    <row r="981" spans="2:10" x14ac:dyDescent="0.3">
      <c r="B981" s="127">
        <v>951</v>
      </c>
      <c r="C981" s="206">
        <f>$D$7+-0.319106*$E$7</f>
        <v>0.13436119943997799</v>
      </c>
      <c r="D981" s="206">
        <f>MIN($D$8+-0.74875*$E$8,'Debt &amp; Cost of Capital'!$C$38)</f>
        <v>5.0507499999999997E-2</v>
      </c>
      <c r="E981" s="207">
        <f>$D$9+-0.220656*$E$9</f>
        <v>0.16060141770254635</v>
      </c>
      <c r="F981" s="207">
        <f>$D$10+0.301113*$E$10</f>
        <v>0.14861335599999992</v>
      </c>
      <c r="G981" s="208">
        <f>$F981*(1-'Sensitivity &amp; Scenarios'!$C$12)+'Sensitivity &amp; Scenarios'!$C$9*'Sensitivity &amp; Scenarios'!$C$12-'Sensitivity &amp; Scenarios'!$C$10</f>
        <v>8.0402792383264643E-2</v>
      </c>
      <c r="H981" s="209">
        <f>('Sensitivity &amp; Scenarios'!$C$6*(1+$E981)^1*$G981+'Sensitivity &amp; Scenarios'!$C$11*'Sensitivity &amp; Scenarios'!$C$6*((1+$E981)^1-(1+$E981)^0))*'Sensitivity &amp; Scenarios'!$C$18/(1+$C981)^'Sensitivity &amp; Scenarios'!$C$18+('Sensitivity &amp; Scenarios'!$C$6*(1+$E981)^2*$G981+'Sensitivity &amp; Scenarios'!$C$11*'Sensitivity &amp; Scenarios'!$C$6*((1+$E981)^2-(1+$E981)^1))/(1+$C981)^('Sensitivity &amp; Scenarios'!$C$18+1)+('Sensitivity &amp; Scenarios'!$C$6*(1+$E981)^3*$G981+'Sensitivity &amp; Scenarios'!$C$11*'Sensitivity &amp; Scenarios'!$C$6*((1+$E981)^3-(1+$E981)^2))/(1+$C981)^('Sensitivity &amp; Scenarios'!$C$18+2)+('Sensitivity &amp; Scenarios'!$C$6*(1+$E981)^4*$G981+'Sensitivity &amp; Scenarios'!$C$11*'Sensitivity &amp; Scenarios'!$C$6*((1+$E981)^4-(1+$E981)^3))/(1+$C981)^('Sensitivity &amp; Scenarios'!$C$18+3)+('Sensitivity &amp; Scenarios'!$C$6*(1+$E981)^5*$G981+'Sensitivity &amp; Scenarios'!$C$11*'Sensitivity &amp; Scenarios'!$C$6*((1+$E981)^5-(1+$E981)^4))/(1+$C981)^('Sensitivity &amp; Scenarios'!$C$18+4)</f>
        <v>23587.429570646709</v>
      </c>
      <c r="I981" s="209">
        <f>('Sensitivity &amp; Scenarios'!$C$6*(1+$E981)^5*$G981+'Sensitivity &amp; Scenarios'!$C$11*'Sensitivity &amp; Scenarios'!$C$6*((1+$E981)^5-(1+$E981)^4))*(1+$D981)/($C981-$D981)/(1+$C981)^('Sensitivity &amp; Scenarios'!$C$18+4)</f>
        <v>66495.181452643446</v>
      </c>
      <c r="J981" s="209">
        <f>($H981+$I981-'Sensitivity &amp; Scenarios'!$C$15+'Sensitivity &amp; Scenarios'!$C$16)/'Sensitivity &amp; Scenarios'!$C$17</f>
        <v>2182.6898942683019</v>
      </c>
    </row>
    <row r="982" spans="2:10" x14ac:dyDescent="0.3">
      <c r="B982" s="127">
        <v>952</v>
      </c>
      <c r="C982" s="206">
        <f>$D$7+0.982916*$E$7</f>
        <v>0.14738141943997798</v>
      </c>
      <c r="D982" s="206">
        <f>MIN($D$8+-2.625147*$E$8,'Debt &amp; Cost of Capital'!$C$38)</f>
        <v>3.9249118E-2</v>
      </c>
      <c r="E982" s="207">
        <f>$D$9+-0.831761*$E$9</f>
        <v>0.14226826770254633</v>
      </c>
      <c r="F982" s="207">
        <f>$D$10+0.159096*$E$10</f>
        <v>0.1469091519999999</v>
      </c>
      <c r="G982" s="208">
        <f>$F982*(1-'Sensitivity &amp; Scenarios'!$C$12)+'Sensitivity &amp; Scenarios'!$C$9*'Sensitivity &amp; Scenarios'!$C$12-'Sensitivity &amp; Scenarios'!$C$10</f>
        <v>7.9127536530064629E-2</v>
      </c>
      <c r="H982" s="209">
        <f>('Sensitivity &amp; Scenarios'!$C$6*(1+$E982)^1*$G982+'Sensitivity &amp; Scenarios'!$C$11*'Sensitivity &amp; Scenarios'!$C$6*((1+$E982)^1-(1+$E982)^0))*'Sensitivity &amp; Scenarios'!$C$18/(1+$C982)^'Sensitivity &amp; Scenarios'!$C$18+('Sensitivity &amp; Scenarios'!$C$6*(1+$E982)^2*$G982+'Sensitivity &amp; Scenarios'!$C$11*'Sensitivity &amp; Scenarios'!$C$6*((1+$E982)^2-(1+$E982)^1))/(1+$C982)^('Sensitivity &amp; Scenarios'!$C$18+1)+('Sensitivity &amp; Scenarios'!$C$6*(1+$E982)^3*$G982+'Sensitivity &amp; Scenarios'!$C$11*'Sensitivity &amp; Scenarios'!$C$6*((1+$E982)^3-(1+$E982)^2))/(1+$C982)^('Sensitivity &amp; Scenarios'!$C$18+2)+('Sensitivity &amp; Scenarios'!$C$6*(1+$E982)^4*$G982+'Sensitivity &amp; Scenarios'!$C$11*'Sensitivity &amp; Scenarios'!$C$6*((1+$E982)^4-(1+$E982)^3))/(1+$C982)^('Sensitivity &amp; Scenarios'!$C$18+3)+('Sensitivity &amp; Scenarios'!$C$6*(1+$E982)^5*$G982+'Sensitivity &amp; Scenarios'!$C$11*'Sensitivity &amp; Scenarios'!$C$6*((1+$E982)^5-(1+$E982)^4))/(1+$C982)^('Sensitivity &amp; Scenarios'!$C$18+4)</f>
        <v>21082.2243211393</v>
      </c>
      <c r="I982" s="209">
        <f>('Sensitivity &amp; Scenarios'!$C$6*(1+$E982)^5*$G982+'Sensitivity &amp; Scenarios'!$C$11*'Sensitivity &amp; Scenarios'!$C$6*((1+$E982)^5-(1+$E982)^4))*(1+$D982)/($C982-$D982)/(1+$C982)^('Sensitivity &amp; Scenarios'!$C$18+4)</f>
        <v>43376.054931148858</v>
      </c>
      <c r="J982" s="209">
        <f>($H982+$I982-'Sensitivity &amp; Scenarios'!$C$15+'Sensitivity &amp; Scenarios'!$C$16)/'Sensitivity &amp; Scenarios'!$C$17</f>
        <v>1643.3290662304485</v>
      </c>
    </row>
    <row r="983" spans="2:10" x14ac:dyDescent="0.3">
      <c r="B983" s="127">
        <v>953</v>
      </c>
      <c r="C983" s="206">
        <f>$D$7+-0.098863*$E$7</f>
        <v>0.13656362943997799</v>
      </c>
      <c r="D983" s="206">
        <f>MIN($D$8+0.403376*$E$8,'Debt &amp; Cost of Capital'!$C$38)</f>
        <v>5.7420256000000003E-2</v>
      </c>
      <c r="E983" s="207">
        <f>$D$9+0.26754*$E$9</f>
        <v>0.17524729770254635</v>
      </c>
      <c r="F983" s="207">
        <f>$D$10+-0.304868*$E$10</f>
        <v>0.14134158399999991</v>
      </c>
      <c r="G983" s="208">
        <f>$F983*(1-'Sensitivity &amp; Scenarios'!$C$12)+'Sensitivity &amp; Scenarios'!$C$9*'Sensitivity &amp; Scenarios'!$C$12-'Sensitivity &amp; Scenarios'!$C$10</f>
        <v>7.4961325395664635E-2</v>
      </c>
      <c r="H983" s="209">
        <f>('Sensitivity &amp; Scenarios'!$C$6*(1+$E983)^1*$G983+'Sensitivity &amp; Scenarios'!$C$11*'Sensitivity &amp; Scenarios'!$C$6*((1+$E983)^1-(1+$E983)^0))*'Sensitivity &amp; Scenarios'!$C$18/(1+$C983)^'Sensitivity &amp; Scenarios'!$C$18+('Sensitivity &amp; Scenarios'!$C$6*(1+$E983)^2*$G983+'Sensitivity &amp; Scenarios'!$C$11*'Sensitivity &amp; Scenarios'!$C$6*((1+$E983)^2-(1+$E983)^1))/(1+$C983)^('Sensitivity &amp; Scenarios'!$C$18+1)+('Sensitivity &amp; Scenarios'!$C$6*(1+$E983)^3*$G983+'Sensitivity &amp; Scenarios'!$C$11*'Sensitivity &amp; Scenarios'!$C$6*((1+$E983)^3-(1+$E983)^2))/(1+$C983)^('Sensitivity &amp; Scenarios'!$C$18+2)+('Sensitivity &amp; Scenarios'!$C$6*(1+$E983)^4*$G983+'Sensitivity &amp; Scenarios'!$C$11*'Sensitivity &amp; Scenarios'!$C$6*((1+$E983)^4-(1+$E983)^3))/(1+$C983)^('Sensitivity &amp; Scenarios'!$C$18+3)+('Sensitivity &amp; Scenarios'!$C$6*(1+$E983)^5*$G983+'Sensitivity &amp; Scenarios'!$C$11*'Sensitivity &amp; Scenarios'!$C$6*((1+$E983)^5-(1+$E983)^4))/(1+$C983)^('Sensitivity &amp; Scenarios'!$C$18+4)</f>
        <v>23333.104830368578</v>
      </c>
      <c r="I983" s="209">
        <f>('Sensitivity &amp; Scenarios'!$C$6*(1+$E983)^5*$G983+'Sensitivity &amp; Scenarios'!$C$11*'Sensitivity &amp; Scenarios'!$C$6*((1+$E983)^5-(1+$E983)^4))*(1+$D983)/($C983-$D983)/(1+$C983)^('Sensitivity &amp; Scenarios'!$C$18+4)</f>
        <v>71495.891669157892</v>
      </c>
      <c r="J983" s="209">
        <f>($H983+$I983-'Sensitivity &amp; Scenarios'!$C$15+'Sensitivity &amp; Scenarios'!$C$16)/'Sensitivity &amp; Scenarios'!$C$17</f>
        <v>2282.5955005306564</v>
      </c>
    </row>
    <row r="984" spans="2:10" x14ac:dyDescent="0.3">
      <c r="B984" s="127">
        <v>954</v>
      </c>
      <c r="C984" s="206">
        <f>$D$7+-0.526853*$E$7</f>
        <v>0.13228372943997799</v>
      </c>
      <c r="D984" s="206">
        <f>MIN($D$8+-0.245501*$E$8,'Debt &amp; Cost of Capital'!$C$38)</f>
        <v>5.3526994000000001E-2</v>
      </c>
      <c r="E984" s="207">
        <f>$D$9+1.148742*$E$9</f>
        <v>0.20168335770254633</v>
      </c>
      <c r="F984" s="207">
        <f>$D$10+-0.732008*$E$10</f>
        <v>0.13621590399999992</v>
      </c>
      <c r="G984" s="208">
        <f>$F984*(1-'Sensitivity &amp; Scenarios'!$C$12)+'Sensitivity &amp; Scenarios'!$C$9*'Sensitivity &amp; Scenarios'!$C$12-'Sensitivity &amp; Scenarios'!$C$10</f>
        <v>7.1125779051664645E-2</v>
      </c>
      <c r="H984" s="209">
        <f>('Sensitivity &amp; Scenarios'!$C$6*(1+$E984)^1*$G984+'Sensitivity &amp; Scenarios'!$C$11*'Sensitivity &amp; Scenarios'!$C$6*((1+$E984)^1-(1+$E984)^0))*'Sensitivity &amp; Scenarios'!$C$18/(1+$C984)^'Sensitivity &amp; Scenarios'!$C$18+('Sensitivity &amp; Scenarios'!$C$6*(1+$E984)^2*$G984+'Sensitivity &amp; Scenarios'!$C$11*'Sensitivity &amp; Scenarios'!$C$6*((1+$E984)^2-(1+$E984)^1))/(1+$C984)^('Sensitivity &amp; Scenarios'!$C$18+1)+('Sensitivity &amp; Scenarios'!$C$6*(1+$E984)^3*$G984+'Sensitivity &amp; Scenarios'!$C$11*'Sensitivity &amp; Scenarios'!$C$6*((1+$E984)^3-(1+$E984)^2))/(1+$C984)^('Sensitivity &amp; Scenarios'!$C$18+2)+('Sensitivity &amp; Scenarios'!$C$6*(1+$E984)^4*$G984+'Sensitivity &amp; Scenarios'!$C$11*'Sensitivity &amp; Scenarios'!$C$6*((1+$E984)^4-(1+$E984)^3))/(1+$C984)^('Sensitivity &amp; Scenarios'!$C$18+3)+('Sensitivity &amp; Scenarios'!$C$6*(1+$E984)^5*$G984+'Sensitivity &amp; Scenarios'!$C$11*'Sensitivity &amp; Scenarios'!$C$6*((1+$E984)^5-(1+$E984)^4))/(1+$C984)^('Sensitivity &amp; Scenarios'!$C$18+4)</f>
        <v>24858.916343005447</v>
      </c>
      <c r="I984" s="209">
        <f>('Sensitivity &amp; Scenarios'!$C$6*(1+$E984)^5*$G984+'Sensitivity &amp; Scenarios'!$C$11*'Sensitivity &amp; Scenarios'!$C$6*((1+$E984)^5-(1+$E984)^4))*(1+$D984)/($C984-$D984)/(1+$C984)^('Sensitivity &amp; Scenarios'!$C$18+4)</f>
        <v>79831.303996071088</v>
      </c>
      <c r="J984" s="209">
        <f>($H984+$I984-'Sensitivity &amp; Scenarios'!$C$15+'Sensitivity &amp; Scenarios'!$C$16)/'Sensitivity &amp; Scenarios'!$C$17</f>
        <v>2490.1621954633756</v>
      </c>
    </row>
    <row r="985" spans="2:10" x14ac:dyDescent="0.3">
      <c r="B985" s="127">
        <v>955</v>
      </c>
      <c r="C985" s="206">
        <f>$D$7+-0.062807*$E$7</f>
        <v>0.13692418943997797</v>
      </c>
      <c r="D985" s="206">
        <f>MIN($D$8+0.183342*$E$8,'Debt &amp; Cost of Capital'!$C$38)</f>
        <v>5.6100051999999997E-2</v>
      </c>
      <c r="E985" s="207">
        <f>$D$9+1.560351*$E$9</f>
        <v>0.21403162770254636</v>
      </c>
      <c r="F985" s="207">
        <f>$D$10+-0.300308*$E$10</f>
        <v>0.14139630399999992</v>
      </c>
      <c r="G985" s="208">
        <f>$F985*(1-'Sensitivity &amp; Scenarios'!$C$12)+'Sensitivity &amp; Scenarios'!$C$9*'Sensitivity &amp; Scenarios'!$C$12-'Sensitivity &amp; Scenarios'!$C$10</f>
        <v>7.5002272371664638E-2</v>
      </c>
      <c r="H985" s="209">
        <f>('Sensitivity &amp; Scenarios'!$C$6*(1+$E985)^1*$G985+'Sensitivity &amp; Scenarios'!$C$11*'Sensitivity &amp; Scenarios'!$C$6*((1+$E985)^1-(1+$E985)^0))*'Sensitivity &amp; Scenarios'!$C$18/(1+$C985)^'Sensitivity &amp; Scenarios'!$C$18+('Sensitivity &amp; Scenarios'!$C$6*(1+$E985)^2*$G985+'Sensitivity &amp; Scenarios'!$C$11*'Sensitivity &amp; Scenarios'!$C$6*((1+$E985)^2-(1+$E985)^1))/(1+$C985)^('Sensitivity &amp; Scenarios'!$C$18+1)+('Sensitivity &amp; Scenarios'!$C$6*(1+$E985)^3*$G985+'Sensitivity &amp; Scenarios'!$C$11*'Sensitivity &amp; Scenarios'!$C$6*((1+$E985)^3-(1+$E985)^2))/(1+$C985)^('Sensitivity &amp; Scenarios'!$C$18+2)+('Sensitivity &amp; Scenarios'!$C$6*(1+$E985)^4*$G985+'Sensitivity &amp; Scenarios'!$C$11*'Sensitivity &amp; Scenarios'!$C$6*((1+$E985)^4-(1+$E985)^3))/(1+$C985)^('Sensitivity &amp; Scenarios'!$C$18+3)+('Sensitivity &amp; Scenarios'!$C$6*(1+$E985)^5*$G985+'Sensitivity &amp; Scenarios'!$C$11*'Sensitivity &amp; Scenarios'!$C$6*((1+$E985)^5-(1+$E985)^4))/(1+$C985)^('Sensitivity &amp; Scenarios'!$C$18+4)</f>
        <v>26763.963697250754</v>
      </c>
      <c r="I985" s="209">
        <f>('Sensitivity &amp; Scenarios'!$C$6*(1+$E985)^5*$G985+'Sensitivity &amp; Scenarios'!$C$11*'Sensitivity &amp; Scenarios'!$C$6*((1+$E985)^5-(1+$E985)^4))*(1+$D985)/($C985-$D985)/(1+$C985)^('Sensitivity &amp; Scenarios'!$C$18+4)</f>
        <v>84849.979506019037</v>
      </c>
      <c r="J985" s="209">
        <f>($H985+$I985-'Sensitivity &amp; Scenarios'!$C$15+'Sensitivity &amp; Scenarios'!$C$16)/'Sensitivity &amp; Scenarios'!$C$17</f>
        <v>2635.8980893984499</v>
      </c>
    </row>
    <row r="986" spans="2:10" x14ac:dyDescent="0.3">
      <c r="B986" s="127">
        <v>956</v>
      </c>
      <c r="C986" s="206">
        <f>$D$7+0.958807*$E$7</f>
        <v>0.14714032943997798</v>
      </c>
      <c r="D986" s="206">
        <f>MIN($D$8+1.231979*$E$8,'Debt &amp; Cost of Capital'!$C$38)</f>
        <v>6.2391874E-2</v>
      </c>
      <c r="E986" s="207">
        <f>$D$9+-0.063754*$E$9</f>
        <v>0.16530847770254634</v>
      </c>
      <c r="F986" s="207">
        <f>$D$10+-0.210719*$E$10</f>
        <v>0.1424713719999999</v>
      </c>
      <c r="G986" s="208">
        <f>$F986*(1-'Sensitivity &amp; Scenarios'!$C$12)+'Sensitivity &amp; Scenarios'!$C$9*'Sensitivity &amp; Scenarios'!$C$12-'Sensitivity &amp; Scenarios'!$C$10</f>
        <v>7.5806745756064636E-2</v>
      </c>
      <c r="H986" s="209">
        <f>('Sensitivity &amp; Scenarios'!$C$6*(1+$E986)^1*$G986+'Sensitivity &amp; Scenarios'!$C$11*'Sensitivity &amp; Scenarios'!$C$6*((1+$E986)^1-(1+$E986)^0))*'Sensitivity &amp; Scenarios'!$C$18/(1+$C986)^'Sensitivity &amp; Scenarios'!$C$18+('Sensitivity &amp; Scenarios'!$C$6*(1+$E986)^2*$G986+'Sensitivity &amp; Scenarios'!$C$11*'Sensitivity &amp; Scenarios'!$C$6*((1+$E986)^2-(1+$E986)^1))/(1+$C986)^('Sensitivity &amp; Scenarios'!$C$18+1)+('Sensitivity &amp; Scenarios'!$C$6*(1+$E986)^3*$G986+'Sensitivity &amp; Scenarios'!$C$11*'Sensitivity &amp; Scenarios'!$C$6*((1+$E986)^3-(1+$E986)^2))/(1+$C986)^('Sensitivity &amp; Scenarios'!$C$18+2)+('Sensitivity &amp; Scenarios'!$C$6*(1+$E986)^4*$G986+'Sensitivity &amp; Scenarios'!$C$11*'Sensitivity &amp; Scenarios'!$C$6*((1+$E986)^4-(1+$E986)^3))/(1+$C986)^('Sensitivity &amp; Scenarios'!$C$18+3)+('Sensitivity &amp; Scenarios'!$C$6*(1+$E986)^5*$G986+'Sensitivity &amp; Scenarios'!$C$11*'Sensitivity &amp; Scenarios'!$C$6*((1+$E986)^5-(1+$E986)^4))/(1+$C986)^('Sensitivity &amp; Scenarios'!$C$18+4)</f>
        <v>22129.624891689626</v>
      </c>
      <c r="I986" s="209">
        <f>('Sensitivity &amp; Scenarios'!$C$6*(1+$E986)^5*$G986+'Sensitivity &amp; Scenarios'!$C$11*'Sensitivity &amp; Scenarios'!$C$6*((1+$E986)^5-(1+$E986)^4))*(1+$D986)/($C986-$D986)/(1+$C986)^('Sensitivity &amp; Scenarios'!$C$18+4)</f>
        <v>61623.460964499704</v>
      </c>
      <c r="J986" s="209">
        <f>($H986+$I986-'Sensitivity &amp; Scenarios'!$C$15+'Sensitivity &amp; Scenarios'!$C$16)/'Sensitivity &amp; Scenarios'!$C$17</f>
        <v>2049.4611347547639</v>
      </c>
    </row>
    <row r="987" spans="2:10" x14ac:dyDescent="0.3">
      <c r="B987" s="127">
        <v>957</v>
      </c>
      <c r="C987" s="206">
        <f>$D$7+-0.329054*$E$7</f>
        <v>0.13426171943997797</v>
      </c>
      <c r="D987" s="206">
        <f>MIN($D$8+-0.255823*$E$8,'Debt &amp; Cost of Capital'!$C$38)</f>
        <v>5.3465062000000001E-2</v>
      </c>
      <c r="E987" s="207">
        <f>$D$9+0.85424*$E$9</f>
        <v>0.19284829770254633</v>
      </c>
      <c r="F987" s="207">
        <f>$D$10+0.23101*$E$10</f>
        <v>0.1477721199999999</v>
      </c>
      <c r="G987" s="208">
        <f>$F987*(1-'Sensitivity &amp; Scenarios'!$C$12)+'Sensitivity &amp; Scenarios'!$C$9*'Sensitivity &amp; Scenarios'!$C$12-'Sensitivity &amp; Scenarios'!$C$10</f>
        <v>7.9773295484464629E-2</v>
      </c>
      <c r="H987" s="209">
        <f>('Sensitivity &amp; Scenarios'!$C$6*(1+$E987)^1*$G987+'Sensitivity &amp; Scenarios'!$C$11*'Sensitivity &amp; Scenarios'!$C$6*((1+$E987)^1-(1+$E987)^0))*'Sensitivity &amp; Scenarios'!$C$18/(1+$C987)^'Sensitivity &amp; Scenarios'!$C$18+('Sensitivity &amp; Scenarios'!$C$6*(1+$E987)^2*$G987+'Sensitivity &amp; Scenarios'!$C$11*'Sensitivity &amp; Scenarios'!$C$6*((1+$E987)^2-(1+$E987)^1))/(1+$C987)^('Sensitivity &amp; Scenarios'!$C$18+1)+('Sensitivity &amp; Scenarios'!$C$6*(1+$E987)^3*$G987+'Sensitivity &amp; Scenarios'!$C$11*'Sensitivity &amp; Scenarios'!$C$6*((1+$E987)^3-(1+$E987)^2))/(1+$C987)^('Sensitivity &amp; Scenarios'!$C$18+2)+('Sensitivity &amp; Scenarios'!$C$6*(1+$E987)^4*$G987+'Sensitivity &amp; Scenarios'!$C$11*'Sensitivity &amp; Scenarios'!$C$6*((1+$E987)^4-(1+$E987)^3))/(1+$C987)^('Sensitivity &amp; Scenarios'!$C$18+3)+('Sensitivity &amp; Scenarios'!$C$6*(1+$E987)^5*$G987+'Sensitivity &amp; Scenarios'!$C$11*'Sensitivity &amp; Scenarios'!$C$6*((1+$E987)^5-(1+$E987)^4))/(1+$C987)^('Sensitivity &amp; Scenarios'!$C$18+4)</f>
        <v>26294.292176319901</v>
      </c>
      <c r="I987" s="209">
        <f>('Sensitivity &amp; Scenarios'!$C$6*(1+$E987)^5*$G987+'Sensitivity &amp; Scenarios'!$C$11*'Sensitivity &amp; Scenarios'!$C$6*((1+$E987)^5-(1+$E987)^4))*(1+$D987)/($C987-$D987)/(1+$C987)^('Sensitivity &amp; Scenarios'!$C$18+4)</f>
        <v>81006.000318073609</v>
      </c>
      <c r="J987" s="209">
        <f>($H987+$I987-'Sensitivity &amp; Scenarios'!$C$15+'Sensitivity &amp; Scenarios'!$C$16)/'Sensitivity &amp; Scenarios'!$C$17</f>
        <v>2545.1010204642066</v>
      </c>
    </row>
    <row r="988" spans="2:10" x14ac:dyDescent="0.3">
      <c r="B988" s="127">
        <v>958</v>
      </c>
      <c r="C988" s="206">
        <f>$D$7+0.23529*$E$7</f>
        <v>0.13990515943997797</v>
      </c>
      <c r="D988" s="206">
        <f>MIN($D$8+-1.125224*$E$8,'Debt &amp; Cost of Capital'!$C$38)</f>
        <v>4.8248656000000001E-2</v>
      </c>
      <c r="E988" s="207">
        <f>$D$9+-0.96749*$E$9</f>
        <v>0.13819639770254635</v>
      </c>
      <c r="F988" s="207">
        <f>$D$10+2.143447*$E$10</f>
        <v>0.1707213639999999</v>
      </c>
      <c r="G988" s="208">
        <f>$F988*(1-'Sensitivity &amp; Scenarios'!$C$12)+'Sensitivity &amp; Scenarios'!$C$9*'Sensitivity &amp; Scenarios'!$C$12-'Sensitivity &amp; Scenarios'!$C$10</f>
        <v>9.694621476966464E-2</v>
      </c>
      <c r="H988" s="209">
        <f>('Sensitivity &amp; Scenarios'!$C$6*(1+$E988)^1*$G988+'Sensitivity &amp; Scenarios'!$C$11*'Sensitivity &amp; Scenarios'!$C$6*((1+$E988)^1-(1+$E988)^0))*'Sensitivity &amp; Scenarios'!$C$18/(1+$C988)^'Sensitivity &amp; Scenarios'!$C$18+('Sensitivity &amp; Scenarios'!$C$6*(1+$E988)^2*$G988+'Sensitivity &amp; Scenarios'!$C$11*'Sensitivity &amp; Scenarios'!$C$6*((1+$E988)^2-(1+$E988)^1))/(1+$C988)^('Sensitivity &amp; Scenarios'!$C$18+1)+('Sensitivity &amp; Scenarios'!$C$6*(1+$E988)^3*$G988+'Sensitivity &amp; Scenarios'!$C$11*'Sensitivity &amp; Scenarios'!$C$6*((1+$E988)^3-(1+$E988)^2))/(1+$C988)^('Sensitivity &amp; Scenarios'!$C$18+2)+('Sensitivity &amp; Scenarios'!$C$6*(1+$E988)^4*$G988+'Sensitivity &amp; Scenarios'!$C$11*'Sensitivity &amp; Scenarios'!$C$6*((1+$E988)^4-(1+$E988)^3))/(1+$C988)^('Sensitivity &amp; Scenarios'!$C$18+3)+('Sensitivity &amp; Scenarios'!$C$6*(1+$E988)^5*$G988+'Sensitivity &amp; Scenarios'!$C$11*'Sensitivity &amp; Scenarios'!$C$6*((1+$E988)^5-(1+$E988)^4))/(1+$C988)^('Sensitivity &amp; Scenarios'!$C$18+4)</f>
        <v>25225.570323853117</v>
      </c>
      <c r="I988" s="209">
        <f>('Sensitivity &amp; Scenarios'!$C$6*(1+$E988)^5*$G988+'Sensitivity &amp; Scenarios'!$C$11*'Sensitivity &amp; Scenarios'!$C$6*((1+$E988)^5-(1+$E988)^4))*(1+$D988)/($C988-$D988)/(1+$C988)^('Sensitivity &amp; Scenarios'!$C$18+4)</f>
        <v>62099.860177417024</v>
      </c>
      <c r="J988" s="209">
        <f>($H988+$I988-'Sensitivity &amp; Scenarios'!$C$15+'Sensitivity &amp; Scenarios'!$C$16)/'Sensitivity &amp; Scenarios'!$C$17</f>
        <v>2124.6546181605577</v>
      </c>
    </row>
    <row r="989" spans="2:10" x14ac:dyDescent="0.3">
      <c r="B989" s="127">
        <v>959</v>
      </c>
      <c r="C989" s="206">
        <f>$D$7+-0.177826*$E$7</f>
        <v>0.13577399943997798</v>
      </c>
      <c r="D989" s="206">
        <f>MIN($D$8+-0.774772*$E$8,'Debt &amp; Cost of Capital'!$C$38)</f>
        <v>5.0351368000000001E-2</v>
      </c>
      <c r="E989" s="207">
        <f>$D$9+1.431099*$E$9</f>
        <v>0.21015406770254633</v>
      </c>
      <c r="F989" s="207">
        <f>$D$10+0.281809*$E$10</f>
        <v>0.14838170799999992</v>
      </c>
      <c r="G989" s="208">
        <f>$F989*(1-'Sensitivity &amp; Scenarios'!$C$12)+'Sensitivity &amp; Scenarios'!$C$9*'Sensitivity &amp; Scenarios'!$C$12-'Sensitivity &amp; Scenarios'!$C$10</f>
        <v>8.0229450184864645E-2</v>
      </c>
      <c r="H989" s="209">
        <f>('Sensitivity &amp; Scenarios'!$C$6*(1+$E989)^1*$G989+'Sensitivity &amp; Scenarios'!$C$11*'Sensitivity &amp; Scenarios'!$C$6*((1+$E989)^1-(1+$E989)^0))*'Sensitivity &amp; Scenarios'!$C$18/(1+$C989)^'Sensitivity &amp; Scenarios'!$C$18+('Sensitivity &amp; Scenarios'!$C$6*(1+$E989)^2*$G989+'Sensitivity &amp; Scenarios'!$C$11*'Sensitivity &amp; Scenarios'!$C$6*((1+$E989)^2-(1+$E989)^1))/(1+$C989)^('Sensitivity &amp; Scenarios'!$C$18+1)+('Sensitivity &amp; Scenarios'!$C$6*(1+$E989)^3*$G989+'Sensitivity &amp; Scenarios'!$C$11*'Sensitivity &amp; Scenarios'!$C$6*((1+$E989)^3-(1+$E989)^2))/(1+$C989)^('Sensitivity &amp; Scenarios'!$C$18+2)+('Sensitivity &amp; Scenarios'!$C$6*(1+$E989)^4*$G989+'Sensitivity &amp; Scenarios'!$C$11*'Sensitivity &amp; Scenarios'!$C$6*((1+$E989)^4-(1+$E989)^3))/(1+$C989)^('Sensitivity &amp; Scenarios'!$C$18+3)+('Sensitivity &amp; Scenarios'!$C$6*(1+$E989)^5*$G989+'Sensitivity &amp; Scenarios'!$C$11*'Sensitivity &amp; Scenarios'!$C$6*((1+$E989)^5-(1+$E989)^4))/(1+$C989)^('Sensitivity &amp; Scenarios'!$C$18+4)</f>
        <v>27952.33698745726</v>
      </c>
      <c r="I989" s="209">
        <f>('Sensitivity &amp; Scenarios'!$C$6*(1+$E989)^5*$G989+'Sensitivity &amp; Scenarios'!$C$11*'Sensitivity &amp; Scenarios'!$C$6*((1+$E989)^5-(1+$E989)^4))*(1+$D989)/($C989-$D989)/(1+$C989)^('Sensitivity &amp; Scenarios'!$C$18+4)</f>
        <v>83076.619158417059</v>
      </c>
      <c r="J989" s="209">
        <f>($H989+$I989-'Sensitivity &amp; Scenarios'!$C$15+'Sensitivity &amp; Scenarios'!$C$16)/'Sensitivity &amp; Scenarios'!$C$17</f>
        <v>2623.5848276717456</v>
      </c>
    </row>
    <row r="990" spans="2:10" x14ac:dyDescent="0.3">
      <c r="B990" s="127">
        <v>960</v>
      </c>
      <c r="C990" s="206">
        <f>$D$7+0.578155*$E$7</f>
        <v>0.14333380943997798</v>
      </c>
      <c r="D990" s="206">
        <f>MIN($D$8+-0.138047*$E$8,'Debt &amp; Cost of Capital'!$C$38)</f>
        <v>5.4171718000000001E-2</v>
      </c>
      <c r="E990" s="207">
        <f>$D$9+-0.318673*$E$9</f>
        <v>0.15766090770254634</v>
      </c>
      <c r="F990" s="207">
        <f>$D$10+-0.169586*$E$10</f>
        <v>0.14296496799999991</v>
      </c>
      <c r="G990" s="208">
        <f>$F990*(1-'Sensitivity &amp; Scenarios'!$C$12)+'Sensitivity &amp; Scenarios'!$C$9*'Sensitivity &amp; Scenarios'!$C$12-'Sensitivity &amp; Scenarios'!$C$10</f>
        <v>7.6176103642864645E-2</v>
      </c>
      <c r="H990" s="209">
        <f>('Sensitivity &amp; Scenarios'!$C$6*(1+$E990)^1*$G990+'Sensitivity &amp; Scenarios'!$C$11*'Sensitivity &amp; Scenarios'!$C$6*((1+$E990)^1-(1+$E990)^0))*'Sensitivity &amp; Scenarios'!$C$18/(1+$C990)^'Sensitivity &amp; Scenarios'!$C$18+('Sensitivity &amp; Scenarios'!$C$6*(1+$E990)^2*$G990+'Sensitivity &amp; Scenarios'!$C$11*'Sensitivity &amp; Scenarios'!$C$6*((1+$E990)^2-(1+$E990)^1))/(1+$C990)^('Sensitivity &amp; Scenarios'!$C$18+1)+('Sensitivity &amp; Scenarios'!$C$6*(1+$E990)^3*$G990+'Sensitivity &amp; Scenarios'!$C$11*'Sensitivity &amp; Scenarios'!$C$6*((1+$E990)^3-(1+$E990)^2))/(1+$C990)^('Sensitivity &amp; Scenarios'!$C$18+2)+('Sensitivity &amp; Scenarios'!$C$6*(1+$E990)^4*$G990+'Sensitivity &amp; Scenarios'!$C$11*'Sensitivity &amp; Scenarios'!$C$6*((1+$E990)^4-(1+$E990)^3))/(1+$C990)^('Sensitivity &amp; Scenarios'!$C$18+3)+('Sensitivity &amp; Scenarios'!$C$6*(1+$E990)^5*$G990+'Sensitivity &amp; Scenarios'!$C$11*'Sensitivity &amp; Scenarios'!$C$6*((1+$E990)^5-(1+$E990)^4))/(1+$C990)^('Sensitivity &amp; Scenarios'!$C$18+4)</f>
        <v>21813.526817346359</v>
      </c>
      <c r="I990" s="209">
        <f>('Sensitivity &amp; Scenarios'!$C$6*(1+$E990)^5*$G990+'Sensitivity &amp; Scenarios'!$C$11*'Sensitivity &amp; Scenarios'!$C$6*((1+$E990)^5-(1+$E990)^4))*(1+$D990)/($C990-$D990)/(1+$C990)^('Sensitivity &amp; Scenarios'!$C$18+4)</f>
        <v>56951.42895303345</v>
      </c>
      <c r="J990" s="209">
        <f>($H990+$I990-'Sensitivity &amp; Scenarios'!$C$15+'Sensitivity &amp; Scenarios'!$C$16)/'Sensitivity &amp; Scenarios'!$C$17</f>
        <v>1944.4671002766681</v>
      </c>
    </row>
    <row r="991" spans="2:10" x14ac:dyDescent="0.3">
      <c r="B991" s="127">
        <v>961</v>
      </c>
      <c r="C991" s="206">
        <f>$D$7+-1.382738*$E$7</f>
        <v>0.12372487943997798</v>
      </c>
      <c r="D991" s="206">
        <f>MIN($D$8+-0.087927*$E$8,'Debt &amp; Cost of Capital'!$C$38)</f>
        <v>5.4472437999999998E-2</v>
      </c>
      <c r="E991" s="207">
        <f>$D$9+0.296033*$E$9</f>
        <v>0.17610208770254634</v>
      </c>
      <c r="F991" s="207">
        <f>$D$10+1.850463*$E$10</f>
        <v>0.16720555599999992</v>
      </c>
      <c r="G991" s="208">
        <f>$F991*(1-'Sensitivity &amp; Scenarios'!$C$12)+'Sensitivity &amp; Scenarios'!$C$9*'Sensitivity &amp; Scenarios'!$C$12-'Sensitivity &amp; Scenarios'!$C$10</f>
        <v>9.4315335643264636E-2</v>
      </c>
      <c r="H991" s="209">
        <f>('Sensitivity &amp; Scenarios'!$C$6*(1+$E991)^1*$G991+'Sensitivity &amp; Scenarios'!$C$11*'Sensitivity &amp; Scenarios'!$C$6*((1+$E991)^1-(1+$E991)^0))*'Sensitivity &amp; Scenarios'!$C$18/(1+$C991)^'Sensitivity &amp; Scenarios'!$C$18+('Sensitivity &amp; Scenarios'!$C$6*(1+$E991)^2*$G991+'Sensitivity &amp; Scenarios'!$C$11*'Sensitivity &amp; Scenarios'!$C$6*((1+$E991)^2-(1+$E991)^1))/(1+$C991)^('Sensitivity &amp; Scenarios'!$C$18+1)+('Sensitivity &amp; Scenarios'!$C$6*(1+$E991)^3*$G991+'Sensitivity &amp; Scenarios'!$C$11*'Sensitivity &amp; Scenarios'!$C$6*((1+$E991)^3-(1+$E991)^2))/(1+$C991)^('Sensitivity &amp; Scenarios'!$C$18+2)+('Sensitivity &amp; Scenarios'!$C$6*(1+$E991)^4*$G991+'Sensitivity &amp; Scenarios'!$C$11*'Sensitivity &amp; Scenarios'!$C$6*((1+$E991)^4-(1+$E991)^3))/(1+$C991)^('Sensitivity &amp; Scenarios'!$C$18+3)+('Sensitivity &amp; Scenarios'!$C$6*(1+$E991)^5*$G991+'Sensitivity &amp; Scenarios'!$C$11*'Sensitivity &amp; Scenarios'!$C$6*((1+$E991)^5-(1+$E991)^4))/(1+$C991)^('Sensitivity &amp; Scenarios'!$C$18+4)</f>
        <v>29297.2774324495</v>
      </c>
      <c r="I991" s="209">
        <f>('Sensitivity &amp; Scenarios'!$C$6*(1+$E991)^5*$G991+'Sensitivity &amp; Scenarios'!$C$11*'Sensitivity &amp; Scenarios'!$C$6*((1+$E991)^5-(1+$E991)^4))*(1+$D991)/($C991-$D991)/(1+$C991)^('Sensitivity &amp; Scenarios'!$C$18+4)</f>
        <v>104518.78967144377</v>
      </c>
      <c r="J991" s="209">
        <f>($H991+$I991-'Sensitivity &amp; Scenarios'!$C$15+'Sensitivity &amp; Scenarios'!$C$16)/'Sensitivity &amp; Scenarios'!$C$17</f>
        <v>3103.2256294200347</v>
      </c>
    </row>
    <row r="992" spans="2:10" x14ac:dyDescent="0.3">
      <c r="B992" s="127">
        <v>962</v>
      </c>
      <c r="C992" s="206">
        <f>$D$7+0.085999*$E$7</f>
        <v>0.13841224943997799</v>
      </c>
      <c r="D992" s="206">
        <f>MIN($D$8+-2.334177*$E$8,'Debt &amp; Cost of Capital'!$C$38)</f>
        <v>4.0994938000000002E-2</v>
      </c>
      <c r="E992" s="207">
        <f>$D$9+-0.093985*$E$9</f>
        <v>0.16440154770254634</v>
      </c>
      <c r="F992" s="207">
        <f>$D$10+2.739504*$E$10</f>
        <v>0.1778740479999999</v>
      </c>
      <c r="G992" s="208">
        <f>$F992*(1-'Sensitivity &amp; Scenarios'!$C$12)+'Sensitivity &amp; Scenarios'!$C$9*'Sensitivity &amp; Scenarios'!$C$12-'Sensitivity &amp; Scenarios'!$C$10</f>
        <v>0.10229856820686462</v>
      </c>
      <c r="H992" s="209">
        <f>('Sensitivity &amp; Scenarios'!$C$6*(1+$E992)^1*$G992+'Sensitivity &amp; Scenarios'!$C$11*'Sensitivity &amp; Scenarios'!$C$6*((1+$E992)^1-(1+$E992)^0))*'Sensitivity &amp; Scenarios'!$C$18/(1+$C992)^'Sensitivity &amp; Scenarios'!$C$18+('Sensitivity &amp; Scenarios'!$C$6*(1+$E992)^2*$G992+'Sensitivity &amp; Scenarios'!$C$11*'Sensitivity &amp; Scenarios'!$C$6*((1+$E992)^2-(1+$E992)^1))/(1+$C992)^('Sensitivity &amp; Scenarios'!$C$18+1)+('Sensitivity &amp; Scenarios'!$C$6*(1+$E992)^3*$G992+'Sensitivity &amp; Scenarios'!$C$11*'Sensitivity &amp; Scenarios'!$C$6*((1+$E992)^3-(1+$E992)^2))/(1+$C992)^('Sensitivity &amp; Scenarios'!$C$18+2)+('Sensitivity &amp; Scenarios'!$C$6*(1+$E992)^4*$G992+'Sensitivity &amp; Scenarios'!$C$11*'Sensitivity &amp; Scenarios'!$C$6*((1+$E992)^4-(1+$E992)^3))/(1+$C992)^('Sensitivity &amp; Scenarios'!$C$18+3)+('Sensitivity &amp; Scenarios'!$C$6*(1+$E992)^5*$G992+'Sensitivity &amp; Scenarios'!$C$11*'Sensitivity &amp; Scenarios'!$C$6*((1+$E992)^5-(1+$E992)^4))/(1+$C992)^('Sensitivity &amp; Scenarios'!$C$18+4)</f>
        <v>29075.226623087503</v>
      </c>
      <c r="I992" s="209">
        <f>('Sensitivity &amp; Scenarios'!$C$6*(1+$E992)^5*$G992+'Sensitivity &amp; Scenarios'!$C$11*'Sensitivity &amp; Scenarios'!$C$6*((1+$E992)^5-(1+$E992)^4))*(1+$D992)/($C992-$D992)/(1+$C992)^('Sensitivity &amp; Scenarios'!$C$18+4)</f>
        <v>69877.41653628787</v>
      </c>
      <c r="J992" s="209">
        <f>($H992+$I992-'Sensitivity &amp; Scenarios'!$C$15+'Sensitivity &amp; Scenarios'!$C$16)/'Sensitivity &amp; Scenarios'!$C$17</f>
        <v>2369.3932167352446</v>
      </c>
    </row>
    <row r="993" spans="2:10" x14ac:dyDescent="0.3">
      <c r="B993" s="127">
        <v>963</v>
      </c>
      <c r="C993" s="206">
        <f>$D$7+0.866366*$E$7</f>
        <v>0.14621591943997797</v>
      </c>
      <c r="D993" s="206">
        <f>MIN($D$8+-0.810889*$E$8,'Debt &amp; Cost of Capital'!$C$38)</f>
        <v>5.0134666000000001E-2</v>
      </c>
      <c r="E993" s="207">
        <f>$D$9+0.591107*$E$9</f>
        <v>0.18495430770254634</v>
      </c>
      <c r="F993" s="207">
        <f>$D$10+-0.742013*$E$10</f>
        <v>0.13609584399999991</v>
      </c>
      <c r="G993" s="208">
        <f>$F993*(1-'Sensitivity &amp; Scenarios'!$C$12)+'Sensitivity &amp; Scenarios'!$C$9*'Sensitivity &amp; Scenarios'!$C$12-'Sensitivity &amp; Scenarios'!$C$10</f>
        <v>7.1035938153664643E-2</v>
      </c>
      <c r="H993" s="209">
        <f>('Sensitivity &amp; Scenarios'!$C$6*(1+$E993)^1*$G993+'Sensitivity &amp; Scenarios'!$C$11*'Sensitivity &amp; Scenarios'!$C$6*((1+$E993)^1-(1+$E993)^0))*'Sensitivity &amp; Scenarios'!$C$18/(1+$C993)^'Sensitivity &amp; Scenarios'!$C$18+('Sensitivity &amp; Scenarios'!$C$6*(1+$E993)^2*$G993+'Sensitivity &amp; Scenarios'!$C$11*'Sensitivity &amp; Scenarios'!$C$6*((1+$E993)^2-(1+$E993)^1))/(1+$C993)^('Sensitivity &amp; Scenarios'!$C$18+1)+('Sensitivity &amp; Scenarios'!$C$6*(1+$E993)^3*$G993+'Sensitivity &amp; Scenarios'!$C$11*'Sensitivity &amp; Scenarios'!$C$6*((1+$E993)^3-(1+$E993)^2))/(1+$C993)^('Sensitivity &amp; Scenarios'!$C$18+2)+('Sensitivity &amp; Scenarios'!$C$6*(1+$E993)^4*$G993+'Sensitivity &amp; Scenarios'!$C$11*'Sensitivity &amp; Scenarios'!$C$6*((1+$E993)^4-(1+$E993)^3))/(1+$C993)^('Sensitivity &amp; Scenarios'!$C$18+3)+('Sensitivity &amp; Scenarios'!$C$6*(1+$E993)^5*$G993+'Sensitivity &amp; Scenarios'!$C$11*'Sensitivity &amp; Scenarios'!$C$6*((1+$E993)^5-(1+$E993)^4))/(1+$C993)^('Sensitivity &amp; Scenarios'!$C$18+4)</f>
        <v>22579.676033377589</v>
      </c>
      <c r="I993" s="209">
        <f>('Sensitivity &amp; Scenarios'!$C$6*(1+$E993)^5*$G993+'Sensitivity &amp; Scenarios'!$C$11*'Sensitivity &amp; Scenarios'!$C$6*((1+$E993)^5-(1+$E993)^4))*(1+$D993)/($C993-$D993)/(1+$C993)^('Sensitivity &amp; Scenarios'!$C$18+4)</f>
        <v>56574.512030966005</v>
      </c>
      <c r="J993" s="209">
        <f>($H993+$I993-'Sensitivity &amp; Scenarios'!$C$15+'Sensitivity &amp; Scenarios'!$C$16)/'Sensitivity &amp; Scenarios'!$C$17</f>
        <v>1952.6599637724864</v>
      </c>
    </row>
    <row r="994" spans="2:10" x14ac:dyDescent="0.3">
      <c r="B994" s="127">
        <v>964</v>
      </c>
      <c r="C994" s="206">
        <f>$D$7+-1.353808*$E$7</f>
        <v>0.12401417943997799</v>
      </c>
      <c r="D994" s="206">
        <f>MIN($D$8+-0.348369*$E$8,'Debt &amp; Cost of Capital'!$C$38)</f>
        <v>5.2909786E-2</v>
      </c>
      <c r="E994" s="207">
        <f>$D$9+0.091526*$E$9</f>
        <v>0.16996687770254634</v>
      </c>
      <c r="F994" s="207">
        <f>$D$10+-1.872156*$E$10</f>
        <v>0.12253412799999991</v>
      </c>
      <c r="G994" s="208">
        <f>$F994*(1-'Sensitivity &amp; Scenarios'!$C$12)+'Sensitivity &amp; Scenarios'!$C$9*'Sensitivity &amp; Scenarios'!$C$12-'Sensitivity &amp; Scenarios'!$C$10</f>
        <v>6.0887706070864633E-2</v>
      </c>
      <c r="H994" s="209">
        <f>('Sensitivity &amp; Scenarios'!$C$6*(1+$E994)^1*$G994+'Sensitivity &amp; Scenarios'!$C$11*'Sensitivity &amp; Scenarios'!$C$6*((1+$E994)^1-(1+$E994)^0))*'Sensitivity &amp; Scenarios'!$C$18/(1+$C994)^'Sensitivity &amp; Scenarios'!$C$18+('Sensitivity &amp; Scenarios'!$C$6*(1+$E994)^2*$G994+'Sensitivity &amp; Scenarios'!$C$11*'Sensitivity &amp; Scenarios'!$C$6*((1+$E994)^2-(1+$E994)^1))/(1+$C994)^('Sensitivity &amp; Scenarios'!$C$18+1)+('Sensitivity &amp; Scenarios'!$C$6*(1+$E994)^3*$G994+'Sensitivity &amp; Scenarios'!$C$11*'Sensitivity &amp; Scenarios'!$C$6*((1+$E994)^3-(1+$E994)^2))/(1+$C994)^('Sensitivity &amp; Scenarios'!$C$18+2)+('Sensitivity &amp; Scenarios'!$C$6*(1+$E994)^4*$G994+'Sensitivity &amp; Scenarios'!$C$11*'Sensitivity &amp; Scenarios'!$C$6*((1+$E994)^4-(1+$E994)^3))/(1+$C994)^('Sensitivity &amp; Scenarios'!$C$18+3)+('Sensitivity &amp; Scenarios'!$C$6*(1+$E994)^5*$G994+'Sensitivity &amp; Scenarios'!$C$11*'Sensitivity &amp; Scenarios'!$C$6*((1+$E994)^5-(1+$E994)^4))/(1+$C994)^('Sensitivity &amp; Scenarios'!$C$18+4)</f>
        <v>19971.763478667901</v>
      </c>
      <c r="I994" s="209">
        <f>('Sensitivity &amp; Scenarios'!$C$6*(1+$E994)^5*$G994+'Sensitivity &amp; Scenarios'!$C$11*'Sensitivity &amp; Scenarios'!$C$6*((1+$E994)^5-(1+$E994)^4))*(1+$D994)/($C994-$D994)/(1+$C994)^('Sensitivity &amp; Scenarios'!$C$18+4)</f>
        <v>68623.682695214535</v>
      </c>
      <c r="J994" s="209">
        <f>($H994+$I994-'Sensitivity &amp; Scenarios'!$C$15+'Sensitivity &amp; Scenarios'!$C$16)/'Sensitivity &amp; Scenarios'!$C$17</f>
        <v>2151.3868939881909</v>
      </c>
    </row>
    <row r="995" spans="2:10" x14ac:dyDescent="0.3">
      <c r="B995" s="127">
        <v>965</v>
      </c>
      <c r="C995" s="206">
        <f>$D$7+-1.149159*$E$7</f>
        <v>0.12606066943997798</v>
      </c>
      <c r="D995" s="206">
        <f>MIN($D$8+0.010336*$E$8,'Debt &amp; Cost of Capital'!$C$38)</f>
        <v>5.5062015999999998E-2</v>
      </c>
      <c r="E995" s="207">
        <f>$D$9+-0.408173*$E$9</f>
        <v>0.15497590770254635</v>
      </c>
      <c r="F995" s="207">
        <f>$D$10+0.394811*$E$10</f>
        <v>0.1497377319999999</v>
      </c>
      <c r="G995" s="208">
        <f>$F995*(1-'Sensitivity &amp; Scenarios'!$C$12)+'Sensitivity &amp; Scenarios'!$C$9*'Sensitivity &amp; Scenarios'!$C$12-'Sensitivity &amp; Scenarios'!$C$10</f>
        <v>8.1244162944064627E-2</v>
      </c>
      <c r="H995" s="209">
        <f>('Sensitivity &amp; Scenarios'!$C$6*(1+$E995)^1*$G995+'Sensitivity &amp; Scenarios'!$C$11*'Sensitivity &amp; Scenarios'!$C$6*((1+$E995)^1-(1+$E995)^0))*'Sensitivity &amp; Scenarios'!$C$18/(1+$C995)^'Sensitivity &amp; Scenarios'!$C$18+('Sensitivity &amp; Scenarios'!$C$6*(1+$E995)^2*$G995+'Sensitivity &amp; Scenarios'!$C$11*'Sensitivity &amp; Scenarios'!$C$6*((1+$E995)^2-(1+$E995)^1))/(1+$C995)^('Sensitivity &amp; Scenarios'!$C$18+1)+('Sensitivity &amp; Scenarios'!$C$6*(1+$E995)^3*$G995+'Sensitivity &amp; Scenarios'!$C$11*'Sensitivity &amp; Scenarios'!$C$6*((1+$E995)^3-(1+$E995)^2))/(1+$C995)^('Sensitivity &amp; Scenarios'!$C$18+2)+('Sensitivity &amp; Scenarios'!$C$6*(1+$E995)^4*$G995+'Sensitivity &amp; Scenarios'!$C$11*'Sensitivity &amp; Scenarios'!$C$6*((1+$E995)^4-(1+$E995)^3))/(1+$C995)^('Sensitivity &amp; Scenarios'!$C$18+3)+('Sensitivity &amp; Scenarios'!$C$6*(1+$E995)^5*$G995+'Sensitivity &amp; Scenarios'!$C$11*'Sensitivity &amp; Scenarios'!$C$6*((1+$E995)^5-(1+$E995)^4))/(1+$C995)^('Sensitivity &amp; Scenarios'!$C$18+4)</f>
        <v>23806.049646729767</v>
      </c>
      <c r="I995" s="209">
        <f>('Sensitivity &amp; Scenarios'!$C$6*(1+$E995)^5*$G995+'Sensitivity &amp; Scenarios'!$C$11*'Sensitivity &amp; Scenarios'!$C$6*((1+$E995)^5-(1+$E995)^4))*(1+$D995)/($C995-$D995)/(1+$C995)^('Sensitivity &amp; Scenarios'!$C$18+4)</f>
        <v>79962.871863261447</v>
      </c>
      <c r="J995" s="209">
        <f>($H995+$I995-'Sensitivity &amp; Scenarios'!$C$15+'Sensitivity &amp; Scenarios'!$C$16)/'Sensitivity &amp; Scenarios'!$C$17</f>
        <v>2470.7699824774313</v>
      </c>
    </row>
    <row r="996" spans="2:10" x14ac:dyDescent="0.3">
      <c r="B996" s="127">
        <v>966</v>
      </c>
      <c r="C996" s="206">
        <f>$D$7+-1.214668*$E$7</f>
        <v>0.12540557943997799</v>
      </c>
      <c r="D996" s="206">
        <f>MIN($D$8+0.714114*$E$8,'Debt &amp; Cost of Capital'!$C$38)</f>
        <v>5.9284684000000004E-2</v>
      </c>
      <c r="E996" s="207">
        <f>$D$9+-1.183759*$E$9</f>
        <v>0.13170832770254634</v>
      </c>
      <c r="F996" s="207">
        <f>$D$10+1.642734*$E$10</f>
        <v>0.16471280799999991</v>
      </c>
      <c r="G996" s="208">
        <f>$F996*(1-'Sensitivity &amp; Scenarios'!$C$12)+'Sensitivity &amp; Scenarios'!$C$9*'Sensitivity &amp; Scenarios'!$C$12-'Sensitivity &amp; Scenarios'!$C$10</f>
        <v>9.2450012314864632E-2</v>
      </c>
      <c r="H996" s="209">
        <f>('Sensitivity &amp; Scenarios'!$C$6*(1+$E996)^1*$G996+'Sensitivity &amp; Scenarios'!$C$11*'Sensitivity &amp; Scenarios'!$C$6*((1+$E996)^1-(1+$E996)^0))*'Sensitivity &amp; Scenarios'!$C$18/(1+$C996)^'Sensitivity &amp; Scenarios'!$C$18+('Sensitivity &amp; Scenarios'!$C$6*(1+$E996)^2*$G996+'Sensitivity &amp; Scenarios'!$C$11*'Sensitivity &amp; Scenarios'!$C$6*((1+$E996)^2-(1+$E996)^1))/(1+$C996)^('Sensitivity &amp; Scenarios'!$C$18+1)+('Sensitivity &amp; Scenarios'!$C$6*(1+$E996)^3*$G996+'Sensitivity &amp; Scenarios'!$C$11*'Sensitivity &amp; Scenarios'!$C$6*((1+$E996)^3-(1+$E996)^2))/(1+$C996)^('Sensitivity &amp; Scenarios'!$C$18+2)+('Sensitivity &amp; Scenarios'!$C$6*(1+$E996)^4*$G996+'Sensitivity &amp; Scenarios'!$C$11*'Sensitivity &amp; Scenarios'!$C$6*((1+$E996)^4-(1+$E996)^3))/(1+$C996)^('Sensitivity &amp; Scenarios'!$C$18+3)+('Sensitivity &amp; Scenarios'!$C$6*(1+$E996)^5*$G996+'Sensitivity &amp; Scenarios'!$C$11*'Sensitivity &amp; Scenarios'!$C$6*((1+$E996)^5-(1+$E996)^4))/(1+$C996)^('Sensitivity &amp; Scenarios'!$C$18+4)</f>
        <v>24500.546264235018</v>
      </c>
      <c r="I996" s="209">
        <f>('Sensitivity &amp; Scenarios'!$C$6*(1+$E996)^5*$G996+'Sensitivity &amp; Scenarios'!$C$11*'Sensitivity &amp; Scenarios'!$C$6*((1+$E996)^5-(1+$E996)^4))*(1+$D996)/($C996-$D996)/(1+$C996)^('Sensitivity &amp; Scenarios'!$C$18+4)</f>
        <v>85595.944318023423</v>
      </c>
      <c r="J996" s="209">
        <f>($H996+$I996-'Sensitivity &amp; Scenarios'!$C$15+'Sensitivity &amp; Scenarios'!$C$16)/'Sensitivity &amp; Scenarios'!$C$17</f>
        <v>2603.9575685883383</v>
      </c>
    </row>
    <row r="997" spans="2:10" x14ac:dyDescent="0.3">
      <c r="B997" s="127">
        <v>967</v>
      </c>
      <c r="C997" s="206">
        <f>$D$7+-1.715758*$E$7</f>
        <v>0.12039467943997798</v>
      </c>
      <c r="D997" s="206">
        <f>MIN($D$8+-1.092554*$E$8,'Debt &amp; Cost of Capital'!$C$38)</f>
        <v>4.8444675999999999E-2</v>
      </c>
      <c r="E997" s="207">
        <f>$D$9+0.417371*$E$9</f>
        <v>0.17974222770254633</v>
      </c>
      <c r="F997" s="207">
        <f>$D$10+1.664233*$E$10</f>
        <v>0.16497079599999992</v>
      </c>
      <c r="G997" s="208">
        <f>$F997*(1-'Sensitivity &amp; Scenarios'!$C$12)+'Sensitivity &amp; Scenarios'!$C$9*'Sensitivity &amp; Scenarios'!$C$12-'Sensitivity &amp; Scenarios'!$C$10</f>
        <v>9.2643064735264652E-2</v>
      </c>
      <c r="H997" s="209">
        <f>('Sensitivity &amp; Scenarios'!$C$6*(1+$E997)^1*$G997+'Sensitivity &amp; Scenarios'!$C$11*'Sensitivity &amp; Scenarios'!$C$6*((1+$E997)^1-(1+$E997)^0))*'Sensitivity &amp; Scenarios'!$C$18/(1+$C997)^'Sensitivity &amp; Scenarios'!$C$18+('Sensitivity &amp; Scenarios'!$C$6*(1+$E997)^2*$G997+'Sensitivity &amp; Scenarios'!$C$11*'Sensitivity &amp; Scenarios'!$C$6*((1+$E997)^2-(1+$E997)^1))/(1+$C997)^('Sensitivity &amp; Scenarios'!$C$18+1)+('Sensitivity &amp; Scenarios'!$C$6*(1+$E997)^3*$G997+'Sensitivity &amp; Scenarios'!$C$11*'Sensitivity &amp; Scenarios'!$C$6*((1+$E997)^3-(1+$E997)^2))/(1+$C997)^('Sensitivity &amp; Scenarios'!$C$18+2)+('Sensitivity &amp; Scenarios'!$C$6*(1+$E997)^4*$G997+'Sensitivity &amp; Scenarios'!$C$11*'Sensitivity &amp; Scenarios'!$C$6*((1+$E997)^4-(1+$E997)^3))/(1+$C997)^('Sensitivity &amp; Scenarios'!$C$18+3)+('Sensitivity &amp; Scenarios'!$C$6*(1+$E997)^5*$G997+'Sensitivity &amp; Scenarios'!$C$11*'Sensitivity &amp; Scenarios'!$C$6*((1+$E997)^5-(1+$E997)^4))/(1+$C997)^('Sensitivity &amp; Scenarios'!$C$18+4)</f>
        <v>29473.868518779957</v>
      </c>
      <c r="I997" s="209">
        <f>('Sensitivity &amp; Scenarios'!$C$6*(1+$E997)^5*$G997+'Sensitivity &amp; Scenarios'!$C$11*'Sensitivity &amp; Scenarios'!$C$6*((1+$E997)^5-(1+$E997)^4))*(1+$D997)/($C997-$D997)/(1+$C997)^('Sensitivity &amp; Scenarios'!$C$18+4)</f>
        <v>101702.74492197516</v>
      </c>
      <c r="J997" s="209">
        <f>($H997+$I997-'Sensitivity &amp; Scenarios'!$C$15+'Sensitivity &amp; Scenarios'!$C$16)/'Sensitivity &amp; Scenarios'!$C$17</f>
        <v>3047.6683596328558</v>
      </c>
    </row>
    <row r="998" spans="2:10" x14ac:dyDescent="0.3">
      <c r="B998" s="127">
        <v>968</v>
      </c>
      <c r="C998" s="206">
        <f>$D$7+0.315043*$E$7</f>
        <v>0.14070268943997799</v>
      </c>
      <c r="D998" s="206">
        <f>MIN($D$8+0.562858*$E$8,'Debt &amp; Cost of Capital'!$C$38)</f>
        <v>5.8377148000000004E-2</v>
      </c>
      <c r="E998" s="207">
        <f>$D$9+0.017537*$E$9</f>
        <v>0.16774720770254634</v>
      </c>
      <c r="F998" s="207">
        <f>$D$10+-1.026398*$E$10</f>
        <v>0.13268322399999991</v>
      </c>
      <c r="G998" s="208">
        <f>$F998*(1-'Sensitivity &amp; Scenarios'!$C$12)+'Sensitivity &amp; Scenarios'!$C$9*'Sensitivity &amp; Scenarios'!$C$12-'Sensitivity &amp; Scenarios'!$C$10</f>
        <v>6.8482274607664637E-2</v>
      </c>
      <c r="H998" s="209">
        <f>('Sensitivity &amp; Scenarios'!$C$6*(1+$E998)^1*$G998+'Sensitivity &amp; Scenarios'!$C$11*'Sensitivity &amp; Scenarios'!$C$6*((1+$E998)^1-(1+$E998)^0))*'Sensitivity &amp; Scenarios'!$C$18/(1+$C998)^'Sensitivity &amp; Scenarios'!$C$18+('Sensitivity &amp; Scenarios'!$C$6*(1+$E998)^2*$G998+'Sensitivity &amp; Scenarios'!$C$11*'Sensitivity &amp; Scenarios'!$C$6*((1+$E998)^2-(1+$E998)^1))/(1+$C998)^('Sensitivity &amp; Scenarios'!$C$18+1)+('Sensitivity &amp; Scenarios'!$C$6*(1+$E998)^3*$G998+'Sensitivity &amp; Scenarios'!$C$11*'Sensitivity &amp; Scenarios'!$C$6*((1+$E998)^3-(1+$E998)^2))/(1+$C998)^('Sensitivity &amp; Scenarios'!$C$18+2)+('Sensitivity &amp; Scenarios'!$C$6*(1+$E998)^4*$G998+'Sensitivity &amp; Scenarios'!$C$11*'Sensitivity &amp; Scenarios'!$C$6*((1+$E998)^4-(1+$E998)^3))/(1+$C998)^('Sensitivity &amp; Scenarios'!$C$18+3)+('Sensitivity &amp; Scenarios'!$C$6*(1+$E998)^5*$G998+'Sensitivity &amp; Scenarios'!$C$11*'Sensitivity &amp; Scenarios'!$C$6*((1+$E998)^5-(1+$E998)^4))/(1+$C998)^('Sensitivity &amp; Scenarios'!$C$18+4)</f>
        <v>20870.270323916229</v>
      </c>
      <c r="I998" s="209">
        <f>('Sensitivity &amp; Scenarios'!$C$6*(1+$E998)^5*$G998+'Sensitivity &amp; Scenarios'!$C$11*'Sensitivity &amp; Scenarios'!$C$6*((1+$E998)^5-(1+$E998)^4))*(1+$D998)/($C998-$D998)/(1+$C998)^('Sensitivity &amp; Scenarios'!$C$18+4)</f>
        <v>60437.542566368124</v>
      </c>
      <c r="J998" s="209">
        <f>($H998+$I998-'Sensitivity &amp; Scenarios'!$C$15+'Sensitivity &amp; Scenarios'!$C$16)/'Sensitivity &amp; Scenarios'!$C$17</f>
        <v>1997.9911310311309</v>
      </c>
    </row>
    <row r="999" spans="2:10" x14ac:dyDescent="0.3">
      <c r="B999" s="127">
        <v>969</v>
      </c>
      <c r="C999" s="206">
        <f>$D$7+-0.490138*$E$7</f>
        <v>0.13265087943997797</v>
      </c>
      <c r="D999" s="206">
        <f>MIN($D$8+-1.21191*$E$8,'Debt &amp; Cost of Capital'!$C$38)</f>
        <v>4.772854E-2</v>
      </c>
      <c r="E999" s="207">
        <f>$D$9+-1.27871*$E$9</f>
        <v>0.12885979770254635</v>
      </c>
      <c r="F999" s="207">
        <f>$D$10+0.401749*$E$10</f>
        <v>0.14982098799999991</v>
      </c>
      <c r="G999" s="208">
        <f>$F999*(1-'Sensitivity &amp; Scenarios'!$C$12)+'Sensitivity &amp; Scenarios'!$C$9*'Sensitivity &amp; Scenarios'!$C$12-'Sensitivity &amp; Scenarios'!$C$10</f>
        <v>8.1306463408864632E-2</v>
      </c>
      <c r="H999" s="209">
        <f>('Sensitivity &amp; Scenarios'!$C$6*(1+$E999)^1*$G999+'Sensitivity &amp; Scenarios'!$C$11*'Sensitivity &amp; Scenarios'!$C$6*((1+$E999)^1-(1+$E999)^0))*'Sensitivity &amp; Scenarios'!$C$18/(1+$C999)^'Sensitivity &amp; Scenarios'!$C$18+('Sensitivity &amp; Scenarios'!$C$6*(1+$E999)^2*$G999+'Sensitivity &amp; Scenarios'!$C$11*'Sensitivity &amp; Scenarios'!$C$6*((1+$E999)^2-(1+$E999)^1))/(1+$C999)^('Sensitivity &amp; Scenarios'!$C$18+1)+('Sensitivity &amp; Scenarios'!$C$6*(1+$E999)^3*$G999+'Sensitivity &amp; Scenarios'!$C$11*'Sensitivity &amp; Scenarios'!$C$6*((1+$E999)^3-(1+$E999)^2))/(1+$C999)^('Sensitivity &amp; Scenarios'!$C$18+2)+('Sensitivity &amp; Scenarios'!$C$6*(1+$E999)^4*$G999+'Sensitivity &amp; Scenarios'!$C$11*'Sensitivity &amp; Scenarios'!$C$6*((1+$E999)^4-(1+$E999)^3))/(1+$C999)^('Sensitivity &amp; Scenarios'!$C$18+3)+('Sensitivity &amp; Scenarios'!$C$6*(1+$E999)^5*$G999+'Sensitivity &amp; Scenarios'!$C$11*'Sensitivity &amp; Scenarios'!$C$6*((1+$E999)^5-(1+$E999)^4))/(1+$C999)^('Sensitivity &amp; Scenarios'!$C$18+4)</f>
        <v>21291.008136029341</v>
      </c>
      <c r="I999" s="209">
        <f>('Sensitivity &amp; Scenarios'!$C$6*(1+$E999)^5*$G999+'Sensitivity &amp; Scenarios'!$C$11*'Sensitivity &amp; Scenarios'!$C$6*((1+$E999)^5-(1+$E999)^4))*(1+$D999)/($C999-$D999)/(1+$C999)^('Sensitivity &amp; Scenarios'!$C$18+4)</f>
        <v>56349.039641987329</v>
      </c>
      <c r="J999" s="209">
        <f>($H999+$I999-'Sensitivity &amp; Scenarios'!$C$15+'Sensitivity &amp; Scenarios'!$C$16)/'Sensitivity &amp; Scenarios'!$C$17</f>
        <v>1920.7891635542753</v>
      </c>
    </row>
    <row r="1000" spans="2:10" x14ac:dyDescent="0.3">
      <c r="B1000" s="127">
        <v>970</v>
      </c>
      <c r="C1000" s="206">
        <f>$D$7+-1.123178*$E$7</f>
        <v>0.12632047943997798</v>
      </c>
      <c r="D1000" s="206">
        <f>MIN($D$8+0.319554*$E$8,'Debt &amp; Cost of Capital'!$C$38)</f>
        <v>5.6917323999999998E-2</v>
      </c>
      <c r="E1000" s="207">
        <f>$D$9+-1.301823*$E$9</f>
        <v>0.12816640770254634</v>
      </c>
      <c r="F1000" s="207">
        <f>$D$10+0.296383*$E$10</f>
        <v>0.1485565959999999</v>
      </c>
      <c r="G1000" s="208">
        <f>$F1000*(1-'Sensitivity &amp; Scenarios'!$C$12)+'Sensitivity &amp; Scenarios'!$C$9*'Sensitivity &amp; Scenarios'!$C$12-'Sensitivity &amp; Scenarios'!$C$10</f>
        <v>8.0360318875264639E-2</v>
      </c>
      <c r="H1000" s="209">
        <f>('Sensitivity &amp; Scenarios'!$C$6*(1+$E1000)^1*$G1000+'Sensitivity &amp; Scenarios'!$C$11*'Sensitivity &amp; Scenarios'!$C$6*((1+$E1000)^1-(1+$E1000)^0))*'Sensitivity &amp; Scenarios'!$C$18/(1+$C1000)^'Sensitivity &amp; Scenarios'!$C$18+('Sensitivity &amp; Scenarios'!$C$6*(1+$E1000)^2*$G1000+'Sensitivity &amp; Scenarios'!$C$11*'Sensitivity &amp; Scenarios'!$C$6*((1+$E1000)^2-(1+$E1000)^1))/(1+$C1000)^('Sensitivity &amp; Scenarios'!$C$18+1)+('Sensitivity &amp; Scenarios'!$C$6*(1+$E1000)^3*$G1000+'Sensitivity &amp; Scenarios'!$C$11*'Sensitivity &amp; Scenarios'!$C$6*((1+$E1000)^3-(1+$E1000)^2))/(1+$C1000)^('Sensitivity &amp; Scenarios'!$C$18+2)+('Sensitivity &amp; Scenarios'!$C$6*(1+$E1000)^4*$G1000+'Sensitivity &amp; Scenarios'!$C$11*'Sensitivity &amp; Scenarios'!$C$6*((1+$E1000)^4-(1+$E1000)^3))/(1+$C1000)^('Sensitivity &amp; Scenarios'!$C$18+3)+('Sensitivity &amp; Scenarios'!$C$6*(1+$E1000)^5*$G1000+'Sensitivity &amp; Scenarios'!$C$11*'Sensitivity &amp; Scenarios'!$C$6*((1+$E1000)^5-(1+$E1000)^4))/(1+$C1000)^('Sensitivity &amp; Scenarios'!$C$18+4)</f>
        <v>21353.275413338015</v>
      </c>
      <c r="I1000" s="209">
        <f>('Sensitivity &amp; Scenarios'!$C$6*(1+$E1000)^5*$G1000+'Sensitivity &amp; Scenarios'!$C$11*'Sensitivity &amp; Scenarios'!$C$6*((1+$E1000)^5-(1+$E1000)^4))*(1+$D1000)/($C1000-$D1000)/(1+$C1000)^('Sensitivity &amp; Scenarios'!$C$18+4)</f>
        <v>70401.863509505958</v>
      </c>
      <c r="J1000" s="209">
        <f>($H1000+$I1000-'Sensitivity &amp; Scenarios'!$C$15+'Sensitivity &amp; Scenarios'!$C$16)/'Sensitivity &amp; Scenarios'!$C$17</f>
        <v>2217.8945599306717</v>
      </c>
    </row>
    <row r="1001" spans="2:10" x14ac:dyDescent="0.3">
      <c r="B1001" s="127">
        <v>971</v>
      </c>
      <c r="C1001" s="206">
        <f>$D$7+-0.488683*$E$7</f>
        <v>0.13266542943997797</v>
      </c>
      <c r="D1001" s="206">
        <f>MIN($D$8+1.406616*$E$8,'Debt &amp; Cost of Capital'!$C$38)</f>
        <v>6.3439696000000004E-2</v>
      </c>
      <c r="E1001" s="207">
        <f>$D$9+0.323719*$E$9</f>
        <v>0.17693266770254634</v>
      </c>
      <c r="F1001" s="207">
        <f>$D$10+1.235783*$E$10</f>
        <v>0.1598293959999999</v>
      </c>
      <c r="G1001" s="208">
        <f>$F1001*(1-'Sensitivity &amp; Scenarios'!$C$12)+'Sensitivity &amp; Scenarios'!$C$9*'Sensitivity &amp; Scenarios'!$C$12-'Sensitivity &amp; Scenarios'!$C$10</f>
        <v>8.8795755115264635E-2</v>
      </c>
      <c r="H1001" s="209">
        <f>('Sensitivity &amp; Scenarios'!$C$6*(1+$E1001)^1*$G1001+'Sensitivity &amp; Scenarios'!$C$11*'Sensitivity &amp; Scenarios'!$C$6*((1+$E1001)^1-(1+$E1001)^0))*'Sensitivity &amp; Scenarios'!$C$18/(1+$C1001)^'Sensitivity &amp; Scenarios'!$C$18+('Sensitivity &amp; Scenarios'!$C$6*(1+$E1001)^2*$G1001+'Sensitivity &amp; Scenarios'!$C$11*'Sensitivity &amp; Scenarios'!$C$6*((1+$E1001)^2-(1+$E1001)^1))/(1+$C1001)^('Sensitivity &amp; Scenarios'!$C$18+1)+('Sensitivity &amp; Scenarios'!$C$6*(1+$E1001)^3*$G1001+'Sensitivity &amp; Scenarios'!$C$11*'Sensitivity &amp; Scenarios'!$C$6*((1+$E1001)^3-(1+$E1001)^2))/(1+$C1001)^('Sensitivity &amp; Scenarios'!$C$18+2)+('Sensitivity &amp; Scenarios'!$C$6*(1+$E1001)^4*$G1001+'Sensitivity &amp; Scenarios'!$C$11*'Sensitivity &amp; Scenarios'!$C$6*((1+$E1001)^4-(1+$E1001)^3))/(1+$C1001)^('Sensitivity &amp; Scenarios'!$C$18+3)+('Sensitivity &amp; Scenarios'!$C$6*(1+$E1001)^5*$G1001+'Sensitivity &amp; Scenarios'!$C$11*'Sensitivity &amp; Scenarios'!$C$6*((1+$E1001)^5-(1+$E1001)^4))/(1+$C1001)^('Sensitivity &amp; Scenarios'!$C$18+4)</f>
        <v>27291.530428052283</v>
      </c>
      <c r="I1001" s="209">
        <f>('Sensitivity &amp; Scenarios'!$C$6*(1+$E1001)^5*$G1001+'Sensitivity &amp; Scenarios'!$C$11*'Sensitivity &amp; Scenarios'!$C$6*((1+$E1001)^5-(1+$E1001)^4))*(1+$D1001)/($C1001-$D1001)/(1+$C1001)^('Sensitivity &amp; Scenarios'!$C$18+4)</f>
        <v>96985.092491747098</v>
      </c>
      <c r="J1001" s="209">
        <f>($H1001+$I1001-'Sensitivity &amp; Scenarios'!$C$15+'Sensitivity &amp; Scenarios'!$C$16)/'Sensitivity &amp; Scenarios'!$C$17</f>
        <v>2902.4320024823605</v>
      </c>
    </row>
    <row r="1002" spans="2:10" x14ac:dyDescent="0.3">
      <c r="B1002" s="127">
        <v>972</v>
      </c>
      <c r="C1002" s="206">
        <f>$D$7+-0.755647*$E$7</f>
        <v>0.12999578943997797</v>
      </c>
      <c r="D1002" s="206">
        <f>MIN($D$8+0.056143*$E$8,'Debt &amp; Cost of Capital'!$C$38)</f>
        <v>5.5336858000000003E-2</v>
      </c>
      <c r="E1002" s="207">
        <f>$D$9+-0.981087*$E$9</f>
        <v>0.13778848770254634</v>
      </c>
      <c r="F1002" s="207">
        <f>$D$10+-0.413605*$E$10</f>
        <v>0.14003673999999991</v>
      </c>
      <c r="G1002" s="208">
        <f>$F1002*(1-'Sensitivity &amp; Scenarios'!$C$12)+'Sensitivity &amp; Scenarios'!$C$9*'Sensitivity &amp; Scenarios'!$C$12-'Sensitivity &amp; Scenarios'!$C$10</f>
        <v>7.398491063046464E-2</v>
      </c>
      <c r="H1002" s="209">
        <f>('Sensitivity &amp; Scenarios'!$C$6*(1+$E1002)^1*$G1002+'Sensitivity &amp; Scenarios'!$C$11*'Sensitivity &amp; Scenarios'!$C$6*((1+$E1002)^1-(1+$E1002)^0))*'Sensitivity &amp; Scenarios'!$C$18/(1+$C1002)^'Sensitivity &amp; Scenarios'!$C$18+('Sensitivity &amp; Scenarios'!$C$6*(1+$E1002)^2*$G1002+'Sensitivity &amp; Scenarios'!$C$11*'Sensitivity &amp; Scenarios'!$C$6*((1+$E1002)^2-(1+$E1002)^1))/(1+$C1002)^('Sensitivity &amp; Scenarios'!$C$18+1)+('Sensitivity &amp; Scenarios'!$C$6*(1+$E1002)^3*$G1002+'Sensitivity &amp; Scenarios'!$C$11*'Sensitivity &amp; Scenarios'!$C$6*((1+$E1002)^3-(1+$E1002)^2))/(1+$C1002)^('Sensitivity &amp; Scenarios'!$C$18+2)+('Sensitivity &amp; Scenarios'!$C$6*(1+$E1002)^4*$G1002+'Sensitivity &amp; Scenarios'!$C$11*'Sensitivity &amp; Scenarios'!$C$6*((1+$E1002)^4-(1+$E1002)^3))/(1+$C1002)^('Sensitivity &amp; Scenarios'!$C$18+3)+('Sensitivity &amp; Scenarios'!$C$6*(1+$E1002)^5*$G1002+'Sensitivity &amp; Scenarios'!$C$11*'Sensitivity &amp; Scenarios'!$C$6*((1+$E1002)^5-(1+$E1002)^4))/(1+$C1002)^('Sensitivity &amp; Scenarios'!$C$18+4)</f>
        <v>20436.787366066528</v>
      </c>
      <c r="I1002" s="209">
        <f>('Sensitivity &amp; Scenarios'!$C$6*(1+$E1002)^5*$G1002+'Sensitivity &amp; Scenarios'!$C$11*'Sensitivity &amp; Scenarios'!$C$6*((1+$E1002)^5-(1+$E1002)^4))*(1+$D1002)/($C1002-$D1002)/(1+$C1002)^('Sensitivity &amp; Scenarios'!$C$18+4)</f>
        <v>63146.455905789524</v>
      </c>
      <c r="J1002" s="209">
        <f>($H1002+$I1002-'Sensitivity &amp; Scenarios'!$C$15+'Sensitivity &amp; Scenarios'!$C$16)/'Sensitivity &amp; Scenarios'!$C$17</f>
        <v>2045.8861561859278</v>
      </c>
    </row>
    <row r="1003" spans="2:10" x14ac:dyDescent="0.3">
      <c r="B1003" s="127">
        <v>973</v>
      </c>
      <c r="C1003" s="206">
        <f>$D$7+-0.262104*$E$7</f>
        <v>0.13493121943997799</v>
      </c>
      <c r="D1003" s="206">
        <f>MIN($D$8+-0.725858*$E$8,'Debt &amp; Cost of Capital'!$C$38)</f>
        <v>5.0644851999999997E-2</v>
      </c>
      <c r="E1003" s="207">
        <f>$D$9+-1.215503*$E$9</f>
        <v>0.13075600770254633</v>
      </c>
      <c r="F1003" s="207">
        <f>$D$10+-1.413517*$E$10</f>
        <v>0.1280377959999999</v>
      </c>
      <c r="G1003" s="208">
        <f>$F1003*(1-'Sensitivity &amp; Scenarios'!$C$12)+'Sensitivity &amp; Scenarios'!$C$9*'Sensitivity &amp; Scenarios'!$C$12-'Sensitivity &amp; Scenarios'!$C$10</f>
        <v>6.5006100835264632E-2</v>
      </c>
      <c r="H1003" s="209">
        <f>('Sensitivity &amp; Scenarios'!$C$6*(1+$E1003)^1*$G1003+'Sensitivity &amp; Scenarios'!$C$11*'Sensitivity &amp; Scenarios'!$C$6*((1+$E1003)^1-(1+$E1003)^0))*'Sensitivity &amp; Scenarios'!$C$18/(1+$C1003)^'Sensitivity &amp; Scenarios'!$C$18+('Sensitivity &amp; Scenarios'!$C$6*(1+$E1003)^2*$G1003+'Sensitivity &amp; Scenarios'!$C$11*'Sensitivity &amp; Scenarios'!$C$6*((1+$E1003)^2-(1+$E1003)^1))/(1+$C1003)^('Sensitivity &amp; Scenarios'!$C$18+1)+('Sensitivity &amp; Scenarios'!$C$6*(1+$E1003)^3*$G1003+'Sensitivity &amp; Scenarios'!$C$11*'Sensitivity &amp; Scenarios'!$C$6*((1+$E1003)^3-(1+$E1003)^2))/(1+$C1003)^('Sensitivity &amp; Scenarios'!$C$18+2)+('Sensitivity &amp; Scenarios'!$C$6*(1+$E1003)^4*$G1003+'Sensitivity &amp; Scenarios'!$C$11*'Sensitivity &amp; Scenarios'!$C$6*((1+$E1003)^4-(1+$E1003)^3))/(1+$C1003)^('Sensitivity &amp; Scenarios'!$C$18+3)+('Sensitivity &amp; Scenarios'!$C$6*(1+$E1003)^5*$G1003+'Sensitivity &amp; Scenarios'!$C$11*'Sensitivity &amp; Scenarios'!$C$6*((1+$E1003)^5-(1+$E1003)^4))/(1+$C1003)^('Sensitivity &amp; Scenarios'!$C$18+4)</f>
        <v>17625.170010732363</v>
      </c>
      <c r="I1003" s="209">
        <f>('Sensitivity &amp; Scenarios'!$C$6*(1+$E1003)^5*$G1003+'Sensitivity &amp; Scenarios'!$C$11*'Sensitivity &amp; Scenarios'!$C$6*((1+$E1003)^5-(1+$E1003)^4))*(1+$D1003)/($C1003-$D1003)/(1+$C1003)^('Sensitivity &amp; Scenarios'!$C$18+4)</f>
        <v>47100.792478964911</v>
      </c>
      <c r="J1003" s="209">
        <f>($H1003+$I1003-'Sensitivity &amp; Scenarios'!$C$15+'Sensitivity &amp; Scenarios'!$C$16)/'Sensitivity &amp; Scenarios'!$C$17</f>
        <v>1648.9634708217991</v>
      </c>
    </row>
    <row r="1004" spans="2:10" x14ac:dyDescent="0.3">
      <c r="B1004" s="127">
        <v>974</v>
      </c>
      <c r="C1004" s="206">
        <f>$D$7+-2.339748*$E$7</f>
        <v>0.11415477943997798</v>
      </c>
      <c r="D1004" s="206">
        <f>MIN($D$8+-1.056346*$E$8,'Debt &amp; Cost of Capital'!$C$38)</f>
        <v>4.8661924000000002E-2</v>
      </c>
      <c r="E1004" s="207">
        <f>$D$9+0.627494*$E$9</f>
        <v>0.18604591770254633</v>
      </c>
      <c r="F1004" s="207">
        <f>$D$10+-1.598499*$E$10</f>
        <v>0.1258180119999999</v>
      </c>
      <c r="G1004" s="208">
        <f>$F1004*(1-'Sensitivity &amp; Scenarios'!$C$12)+'Sensitivity &amp; Scenarios'!$C$9*'Sensitivity &amp; Scenarios'!$C$12-'Sensitivity &amp; Scenarios'!$C$10</f>
        <v>6.3345036468064622E-2</v>
      </c>
      <c r="H1004" s="209">
        <f>('Sensitivity &amp; Scenarios'!$C$6*(1+$E1004)^1*$G1004+'Sensitivity &amp; Scenarios'!$C$11*'Sensitivity &amp; Scenarios'!$C$6*((1+$E1004)^1-(1+$E1004)^0))*'Sensitivity &amp; Scenarios'!$C$18/(1+$C1004)^'Sensitivity &amp; Scenarios'!$C$18+('Sensitivity &amp; Scenarios'!$C$6*(1+$E1004)^2*$G1004+'Sensitivity &amp; Scenarios'!$C$11*'Sensitivity &amp; Scenarios'!$C$6*((1+$E1004)^2-(1+$E1004)^1))/(1+$C1004)^('Sensitivity &amp; Scenarios'!$C$18+1)+('Sensitivity &amp; Scenarios'!$C$6*(1+$E1004)^3*$G1004+'Sensitivity &amp; Scenarios'!$C$11*'Sensitivity &amp; Scenarios'!$C$6*((1+$E1004)^3-(1+$E1004)^2))/(1+$C1004)^('Sensitivity &amp; Scenarios'!$C$18+2)+('Sensitivity &amp; Scenarios'!$C$6*(1+$E1004)^4*$G1004+'Sensitivity &amp; Scenarios'!$C$11*'Sensitivity &amp; Scenarios'!$C$6*((1+$E1004)^4-(1+$E1004)^3))/(1+$C1004)^('Sensitivity &amp; Scenarios'!$C$18+3)+('Sensitivity &amp; Scenarios'!$C$6*(1+$E1004)^5*$G1004+'Sensitivity &amp; Scenarios'!$C$11*'Sensitivity &amp; Scenarios'!$C$6*((1+$E1004)^5-(1+$E1004)^4))/(1+$C1004)^('Sensitivity &amp; Scenarios'!$C$18+4)</f>
        <v>22455.064369974098</v>
      </c>
      <c r="I1004" s="209">
        <f>('Sensitivity &amp; Scenarios'!$C$6*(1+$E1004)^5*$G1004+'Sensitivity &amp; Scenarios'!$C$11*'Sensitivity &amp; Scenarios'!$C$6*((1+$E1004)^5-(1+$E1004)^4))*(1+$D1004)/($C1004-$D1004)/(1+$C1004)^('Sensitivity &amp; Scenarios'!$C$18+4)</f>
        <v>86771.341000283574</v>
      </c>
      <c r="J1004" s="209">
        <f>($H1004+$I1004-'Sensitivity &amp; Scenarios'!$C$15+'Sensitivity &amp; Scenarios'!$C$16)/'Sensitivity &amp; Scenarios'!$C$17</f>
        <v>2585.6433395734261</v>
      </c>
    </row>
    <row r="1005" spans="2:10" x14ac:dyDescent="0.3">
      <c r="B1005" s="127">
        <v>975</v>
      </c>
      <c r="C1005" s="206">
        <f>$D$7+-1.368123*$E$7</f>
        <v>0.12387102943997798</v>
      </c>
      <c r="D1005" s="206">
        <f>MIN($D$8+1.790899*$E$8,'Debt &amp; Cost of Capital'!$C$38)</f>
        <v>6.5745393999999999E-2</v>
      </c>
      <c r="E1005" s="207">
        <f>$D$9+-0.636496*$E$9</f>
        <v>0.14812621770254633</v>
      </c>
      <c r="F1005" s="207">
        <f>$D$10+0.321046*$E$10</f>
        <v>0.14885255199999992</v>
      </c>
      <c r="G1005" s="208">
        <f>$F1005*(1-'Sensitivity &amp; Scenarios'!$C$12)+'Sensitivity &amp; Scenarios'!$C$9*'Sensitivity &amp; Scenarios'!$C$12-'Sensitivity &amp; Scenarios'!$C$10</f>
        <v>8.058178275006464E-2</v>
      </c>
      <c r="H1005" s="209">
        <f>('Sensitivity &amp; Scenarios'!$C$6*(1+$E1005)^1*$G1005+'Sensitivity &amp; Scenarios'!$C$11*'Sensitivity &amp; Scenarios'!$C$6*((1+$E1005)^1-(1+$E1005)^0))*'Sensitivity &amp; Scenarios'!$C$18/(1+$C1005)^'Sensitivity &amp; Scenarios'!$C$18+('Sensitivity &amp; Scenarios'!$C$6*(1+$E1005)^2*$G1005+'Sensitivity &amp; Scenarios'!$C$11*'Sensitivity &amp; Scenarios'!$C$6*((1+$E1005)^2-(1+$E1005)^1))/(1+$C1005)^('Sensitivity &amp; Scenarios'!$C$18+1)+('Sensitivity &amp; Scenarios'!$C$6*(1+$E1005)^3*$G1005+'Sensitivity &amp; Scenarios'!$C$11*'Sensitivity &amp; Scenarios'!$C$6*((1+$E1005)^3-(1+$E1005)^2))/(1+$C1005)^('Sensitivity &amp; Scenarios'!$C$18+2)+('Sensitivity &amp; Scenarios'!$C$6*(1+$E1005)^4*$G1005+'Sensitivity &amp; Scenarios'!$C$11*'Sensitivity &amp; Scenarios'!$C$6*((1+$E1005)^4-(1+$E1005)^3))/(1+$C1005)^('Sensitivity &amp; Scenarios'!$C$18+3)+('Sensitivity &amp; Scenarios'!$C$6*(1+$E1005)^5*$G1005+'Sensitivity &amp; Scenarios'!$C$11*'Sensitivity &amp; Scenarios'!$C$6*((1+$E1005)^5-(1+$E1005)^4))/(1+$C1005)^('Sensitivity &amp; Scenarios'!$C$18+4)</f>
        <v>23185.221869309757</v>
      </c>
      <c r="I1005" s="209">
        <f>('Sensitivity &amp; Scenarios'!$C$6*(1+$E1005)^5*$G1005+'Sensitivity &amp; Scenarios'!$C$11*'Sensitivity &amp; Scenarios'!$C$6*((1+$E1005)^5-(1+$E1005)^4))*(1+$D1005)/($C1005-$D1005)/(1+$C1005)^('Sensitivity &amp; Scenarios'!$C$18+4)</f>
        <v>95398.877960746468</v>
      </c>
      <c r="J1005" s="209">
        <f>($H1005+$I1005-'Sensitivity &amp; Scenarios'!$C$15+'Sensitivity &amp; Scenarios'!$C$16)/'Sensitivity &amp; Scenarios'!$C$17</f>
        <v>2782.6113572164795</v>
      </c>
    </row>
    <row r="1006" spans="2:10" x14ac:dyDescent="0.3">
      <c r="B1006" s="127">
        <v>976</v>
      </c>
      <c r="C1006" s="206">
        <f>$D$7+0.642317*$E$7</f>
        <v>0.14397542943997799</v>
      </c>
      <c r="D1006" s="206">
        <f>MIN($D$8+0.662526*$E$8,'Debt &amp; Cost of Capital'!$C$38)</f>
        <v>5.8975156000000001E-2</v>
      </c>
      <c r="E1006" s="207">
        <f>$D$9+-1.522314*$E$9</f>
        <v>0.12155167770254635</v>
      </c>
      <c r="F1006" s="207">
        <f>$D$10+-0.23106*$E$10</f>
        <v>0.1422272799999999</v>
      </c>
      <c r="G1006" s="208">
        <f>$F1006*(1-'Sensitivity &amp; Scenarios'!$C$12)+'Sensitivity &amp; Scenarios'!$C$9*'Sensitivity &amp; Scenarios'!$C$12-'Sensitivity &amp; Scenarios'!$C$10</f>
        <v>7.5624091712464633E-2</v>
      </c>
      <c r="H1006" s="209">
        <f>('Sensitivity &amp; Scenarios'!$C$6*(1+$E1006)^1*$G1006+'Sensitivity &amp; Scenarios'!$C$11*'Sensitivity &amp; Scenarios'!$C$6*((1+$E1006)^1-(1+$E1006)^0))*'Sensitivity &amp; Scenarios'!$C$18/(1+$C1006)^'Sensitivity &amp; Scenarios'!$C$18+('Sensitivity &amp; Scenarios'!$C$6*(1+$E1006)^2*$G1006+'Sensitivity &amp; Scenarios'!$C$11*'Sensitivity &amp; Scenarios'!$C$6*((1+$E1006)^2-(1+$E1006)^1))/(1+$C1006)^('Sensitivity &amp; Scenarios'!$C$18+1)+('Sensitivity &amp; Scenarios'!$C$6*(1+$E1006)^3*$G1006+'Sensitivity &amp; Scenarios'!$C$11*'Sensitivity &amp; Scenarios'!$C$6*((1+$E1006)^3-(1+$E1006)^2))/(1+$C1006)^('Sensitivity &amp; Scenarios'!$C$18+2)+('Sensitivity &amp; Scenarios'!$C$6*(1+$E1006)^4*$G1006+'Sensitivity &amp; Scenarios'!$C$11*'Sensitivity &amp; Scenarios'!$C$6*((1+$E1006)^4-(1+$E1006)^3))/(1+$C1006)^('Sensitivity &amp; Scenarios'!$C$18+3)+('Sensitivity &amp; Scenarios'!$C$6*(1+$E1006)^5*$G1006+'Sensitivity &amp; Scenarios'!$C$11*'Sensitivity &amp; Scenarios'!$C$6*((1+$E1006)^5-(1+$E1006)^4))/(1+$C1006)^('Sensitivity &amp; Scenarios'!$C$18+4)</f>
        <v>18928.540481831027</v>
      </c>
      <c r="I1006" s="209">
        <f>('Sensitivity &amp; Scenarios'!$C$6*(1+$E1006)^5*$G1006+'Sensitivity &amp; Scenarios'!$C$11*'Sensitivity &amp; Scenarios'!$C$6*((1+$E1006)^5-(1+$E1006)^4))*(1+$D1006)/($C1006-$D1006)/(1+$C1006)^('Sensitivity &amp; Scenarios'!$C$18+4)</f>
        <v>49061.960257445782</v>
      </c>
      <c r="J1006" s="209">
        <f>($H1006+$I1006-'Sensitivity &amp; Scenarios'!$C$15+'Sensitivity &amp; Scenarios'!$C$16)/'Sensitivity &amp; Scenarios'!$C$17</f>
        <v>1717.6780062559312</v>
      </c>
    </row>
    <row r="1007" spans="2:10" x14ac:dyDescent="0.3">
      <c r="B1007" s="127">
        <v>977</v>
      </c>
      <c r="C1007" s="206">
        <f>$D$7+-1.618227*$E$7</f>
        <v>0.12136998943997798</v>
      </c>
      <c r="D1007" s="206">
        <f>MIN($D$8+2.446318*$E$8,'Debt &amp; Cost of Capital'!$C$38)</f>
        <v>6.7799999999999999E-2</v>
      </c>
      <c r="E1007" s="207">
        <f>$D$9+-1.594875*$E$9</f>
        <v>0.11937484770254633</v>
      </c>
      <c r="F1007" s="207">
        <f>$D$10+-1.04784*$E$10</f>
        <v>0.13242591999999992</v>
      </c>
      <c r="G1007" s="208">
        <f>$F1007*(1-'Sensitivity &amp; Scenarios'!$C$12)+'Sensitivity &amp; Scenarios'!$C$9*'Sensitivity &amp; Scenarios'!$C$12-'Sensitivity &amp; Scenarios'!$C$10</f>
        <v>6.8289734024464643E-2</v>
      </c>
      <c r="H1007" s="209">
        <f>('Sensitivity &amp; Scenarios'!$C$6*(1+$E1007)^1*$G1007+'Sensitivity &amp; Scenarios'!$C$11*'Sensitivity &amp; Scenarios'!$C$6*((1+$E1007)^1-(1+$E1007)^0))*'Sensitivity &amp; Scenarios'!$C$18/(1+$C1007)^'Sensitivity &amp; Scenarios'!$C$18+('Sensitivity &amp; Scenarios'!$C$6*(1+$E1007)^2*$G1007+'Sensitivity &amp; Scenarios'!$C$11*'Sensitivity &amp; Scenarios'!$C$6*((1+$E1007)^2-(1+$E1007)^1))/(1+$C1007)^('Sensitivity &amp; Scenarios'!$C$18+1)+('Sensitivity &amp; Scenarios'!$C$6*(1+$E1007)^3*$G1007+'Sensitivity &amp; Scenarios'!$C$11*'Sensitivity &amp; Scenarios'!$C$6*((1+$E1007)^3-(1+$E1007)^2))/(1+$C1007)^('Sensitivity &amp; Scenarios'!$C$18+2)+('Sensitivity &amp; Scenarios'!$C$6*(1+$E1007)^4*$G1007+'Sensitivity &amp; Scenarios'!$C$11*'Sensitivity &amp; Scenarios'!$C$6*((1+$E1007)^4-(1+$E1007)^3))/(1+$C1007)^('Sensitivity &amp; Scenarios'!$C$18+3)+('Sensitivity &amp; Scenarios'!$C$6*(1+$E1007)^5*$G1007+'Sensitivity &amp; Scenarios'!$C$11*'Sensitivity &amp; Scenarios'!$C$6*((1+$E1007)^5-(1+$E1007)^4))/(1+$C1007)^('Sensitivity &amp; Scenarios'!$C$18+4)</f>
        <v>18174.423736046068</v>
      </c>
      <c r="I1007" s="209">
        <f>('Sensitivity &amp; Scenarios'!$C$6*(1+$E1007)^5*$G1007+'Sensitivity &amp; Scenarios'!$C$11*'Sensitivity &amp; Scenarios'!$C$6*((1+$E1007)^5-(1+$E1007)^4))*(1+$D1007)/($C1007-$D1007)/(1+$C1007)^('Sensitivity &amp; Scenarios'!$C$18+4)</f>
        <v>77938.63794677105</v>
      </c>
      <c r="J1007" s="209">
        <f>($H1007+$I1007-'Sensitivity &amp; Scenarios'!$C$15+'Sensitivity &amp; Scenarios'!$C$16)/'Sensitivity &amp; Scenarios'!$C$17</f>
        <v>2309.6235013660962</v>
      </c>
    </row>
    <row r="1008" spans="2:10" x14ac:dyDescent="0.3">
      <c r="B1008" s="127">
        <v>978</v>
      </c>
      <c r="C1008" s="206">
        <f>$D$7+-1.040601*$E$7</f>
        <v>0.12714624943997799</v>
      </c>
      <c r="D1008" s="206">
        <f>MIN($D$8+-1.49666*$E$8,'Debt &amp; Cost of Capital'!$C$38)</f>
        <v>4.6020039999999998E-2</v>
      </c>
      <c r="E1008" s="207">
        <f>$D$9+1.352594*$E$9</f>
        <v>0.20779891770254633</v>
      </c>
      <c r="F1008" s="207">
        <f>$D$10+2.422448*$E$10</f>
        <v>0.17406937599999991</v>
      </c>
      <c r="G1008" s="208">
        <f>$F1008*(1-'Sensitivity &amp; Scenarios'!$C$12)+'Sensitivity &amp; Scenarios'!$C$9*'Sensitivity &amp; Scenarios'!$C$12-'Sensitivity &amp; Scenarios'!$C$10</f>
        <v>9.9451532149264638E-2</v>
      </c>
      <c r="H1008" s="209">
        <f>('Sensitivity &amp; Scenarios'!$C$6*(1+$E1008)^1*$G1008+'Sensitivity &amp; Scenarios'!$C$11*'Sensitivity &amp; Scenarios'!$C$6*((1+$E1008)^1-(1+$E1008)^0))*'Sensitivity &amp; Scenarios'!$C$18/(1+$C1008)^'Sensitivity &amp; Scenarios'!$C$18+('Sensitivity &amp; Scenarios'!$C$6*(1+$E1008)^2*$G1008+'Sensitivity &amp; Scenarios'!$C$11*'Sensitivity &amp; Scenarios'!$C$6*((1+$E1008)^2-(1+$E1008)^1))/(1+$C1008)^('Sensitivity &amp; Scenarios'!$C$18+1)+('Sensitivity &amp; Scenarios'!$C$6*(1+$E1008)^3*$G1008+'Sensitivity &amp; Scenarios'!$C$11*'Sensitivity &amp; Scenarios'!$C$6*((1+$E1008)^3-(1+$E1008)^2))/(1+$C1008)^('Sensitivity &amp; Scenarios'!$C$18+2)+('Sensitivity &amp; Scenarios'!$C$6*(1+$E1008)^4*$G1008+'Sensitivity &amp; Scenarios'!$C$11*'Sensitivity &amp; Scenarios'!$C$6*((1+$E1008)^4-(1+$E1008)^3))/(1+$C1008)^('Sensitivity &amp; Scenarios'!$C$18+3)+('Sensitivity &amp; Scenarios'!$C$6*(1+$E1008)^5*$G1008+'Sensitivity &amp; Scenarios'!$C$11*'Sensitivity &amp; Scenarios'!$C$6*((1+$E1008)^5-(1+$E1008)^4))/(1+$C1008)^('Sensitivity &amp; Scenarios'!$C$18+4)</f>
        <v>33842.515716323527</v>
      </c>
      <c r="I1008" s="209">
        <f>('Sensitivity &amp; Scenarios'!$C$6*(1+$E1008)^5*$G1008+'Sensitivity &amp; Scenarios'!$C$11*'Sensitivity &amp; Scenarios'!$C$6*((1+$E1008)^5-(1+$E1008)^4))*(1+$D1008)/($C1008-$D1008)/(1+$C1008)^('Sensitivity &amp; Scenarios'!$C$18+4)</f>
        <v>106508.90087692418</v>
      </c>
      <c r="J1008" s="209">
        <f>($H1008+$I1008-'Sensitivity &amp; Scenarios'!$C$15+'Sensitivity &amp; Scenarios'!$C$16)/'Sensitivity &amp; Scenarios'!$C$17</f>
        <v>3240.7867390558372</v>
      </c>
    </row>
    <row r="1009" spans="2:10" x14ac:dyDescent="0.3">
      <c r="B1009" s="127">
        <v>979</v>
      </c>
      <c r="C1009" s="206">
        <f>$D$7+-0.475749*$E$7</f>
        <v>0.13279476943997798</v>
      </c>
      <c r="D1009" s="206">
        <f>MIN($D$8+-1.320423*$E$8,'Debt &amp; Cost of Capital'!$C$38)</f>
        <v>4.7077462E-2</v>
      </c>
      <c r="E1009" s="207">
        <f>$D$9+-2.236925*$E$9</f>
        <v>0.10011334770254635</v>
      </c>
      <c r="F1009" s="207">
        <f>$D$10+-0.244109*$E$10</f>
        <v>0.14207069199999992</v>
      </c>
      <c r="G1009" s="208">
        <f>$F1009*(1-'Sensitivity &amp; Scenarios'!$C$12)+'Sensitivity &amp; Scenarios'!$C$9*'Sensitivity &amp; Scenarios'!$C$12-'Sensitivity &amp; Scenarios'!$C$10</f>
        <v>7.5506916912064639E-2</v>
      </c>
      <c r="H1009" s="209">
        <f>('Sensitivity &amp; Scenarios'!$C$6*(1+$E1009)^1*$G1009+'Sensitivity &amp; Scenarios'!$C$11*'Sensitivity &amp; Scenarios'!$C$6*((1+$E1009)^1-(1+$E1009)^0))*'Sensitivity &amp; Scenarios'!$C$18/(1+$C1009)^'Sensitivity &amp; Scenarios'!$C$18+('Sensitivity &amp; Scenarios'!$C$6*(1+$E1009)^2*$G1009+'Sensitivity &amp; Scenarios'!$C$11*'Sensitivity &amp; Scenarios'!$C$6*((1+$E1009)^2-(1+$E1009)^1))/(1+$C1009)^('Sensitivity &amp; Scenarios'!$C$18+1)+('Sensitivity &amp; Scenarios'!$C$6*(1+$E1009)^3*$G1009+'Sensitivity &amp; Scenarios'!$C$11*'Sensitivity &amp; Scenarios'!$C$6*((1+$E1009)^3-(1+$E1009)^2))/(1+$C1009)^('Sensitivity &amp; Scenarios'!$C$18+2)+('Sensitivity &amp; Scenarios'!$C$6*(1+$E1009)^4*$G1009+'Sensitivity &amp; Scenarios'!$C$11*'Sensitivity &amp; Scenarios'!$C$6*((1+$E1009)^4-(1+$E1009)^3))/(1+$C1009)^('Sensitivity &amp; Scenarios'!$C$18+3)+('Sensitivity &amp; Scenarios'!$C$6*(1+$E1009)^5*$G1009+'Sensitivity &amp; Scenarios'!$C$11*'Sensitivity &amp; Scenarios'!$C$6*((1+$E1009)^5-(1+$E1009)^4))/(1+$C1009)^('Sensitivity &amp; Scenarios'!$C$18+4)</f>
        <v>17887.602344242918</v>
      </c>
      <c r="I1009" s="209">
        <f>('Sensitivity &amp; Scenarios'!$C$6*(1+$E1009)^5*$G1009+'Sensitivity &amp; Scenarios'!$C$11*'Sensitivity &amp; Scenarios'!$C$6*((1+$E1009)^5-(1+$E1009)^4))*(1+$D1009)/($C1009-$D1009)/(1+$C1009)^('Sensitivity &amp; Scenarios'!$C$18+4)</f>
        <v>44654.028280092818</v>
      </c>
      <c r="J1009" s="209">
        <f>($H1009+$I1009-'Sensitivity &amp; Scenarios'!$C$15+'Sensitivity &amp; Scenarios'!$C$16)/'Sensitivity &amp; Scenarios'!$C$17</f>
        <v>1602.9859579586494</v>
      </c>
    </row>
    <row r="1010" spans="2:10" x14ac:dyDescent="0.3">
      <c r="B1010" s="127">
        <v>980</v>
      </c>
      <c r="C1010" s="206">
        <f>$D$7+-0.316365*$E$7</f>
        <v>0.13438860943997799</v>
      </c>
      <c r="D1010" s="206">
        <f>MIN($D$8+-0.651296*$E$8,'Debt &amp; Cost of Capital'!$C$38)</f>
        <v>5.1092223999999999E-2</v>
      </c>
      <c r="E1010" s="207">
        <f>$D$9+0.221375*$E$9</f>
        <v>0.17386234770254633</v>
      </c>
      <c r="F1010" s="207">
        <f>$D$10+0.395173*$E$10</f>
        <v>0.14974207599999992</v>
      </c>
      <c r="G1010" s="208">
        <f>$F1010*(1-'Sensitivity &amp; Scenarios'!$C$12)+'Sensitivity &amp; Scenarios'!$C$9*'Sensitivity &amp; Scenarios'!$C$12-'Sensitivity &amp; Scenarios'!$C$10</f>
        <v>8.1247413559264639E-2</v>
      </c>
      <c r="H1010" s="209">
        <f>('Sensitivity &amp; Scenarios'!$C$6*(1+$E1010)^1*$G1010+'Sensitivity &amp; Scenarios'!$C$11*'Sensitivity &amp; Scenarios'!$C$6*((1+$E1010)^1-(1+$E1010)^0))*'Sensitivity &amp; Scenarios'!$C$18/(1+$C1010)^'Sensitivity &amp; Scenarios'!$C$18+('Sensitivity &amp; Scenarios'!$C$6*(1+$E1010)^2*$G1010+'Sensitivity &amp; Scenarios'!$C$11*'Sensitivity &amp; Scenarios'!$C$6*((1+$E1010)^2-(1+$E1010)^1))/(1+$C1010)^('Sensitivity &amp; Scenarios'!$C$18+1)+('Sensitivity &amp; Scenarios'!$C$6*(1+$E1010)^3*$G1010+'Sensitivity &amp; Scenarios'!$C$11*'Sensitivity &amp; Scenarios'!$C$6*((1+$E1010)^3-(1+$E1010)^2))/(1+$C1010)^('Sensitivity &amp; Scenarios'!$C$18+2)+('Sensitivity &amp; Scenarios'!$C$6*(1+$E1010)^4*$G1010+'Sensitivity &amp; Scenarios'!$C$11*'Sensitivity &amp; Scenarios'!$C$6*((1+$E1010)^4-(1+$E1010)^3))/(1+$C1010)^('Sensitivity &amp; Scenarios'!$C$18+3)+('Sensitivity &amp; Scenarios'!$C$6*(1+$E1010)^5*$G1010+'Sensitivity &amp; Scenarios'!$C$11*'Sensitivity &amp; Scenarios'!$C$6*((1+$E1010)^5-(1+$E1010)^4))/(1+$C1010)^('Sensitivity &amp; Scenarios'!$C$18+4)</f>
        <v>24951.862605746406</v>
      </c>
      <c r="I1010" s="209">
        <f>('Sensitivity &amp; Scenarios'!$C$6*(1+$E1010)^5*$G1010+'Sensitivity &amp; Scenarios'!$C$11*'Sensitivity &amp; Scenarios'!$C$6*((1+$E1010)^5-(1+$E1010)^4))*(1+$D1010)/($C1010-$D1010)/(1+$C1010)^('Sensitivity &amp; Scenarios'!$C$18+4)</f>
        <v>72304.021184958823</v>
      </c>
      <c r="J1010" s="209">
        <f>($H1010+$I1010-'Sensitivity &amp; Scenarios'!$C$15+'Sensitivity &amp; Scenarios'!$C$16)/'Sensitivity &amp; Scenarios'!$C$17</f>
        <v>2333.6785082993133</v>
      </c>
    </row>
    <row r="1011" spans="2:10" x14ac:dyDescent="0.3">
      <c r="B1011" s="127">
        <v>981</v>
      </c>
      <c r="C1011" s="206">
        <f>$D$7+0.323083*$E$7</f>
        <v>0.14078308943997797</v>
      </c>
      <c r="D1011" s="206">
        <f>MIN($D$8+-0.316125*$E$8,'Debt &amp; Cost of Capital'!$C$38)</f>
        <v>5.3103249999999998E-2</v>
      </c>
      <c r="E1011" s="207">
        <f>$D$9+-1.101622*$E$9</f>
        <v>0.13417243770254633</v>
      </c>
      <c r="F1011" s="207">
        <f>$D$10+0.665833*$E$10</f>
        <v>0.15298999599999991</v>
      </c>
      <c r="G1011" s="208">
        <f>$F1011*(1-'Sensitivity &amp; Scenarios'!$C$12)+'Sensitivity &amp; Scenarios'!$C$9*'Sensitivity &amp; Scenarios'!$C$12-'Sensitivity &amp; Scenarios'!$C$10</f>
        <v>8.3677832095264637E-2</v>
      </c>
      <c r="H1011" s="209">
        <f>('Sensitivity &amp; Scenarios'!$C$6*(1+$E1011)^1*$G1011+'Sensitivity &amp; Scenarios'!$C$11*'Sensitivity &amp; Scenarios'!$C$6*((1+$E1011)^1-(1+$E1011)^0))*'Sensitivity &amp; Scenarios'!$C$18/(1+$C1011)^'Sensitivity &amp; Scenarios'!$C$18+('Sensitivity &amp; Scenarios'!$C$6*(1+$E1011)^2*$G1011+'Sensitivity &amp; Scenarios'!$C$11*'Sensitivity &amp; Scenarios'!$C$6*((1+$E1011)^2-(1+$E1011)^1))/(1+$C1011)^('Sensitivity &amp; Scenarios'!$C$18+1)+('Sensitivity &amp; Scenarios'!$C$6*(1+$E1011)^3*$G1011+'Sensitivity &amp; Scenarios'!$C$11*'Sensitivity &amp; Scenarios'!$C$6*((1+$E1011)^3-(1+$E1011)^2))/(1+$C1011)^('Sensitivity &amp; Scenarios'!$C$18+2)+('Sensitivity &amp; Scenarios'!$C$6*(1+$E1011)^4*$G1011+'Sensitivity &amp; Scenarios'!$C$11*'Sensitivity &amp; Scenarios'!$C$6*((1+$E1011)^4-(1+$E1011)^3))/(1+$C1011)^('Sensitivity &amp; Scenarios'!$C$18+3)+('Sensitivity &amp; Scenarios'!$C$6*(1+$E1011)^5*$G1011+'Sensitivity &amp; Scenarios'!$C$11*'Sensitivity &amp; Scenarios'!$C$6*((1+$E1011)^5-(1+$E1011)^4))/(1+$C1011)^('Sensitivity &amp; Scenarios'!$C$18+4)</f>
        <v>21820.440061135738</v>
      </c>
      <c r="I1011" s="209">
        <f>('Sensitivity &amp; Scenarios'!$C$6*(1+$E1011)^5*$G1011+'Sensitivity &amp; Scenarios'!$C$11*'Sensitivity &amp; Scenarios'!$C$6*((1+$E1011)^5-(1+$E1011)^4))*(1+$D1011)/($C1011-$D1011)/(1+$C1011)^('Sensitivity &amp; Scenarios'!$C$18+4)</f>
        <v>55965.796490979665</v>
      </c>
      <c r="J1011" s="209">
        <f>($H1011+$I1011-'Sensitivity &amp; Scenarios'!$C$15+'Sensitivity &amp; Scenarios'!$C$16)/'Sensitivity &amp; Scenarios'!$C$17</f>
        <v>1923.8662583621469</v>
      </c>
    </row>
    <row r="1012" spans="2:10" x14ac:dyDescent="0.3">
      <c r="B1012" s="127">
        <v>982</v>
      </c>
      <c r="C1012" s="206">
        <f>$D$7+0.012514*$E$7</f>
        <v>0.13767739943997798</v>
      </c>
      <c r="D1012" s="206">
        <f>MIN($D$8+0.888358*$E$8,'Debt &amp; Cost of Capital'!$C$38)</f>
        <v>6.0330148E-2</v>
      </c>
      <c r="E1012" s="207">
        <f>$D$9+0.790076*$E$9</f>
        <v>0.19092337770254633</v>
      </c>
      <c r="F1012" s="207">
        <f>$D$10+-1.421762*$E$10</f>
        <v>0.12793885599999991</v>
      </c>
      <c r="G1012" s="208">
        <f>$F1012*(1-'Sensitivity &amp; Scenarios'!$C$12)+'Sensitivity &amp; Scenarios'!$C$9*'Sensitivity &amp; Scenarios'!$C$12-'Sensitivity &amp; Scenarios'!$C$10</f>
        <v>6.4932064033264639E-2</v>
      </c>
      <c r="H1012" s="209">
        <f>('Sensitivity &amp; Scenarios'!$C$6*(1+$E1012)^1*$G1012+'Sensitivity &amp; Scenarios'!$C$11*'Sensitivity &amp; Scenarios'!$C$6*((1+$E1012)^1-(1+$E1012)^0))*'Sensitivity &amp; Scenarios'!$C$18/(1+$C1012)^'Sensitivity &amp; Scenarios'!$C$18+('Sensitivity &amp; Scenarios'!$C$6*(1+$E1012)^2*$G1012+'Sensitivity &amp; Scenarios'!$C$11*'Sensitivity &amp; Scenarios'!$C$6*((1+$E1012)^2-(1+$E1012)^1))/(1+$C1012)^('Sensitivity &amp; Scenarios'!$C$18+1)+('Sensitivity &amp; Scenarios'!$C$6*(1+$E1012)^3*$G1012+'Sensitivity &amp; Scenarios'!$C$11*'Sensitivity &amp; Scenarios'!$C$6*((1+$E1012)^3-(1+$E1012)^2))/(1+$C1012)^('Sensitivity &amp; Scenarios'!$C$18+2)+('Sensitivity &amp; Scenarios'!$C$6*(1+$E1012)^4*$G1012+'Sensitivity &amp; Scenarios'!$C$11*'Sensitivity &amp; Scenarios'!$C$6*((1+$E1012)^4-(1+$E1012)^3))/(1+$C1012)^('Sensitivity &amp; Scenarios'!$C$18+3)+('Sensitivity &amp; Scenarios'!$C$6*(1+$E1012)^5*$G1012+'Sensitivity &amp; Scenarios'!$C$11*'Sensitivity &amp; Scenarios'!$C$6*((1+$E1012)^5-(1+$E1012)^4))/(1+$C1012)^('Sensitivity &amp; Scenarios'!$C$18+4)</f>
        <v>21946.897383773998</v>
      </c>
      <c r="I1012" s="209">
        <f>('Sensitivity &amp; Scenarios'!$C$6*(1+$E1012)^5*$G1012+'Sensitivity &amp; Scenarios'!$C$11*'Sensitivity &amp; Scenarios'!$C$6*((1+$E1012)^5-(1+$E1012)^4))*(1+$D1012)/($C1012-$D1012)/(1+$C1012)^('Sensitivity &amp; Scenarios'!$C$18+4)</f>
        <v>70514.177610941042</v>
      </c>
      <c r="J1012" s="209">
        <f>($H1012+$I1012-'Sensitivity &amp; Scenarios'!$C$15+'Sensitivity &amp; Scenarios'!$C$16)/'Sensitivity &amp; Scenarios'!$C$17</f>
        <v>2232.7536504103332</v>
      </c>
    </row>
    <row r="1013" spans="2:10" x14ac:dyDescent="0.3">
      <c r="B1013" s="127">
        <v>983</v>
      </c>
      <c r="C1013" s="206">
        <f>$D$7+-1.434222*$E$7</f>
        <v>0.12321003943997798</v>
      </c>
      <c r="D1013" s="206">
        <f>MIN($D$8+-0.755541*$E$8,'Debt &amp; Cost of Capital'!$C$38)</f>
        <v>5.0466754000000003E-2</v>
      </c>
      <c r="E1013" s="207">
        <f>$D$9+-1.056265*$E$9</f>
        <v>0.13553314770254635</v>
      </c>
      <c r="F1013" s="207">
        <f>$D$10+0.755252*$E$10</f>
        <v>0.15406302399999991</v>
      </c>
      <c r="G1013" s="208">
        <f>$F1013*(1-'Sensitivity &amp; Scenarios'!$C$12)+'Sensitivity &amp; Scenarios'!$C$9*'Sensitivity &amp; Scenarios'!$C$12-'Sensitivity &amp; Scenarios'!$C$10</f>
        <v>8.4480778947664634E-2</v>
      </c>
      <c r="H1013" s="209">
        <f>('Sensitivity &amp; Scenarios'!$C$6*(1+$E1013)^1*$G1013+'Sensitivity &amp; Scenarios'!$C$11*'Sensitivity &amp; Scenarios'!$C$6*((1+$E1013)^1-(1+$E1013)^0))*'Sensitivity &amp; Scenarios'!$C$18/(1+$C1013)^'Sensitivity &amp; Scenarios'!$C$18+('Sensitivity &amp; Scenarios'!$C$6*(1+$E1013)^2*$G1013+'Sensitivity &amp; Scenarios'!$C$11*'Sensitivity &amp; Scenarios'!$C$6*((1+$E1013)^2-(1+$E1013)^1))/(1+$C1013)^('Sensitivity &amp; Scenarios'!$C$18+1)+('Sensitivity &amp; Scenarios'!$C$6*(1+$E1013)^3*$G1013+'Sensitivity &amp; Scenarios'!$C$11*'Sensitivity &amp; Scenarios'!$C$6*((1+$E1013)^3-(1+$E1013)^2))/(1+$C1013)^('Sensitivity &amp; Scenarios'!$C$18+2)+('Sensitivity &amp; Scenarios'!$C$6*(1+$E1013)^4*$G1013+'Sensitivity &amp; Scenarios'!$C$11*'Sensitivity &amp; Scenarios'!$C$6*((1+$E1013)^4-(1+$E1013)^3))/(1+$C1013)^('Sensitivity &amp; Scenarios'!$C$18+3)+('Sensitivity &amp; Scenarios'!$C$6*(1+$E1013)^5*$G1013+'Sensitivity &amp; Scenarios'!$C$11*'Sensitivity &amp; Scenarios'!$C$6*((1+$E1013)^5-(1+$E1013)^4))/(1+$C1013)^('Sensitivity &amp; Scenarios'!$C$18+4)</f>
        <v>23092.47485889828</v>
      </c>
      <c r="I1013" s="209">
        <f>('Sensitivity &amp; Scenarios'!$C$6*(1+$E1013)^5*$G1013+'Sensitivity &amp; Scenarios'!$C$11*'Sensitivity &amp; Scenarios'!$C$6*((1+$E1013)^5-(1+$E1013)^4))*(1+$D1013)/($C1013-$D1013)/(1+$C1013)^('Sensitivity &amp; Scenarios'!$C$18+4)</f>
        <v>73432.588495560325</v>
      </c>
      <c r="J1013" s="209">
        <f>($H1013+$I1013-'Sensitivity &amp; Scenarios'!$C$15+'Sensitivity &amp; Scenarios'!$C$16)/'Sensitivity &amp; Scenarios'!$C$17</f>
        <v>2318.2956323998119</v>
      </c>
    </row>
    <row r="1014" spans="2:10" x14ac:dyDescent="0.3">
      <c r="B1014" s="127">
        <v>984</v>
      </c>
      <c r="C1014" s="206">
        <f>$D$7+0.35131*$E$7</f>
        <v>0.14106535943997797</v>
      </c>
      <c r="D1014" s="206">
        <f>MIN($D$8+1.099184*$E$8,'Debt &amp; Cost of Capital'!$C$38)</f>
        <v>6.1595103999999998E-2</v>
      </c>
      <c r="E1014" s="207">
        <f>$D$9+0.396487*$E$9</f>
        <v>0.17911570770254634</v>
      </c>
      <c r="F1014" s="207">
        <f>$D$10+0.20865*$E$10</f>
        <v>0.14750379999999991</v>
      </c>
      <c r="G1014" s="208">
        <f>$F1014*(1-'Sensitivity &amp; Scenarios'!$C$12)+'Sensitivity &amp; Scenarios'!$C$9*'Sensitivity &amp; Scenarios'!$C$12-'Sensitivity &amp; Scenarios'!$C$10</f>
        <v>7.957251162846464E-2</v>
      </c>
      <c r="H1014" s="209">
        <f>('Sensitivity &amp; Scenarios'!$C$6*(1+$E1014)^1*$G1014+'Sensitivity &amp; Scenarios'!$C$11*'Sensitivity &amp; Scenarios'!$C$6*((1+$E1014)^1-(1+$E1014)^0))*'Sensitivity &amp; Scenarios'!$C$18/(1+$C1014)^'Sensitivity &amp; Scenarios'!$C$18+('Sensitivity &amp; Scenarios'!$C$6*(1+$E1014)^2*$G1014+'Sensitivity &amp; Scenarios'!$C$11*'Sensitivity &amp; Scenarios'!$C$6*((1+$E1014)^2-(1+$E1014)^1))/(1+$C1014)^('Sensitivity &amp; Scenarios'!$C$18+1)+('Sensitivity &amp; Scenarios'!$C$6*(1+$E1014)^3*$G1014+'Sensitivity &amp; Scenarios'!$C$11*'Sensitivity &amp; Scenarios'!$C$6*((1+$E1014)^3-(1+$E1014)^2))/(1+$C1014)^('Sensitivity &amp; Scenarios'!$C$18+2)+('Sensitivity &amp; Scenarios'!$C$6*(1+$E1014)^4*$G1014+'Sensitivity &amp; Scenarios'!$C$11*'Sensitivity &amp; Scenarios'!$C$6*((1+$E1014)^4-(1+$E1014)^3))/(1+$C1014)^('Sensitivity &amp; Scenarios'!$C$18+3)+('Sensitivity &amp; Scenarios'!$C$6*(1+$E1014)^5*$G1014+'Sensitivity &amp; Scenarios'!$C$11*'Sensitivity &amp; Scenarios'!$C$6*((1+$E1014)^5-(1+$E1014)^4))/(1+$C1014)^('Sensitivity &amp; Scenarios'!$C$18+4)</f>
        <v>24572.076711989514</v>
      </c>
      <c r="I1014" s="209">
        <f>('Sensitivity &amp; Scenarios'!$C$6*(1+$E1014)^5*$G1014+'Sensitivity &amp; Scenarios'!$C$11*'Sensitivity &amp; Scenarios'!$C$6*((1+$E1014)^5-(1+$E1014)^4))*(1+$D1014)/($C1014-$D1014)/(1+$C1014)^('Sensitivity &amp; Scenarios'!$C$18+4)</f>
        <v>75189.245267301812</v>
      </c>
      <c r="J1014" s="209">
        <f>($H1014+$I1014-'Sensitivity &amp; Scenarios'!$C$15+'Sensitivity &amp; Scenarios'!$C$16)/'Sensitivity &amp; Scenarios'!$C$17</f>
        <v>2386.4149163379693</v>
      </c>
    </row>
    <row r="1015" spans="2:10" x14ac:dyDescent="0.3">
      <c r="B1015" s="127">
        <v>985</v>
      </c>
      <c r="C1015" s="206">
        <f>$D$7+1.19973*$E$7</f>
        <v>0.14954955943997797</v>
      </c>
      <c r="D1015" s="206">
        <f>MIN($D$8+0.469727*$E$8,'Debt &amp; Cost of Capital'!$C$38)</f>
        <v>5.7818361999999998E-2</v>
      </c>
      <c r="E1015" s="207">
        <f>$D$9+0.068101*$E$9</f>
        <v>0.16926412770254634</v>
      </c>
      <c r="F1015" s="207">
        <f>$D$10+1.480453*$E$10</f>
        <v>0.1627654359999999</v>
      </c>
      <c r="G1015" s="208">
        <f>$F1015*(1-'Sensitivity &amp; Scenarios'!$C$12)+'Sensitivity &amp; Scenarios'!$C$9*'Sensitivity &amp; Scenarios'!$C$12-'Sensitivity &amp; Scenarios'!$C$10</f>
        <v>9.0992793847264636E-2</v>
      </c>
      <c r="H1015" s="209">
        <f>('Sensitivity &amp; Scenarios'!$C$6*(1+$E1015)^1*$G1015+'Sensitivity &amp; Scenarios'!$C$11*'Sensitivity &amp; Scenarios'!$C$6*((1+$E1015)^1-(1+$E1015)^0))*'Sensitivity &amp; Scenarios'!$C$18/(1+$C1015)^'Sensitivity &amp; Scenarios'!$C$18+('Sensitivity &amp; Scenarios'!$C$6*(1+$E1015)^2*$G1015+'Sensitivity &amp; Scenarios'!$C$11*'Sensitivity &amp; Scenarios'!$C$6*((1+$E1015)^2-(1+$E1015)^1))/(1+$C1015)^('Sensitivity &amp; Scenarios'!$C$18+1)+('Sensitivity &amp; Scenarios'!$C$6*(1+$E1015)^3*$G1015+'Sensitivity &amp; Scenarios'!$C$11*'Sensitivity &amp; Scenarios'!$C$6*((1+$E1015)^3-(1+$E1015)^2))/(1+$C1015)^('Sensitivity &amp; Scenarios'!$C$18+2)+('Sensitivity &amp; Scenarios'!$C$6*(1+$E1015)^4*$G1015+'Sensitivity &amp; Scenarios'!$C$11*'Sensitivity &amp; Scenarios'!$C$6*((1+$E1015)^4-(1+$E1015)^3))/(1+$C1015)^('Sensitivity &amp; Scenarios'!$C$18+3)+('Sensitivity &amp; Scenarios'!$C$6*(1+$E1015)^5*$G1015+'Sensitivity &amp; Scenarios'!$C$11*'Sensitivity &amp; Scenarios'!$C$6*((1+$E1015)^5-(1+$E1015)^4))/(1+$C1015)^('Sensitivity &amp; Scenarios'!$C$18+4)</f>
        <v>26010.067425082634</v>
      </c>
      <c r="I1015" s="209">
        <f>('Sensitivity &amp; Scenarios'!$C$6*(1+$E1015)^5*$G1015+'Sensitivity &amp; Scenarios'!$C$11*'Sensitivity &amp; Scenarios'!$C$6*((1+$E1015)^5-(1+$E1015)^4))*(1+$D1015)/($C1015-$D1015)/(1+$C1015)^('Sensitivity &amp; Scenarios'!$C$18+4)</f>
        <v>66783.666630021777</v>
      </c>
      <c r="J1015" s="209">
        <f>($H1015+$I1015-'Sensitivity &amp; Scenarios'!$C$15+'Sensitivity &amp; Scenarios'!$C$16)/'Sensitivity &amp; Scenarios'!$C$17</f>
        <v>2239.755716566413</v>
      </c>
    </row>
    <row r="1016" spans="2:10" x14ac:dyDescent="0.3">
      <c r="B1016" s="127">
        <v>986</v>
      </c>
      <c r="C1016" s="206">
        <f>$D$7+0.115181*$E$7</f>
        <v>0.13870406943997798</v>
      </c>
      <c r="D1016" s="206">
        <f>MIN($D$8+-0.304341*$E$8,'Debt &amp; Cost of Capital'!$C$38)</f>
        <v>5.3173954000000002E-2</v>
      </c>
      <c r="E1016" s="207">
        <f>$D$9+-0.837823*$E$9</f>
        <v>0.14208640770254635</v>
      </c>
      <c r="F1016" s="207">
        <f>$D$10+0.703025*$E$10</f>
        <v>0.15343629999999991</v>
      </c>
      <c r="G1016" s="208">
        <f>$F1016*(1-'Sensitivity &amp; Scenarios'!$C$12)+'Sensitivity &amp; Scenarios'!$C$9*'Sensitivity &amp; Scenarios'!$C$12-'Sensitivity &amp; Scenarios'!$C$10</f>
        <v>8.4011801378464646E-2</v>
      </c>
      <c r="H1016" s="209">
        <f>('Sensitivity &amp; Scenarios'!$C$6*(1+$E1016)^1*$G1016+'Sensitivity &amp; Scenarios'!$C$11*'Sensitivity &amp; Scenarios'!$C$6*((1+$E1016)^1-(1+$E1016)^0))*'Sensitivity &amp; Scenarios'!$C$18/(1+$C1016)^'Sensitivity &amp; Scenarios'!$C$18+('Sensitivity &amp; Scenarios'!$C$6*(1+$E1016)^2*$G1016+'Sensitivity &amp; Scenarios'!$C$11*'Sensitivity &amp; Scenarios'!$C$6*((1+$E1016)^2-(1+$E1016)^1))/(1+$C1016)^('Sensitivity &amp; Scenarios'!$C$18+1)+('Sensitivity &amp; Scenarios'!$C$6*(1+$E1016)^3*$G1016+'Sensitivity &amp; Scenarios'!$C$11*'Sensitivity &amp; Scenarios'!$C$6*((1+$E1016)^3-(1+$E1016)^2))/(1+$C1016)^('Sensitivity &amp; Scenarios'!$C$18+2)+('Sensitivity &amp; Scenarios'!$C$6*(1+$E1016)^4*$G1016+'Sensitivity &amp; Scenarios'!$C$11*'Sensitivity &amp; Scenarios'!$C$6*((1+$E1016)^4-(1+$E1016)^3))/(1+$C1016)^('Sensitivity &amp; Scenarios'!$C$18+3)+('Sensitivity &amp; Scenarios'!$C$6*(1+$E1016)^5*$G1016+'Sensitivity &amp; Scenarios'!$C$11*'Sensitivity &amp; Scenarios'!$C$6*((1+$E1016)^5-(1+$E1016)^4))/(1+$C1016)^('Sensitivity &amp; Scenarios'!$C$18+4)</f>
        <v>22651.5812025868</v>
      </c>
      <c r="I1016" s="209">
        <f>('Sensitivity &amp; Scenarios'!$C$6*(1+$E1016)^5*$G1016+'Sensitivity &amp; Scenarios'!$C$11*'Sensitivity &amp; Scenarios'!$C$6*((1+$E1016)^5-(1+$E1016)^4))*(1+$D1016)/($C1016-$D1016)/(1+$C1016)^('Sensitivity &amp; Scenarios'!$C$18+4)</f>
        <v>60533.724932803088</v>
      </c>
      <c r="J1016" s="209">
        <f>($H1016+$I1016-'Sensitivity &amp; Scenarios'!$C$15+'Sensitivity &amp; Scenarios'!$C$16)/'Sensitivity &amp; Scenarios'!$C$17</f>
        <v>2037.5100664072945</v>
      </c>
    </row>
    <row r="1017" spans="2:10" x14ac:dyDescent="0.3">
      <c r="B1017" s="127">
        <v>987</v>
      </c>
      <c r="C1017" s="206">
        <f>$D$7+1.237051*$E$7</f>
        <v>0.14992276943997798</v>
      </c>
      <c r="D1017" s="206">
        <f>MIN($D$8+-0.050587*$E$8,'Debt &amp; Cost of Capital'!$C$38)</f>
        <v>5.4696478E-2</v>
      </c>
      <c r="E1017" s="207">
        <f>$D$9+1.307916*$E$9</f>
        <v>0.20645857770254633</v>
      </c>
      <c r="F1017" s="207">
        <f>$D$10+-1.970015*$E$10</f>
        <v>0.12135981999999991</v>
      </c>
      <c r="G1017" s="208">
        <f>$F1017*(1-'Sensitivity &amp; Scenarios'!$C$12)+'Sensitivity &amp; Scenarios'!$C$9*'Sensitivity &amp; Scenarios'!$C$12-'Sensitivity &amp; Scenarios'!$C$10</f>
        <v>6.0008971394464636E-2</v>
      </c>
      <c r="H1017" s="209">
        <f>('Sensitivity &amp; Scenarios'!$C$6*(1+$E1017)^1*$G1017+'Sensitivity &amp; Scenarios'!$C$11*'Sensitivity &amp; Scenarios'!$C$6*((1+$E1017)^1-(1+$E1017)^0))*'Sensitivity &amp; Scenarios'!$C$18/(1+$C1017)^'Sensitivity &amp; Scenarios'!$C$18+('Sensitivity &amp; Scenarios'!$C$6*(1+$E1017)^2*$G1017+'Sensitivity &amp; Scenarios'!$C$11*'Sensitivity &amp; Scenarios'!$C$6*((1+$E1017)^2-(1+$E1017)^1))/(1+$C1017)^('Sensitivity &amp; Scenarios'!$C$18+1)+('Sensitivity &amp; Scenarios'!$C$6*(1+$E1017)^3*$G1017+'Sensitivity &amp; Scenarios'!$C$11*'Sensitivity &amp; Scenarios'!$C$6*((1+$E1017)^3-(1+$E1017)^2))/(1+$C1017)^('Sensitivity &amp; Scenarios'!$C$18+2)+('Sensitivity &amp; Scenarios'!$C$6*(1+$E1017)^4*$G1017+'Sensitivity &amp; Scenarios'!$C$11*'Sensitivity &amp; Scenarios'!$C$6*((1+$E1017)^4-(1+$E1017)^3))/(1+$C1017)^('Sensitivity &amp; Scenarios'!$C$18+3)+('Sensitivity &amp; Scenarios'!$C$6*(1+$E1017)^5*$G1017+'Sensitivity &amp; Scenarios'!$C$11*'Sensitivity &amp; Scenarios'!$C$6*((1+$E1017)^5-(1+$E1017)^4))/(1+$C1017)^('Sensitivity &amp; Scenarios'!$C$18+4)</f>
        <v>21191.339143599864</v>
      </c>
      <c r="I1017" s="209">
        <f>('Sensitivity &amp; Scenarios'!$C$6*(1+$E1017)^5*$G1017+'Sensitivity &amp; Scenarios'!$C$11*'Sensitivity &amp; Scenarios'!$C$6*((1+$E1017)^5-(1+$E1017)^4))*(1+$D1017)/($C1017-$D1017)/(1+$C1017)^('Sensitivity &amp; Scenarios'!$C$18+4)</f>
        <v>55227.581307824068</v>
      </c>
      <c r="J1017" s="209">
        <f>($H1017+$I1017-'Sensitivity &amp; Scenarios'!$C$15+'Sensitivity &amp; Scenarios'!$C$16)/'Sensitivity &amp; Scenarios'!$C$17</f>
        <v>1895.0859275871214</v>
      </c>
    </row>
    <row r="1018" spans="2:10" x14ac:dyDescent="0.3">
      <c r="B1018" s="127">
        <v>988</v>
      </c>
      <c r="C1018" s="206">
        <f>$D$7+-0.055453*$E$7</f>
        <v>0.13699772943997798</v>
      </c>
      <c r="D1018" s="206">
        <f>MIN($D$8+-0.040095*$E$8,'Debt &amp; Cost of Capital'!$C$38)</f>
        <v>5.4759429999999998E-2</v>
      </c>
      <c r="E1018" s="207">
        <f>$D$9+-0.726994*$E$9</f>
        <v>0.14541127770254633</v>
      </c>
      <c r="F1018" s="207">
        <f>$D$10+2.383861*$E$10</f>
        <v>0.17360633199999992</v>
      </c>
      <c r="G1018" s="208">
        <f>$F1018*(1-'Sensitivity &amp; Scenarios'!$C$12)+'Sensitivity &amp; Scenarios'!$C$9*'Sensitivity &amp; Scenarios'!$C$12-'Sensitivity &amp; Scenarios'!$C$10</f>
        <v>9.9105036324064644E-2</v>
      </c>
      <c r="H1018" s="209">
        <f>('Sensitivity &amp; Scenarios'!$C$6*(1+$E1018)^1*$G1018+'Sensitivity &amp; Scenarios'!$C$11*'Sensitivity &amp; Scenarios'!$C$6*((1+$E1018)^1-(1+$E1018)^0))*'Sensitivity &amp; Scenarios'!$C$18/(1+$C1018)^'Sensitivity &amp; Scenarios'!$C$18+('Sensitivity &amp; Scenarios'!$C$6*(1+$E1018)^2*$G1018+'Sensitivity &amp; Scenarios'!$C$11*'Sensitivity &amp; Scenarios'!$C$6*((1+$E1018)^2-(1+$E1018)^1))/(1+$C1018)^('Sensitivity &amp; Scenarios'!$C$18+1)+('Sensitivity &amp; Scenarios'!$C$6*(1+$E1018)^3*$G1018+'Sensitivity &amp; Scenarios'!$C$11*'Sensitivity &amp; Scenarios'!$C$6*((1+$E1018)^3-(1+$E1018)^2))/(1+$C1018)^('Sensitivity &amp; Scenarios'!$C$18+2)+('Sensitivity &amp; Scenarios'!$C$6*(1+$E1018)^4*$G1018+'Sensitivity &amp; Scenarios'!$C$11*'Sensitivity &amp; Scenarios'!$C$6*((1+$E1018)^4-(1+$E1018)^3))/(1+$C1018)^('Sensitivity &amp; Scenarios'!$C$18+3)+('Sensitivity &amp; Scenarios'!$C$6*(1+$E1018)^5*$G1018+'Sensitivity &amp; Scenarios'!$C$11*'Sensitivity &amp; Scenarios'!$C$6*((1+$E1018)^5-(1+$E1018)^4))/(1+$C1018)^('Sensitivity &amp; Scenarios'!$C$18+4)</f>
        <v>26569.754575029241</v>
      </c>
      <c r="I1018" s="209">
        <f>('Sensitivity &amp; Scenarios'!$C$6*(1+$E1018)^5*$G1018+'Sensitivity &amp; Scenarios'!$C$11*'Sensitivity &amp; Scenarios'!$C$6*((1+$E1018)^5-(1+$E1018)^4))*(1+$D1018)/($C1018-$D1018)/(1+$C1018)^('Sensitivity &amp; Scenarios'!$C$18+4)</f>
        <v>74557.429842784943</v>
      </c>
      <c r="J1018" s="209">
        <f>($H1018+$I1018-'Sensitivity &amp; Scenarios'!$C$15+'Sensitivity &amp; Scenarios'!$C$16)/'Sensitivity &amp; Scenarios'!$C$17</f>
        <v>2415.1646493031494</v>
      </c>
    </row>
    <row r="1019" spans="2:10" x14ac:dyDescent="0.3">
      <c r="B1019" s="127">
        <v>989</v>
      </c>
      <c r="C1019" s="206">
        <f>$D$7+-0.066193*$E$7</f>
        <v>0.13689032943997798</v>
      </c>
      <c r="D1019" s="206">
        <f>MIN($D$8+-0.407731*$E$8,'Debt &amp; Cost of Capital'!$C$38)</f>
        <v>5.2553613999999998E-2</v>
      </c>
      <c r="E1019" s="207">
        <f>$D$9+0.025962*$E$9</f>
        <v>0.16799995770254633</v>
      </c>
      <c r="F1019" s="207">
        <f>$D$10+-2.002814*$E$10</f>
        <v>0.12096623199999991</v>
      </c>
      <c r="G1019" s="208">
        <f>$F1019*(1-'Sensitivity &amp; Scenarios'!$C$12)+'Sensitivity &amp; Scenarios'!$C$9*'Sensitivity &amp; Scenarios'!$C$12-'Sensitivity &amp; Scenarios'!$C$10</f>
        <v>5.9714449494064639E-2</v>
      </c>
      <c r="H1019" s="209">
        <f>('Sensitivity &amp; Scenarios'!$C$6*(1+$E1019)^1*$G1019+'Sensitivity &amp; Scenarios'!$C$11*'Sensitivity &amp; Scenarios'!$C$6*((1+$E1019)^1-(1+$E1019)^0))*'Sensitivity &amp; Scenarios'!$C$18/(1+$C1019)^'Sensitivity &amp; Scenarios'!$C$18+('Sensitivity &amp; Scenarios'!$C$6*(1+$E1019)^2*$G1019+'Sensitivity &amp; Scenarios'!$C$11*'Sensitivity &amp; Scenarios'!$C$6*((1+$E1019)^2-(1+$E1019)^1))/(1+$C1019)^('Sensitivity &amp; Scenarios'!$C$18+1)+('Sensitivity &amp; Scenarios'!$C$6*(1+$E1019)^3*$G1019+'Sensitivity &amp; Scenarios'!$C$11*'Sensitivity &amp; Scenarios'!$C$6*((1+$E1019)^3-(1+$E1019)^2))/(1+$C1019)^('Sensitivity &amp; Scenarios'!$C$18+2)+('Sensitivity &amp; Scenarios'!$C$6*(1+$E1019)^4*$G1019+'Sensitivity &amp; Scenarios'!$C$11*'Sensitivity &amp; Scenarios'!$C$6*((1+$E1019)^4-(1+$E1019)^3))/(1+$C1019)^('Sensitivity &amp; Scenarios'!$C$18+3)+('Sensitivity &amp; Scenarios'!$C$6*(1+$E1019)^5*$G1019+'Sensitivity &amp; Scenarios'!$C$11*'Sensitivity &amp; Scenarios'!$C$6*((1+$E1019)^5-(1+$E1019)^4))/(1+$C1019)^('Sensitivity &amp; Scenarios'!$C$18+4)</f>
        <v>18895.830479426033</v>
      </c>
      <c r="I1019" s="209">
        <f>('Sensitivity &amp; Scenarios'!$C$6*(1+$E1019)^5*$G1019+'Sensitivity &amp; Scenarios'!$C$11*'Sensitivity &amp; Scenarios'!$C$6*((1+$E1019)^5-(1+$E1019)^4))*(1+$D1019)/($C1019-$D1019)/(1+$C1019)^('Sensitivity &amp; Scenarios'!$C$18+4)</f>
        <v>53462.108178634357</v>
      </c>
      <c r="J1019" s="209">
        <f>($H1019+$I1019-'Sensitivity &amp; Scenarios'!$C$15+'Sensitivity &amp; Scenarios'!$C$16)/'Sensitivity &amp; Scenarios'!$C$17</f>
        <v>1809.6072301408949</v>
      </c>
    </row>
    <row r="1020" spans="2:10" x14ac:dyDescent="0.3">
      <c r="B1020" s="127">
        <v>990</v>
      </c>
      <c r="C1020" s="206">
        <f>$D$7+-0.759868*$E$7</f>
        <v>0.12995357943997798</v>
      </c>
      <c r="D1020" s="206">
        <f>MIN($D$8+0.98324*$E$8,'Debt &amp; Cost of Capital'!$C$38)</f>
        <v>6.0899439999999999E-2</v>
      </c>
      <c r="E1020" s="207">
        <f>$D$9+-0.628945*$E$9</f>
        <v>0.14835274770254633</v>
      </c>
      <c r="F1020" s="207">
        <f>$D$10+-0.828875*$E$10</f>
        <v>0.13505349999999991</v>
      </c>
      <c r="G1020" s="208">
        <f>$F1020*(1-'Sensitivity &amp; Scenarios'!$C$12)+'Sensitivity &amp; Scenarios'!$C$9*'Sensitivity &amp; Scenarios'!$C$12-'Sensitivity &amp; Scenarios'!$C$10</f>
        <v>7.0255952138464639E-2</v>
      </c>
      <c r="H1020" s="209">
        <f>('Sensitivity &amp; Scenarios'!$C$6*(1+$E1020)^1*$G1020+'Sensitivity &amp; Scenarios'!$C$11*'Sensitivity &amp; Scenarios'!$C$6*((1+$E1020)^1-(1+$E1020)^0))*'Sensitivity &amp; Scenarios'!$C$18/(1+$C1020)^'Sensitivity &amp; Scenarios'!$C$18+('Sensitivity &amp; Scenarios'!$C$6*(1+$E1020)^2*$G1020+'Sensitivity &amp; Scenarios'!$C$11*'Sensitivity &amp; Scenarios'!$C$6*((1+$E1020)^2-(1+$E1020)^1))/(1+$C1020)^('Sensitivity &amp; Scenarios'!$C$18+1)+('Sensitivity &amp; Scenarios'!$C$6*(1+$E1020)^3*$G1020+'Sensitivity &amp; Scenarios'!$C$11*'Sensitivity &amp; Scenarios'!$C$6*((1+$E1020)^3-(1+$E1020)^2))/(1+$C1020)^('Sensitivity &amp; Scenarios'!$C$18+2)+('Sensitivity &amp; Scenarios'!$C$6*(1+$E1020)^4*$G1020+'Sensitivity &amp; Scenarios'!$C$11*'Sensitivity &amp; Scenarios'!$C$6*((1+$E1020)^4-(1+$E1020)^3))/(1+$C1020)^('Sensitivity &amp; Scenarios'!$C$18+3)+('Sensitivity &amp; Scenarios'!$C$6*(1+$E1020)^5*$G1020+'Sensitivity &amp; Scenarios'!$C$11*'Sensitivity &amp; Scenarios'!$C$6*((1+$E1020)^5-(1+$E1020)^4))/(1+$C1020)^('Sensitivity &amp; Scenarios'!$C$18+4)</f>
        <v>20363.840232208669</v>
      </c>
      <c r="I1020" s="209">
        <f>('Sensitivity &amp; Scenarios'!$C$6*(1+$E1020)^5*$G1020+'Sensitivity &amp; Scenarios'!$C$11*'Sensitivity &amp; Scenarios'!$C$6*((1+$E1020)^5-(1+$E1020)^4))*(1+$D1020)/($C1020-$D1020)/(1+$C1020)^('Sensitivity &amp; Scenarios'!$C$18+4)</f>
        <v>69551.789053342873</v>
      </c>
      <c r="J1020" s="209">
        <f>($H1020+$I1020-'Sensitivity &amp; Scenarios'!$C$15+'Sensitivity &amp; Scenarios'!$C$16)/'Sensitivity &amp; Scenarios'!$C$17</f>
        <v>2179.1751330195498</v>
      </c>
    </row>
    <row r="1021" spans="2:10" x14ac:dyDescent="0.3">
      <c r="B1021" s="127">
        <v>991</v>
      </c>
      <c r="C1021" s="206">
        <f>$D$7+1.309526*$E$7</f>
        <v>0.15064751943997798</v>
      </c>
      <c r="D1021" s="206">
        <f>MIN($D$8+1.340254*$E$8,'Debt &amp; Cost of Capital'!$C$38)</f>
        <v>6.3041524000000002E-2</v>
      </c>
      <c r="E1021" s="207">
        <f>$D$9+0.51699*$E$9</f>
        <v>0.18273079770254633</v>
      </c>
      <c r="F1021" s="207">
        <f>$D$10+-0.455117*$E$10</f>
        <v>0.1395385959999999</v>
      </c>
      <c r="G1021" s="208">
        <f>$F1021*(1-'Sensitivity &amp; Scenarios'!$C$12)+'Sensitivity &amp; Scenarios'!$C$9*'Sensitivity &amp; Scenarios'!$C$12-'Sensitivity &amp; Scenarios'!$C$10</f>
        <v>7.3612149475264635E-2</v>
      </c>
      <c r="H1021" s="209">
        <f>('Sensitivity &amp; Scenarios'!$C$6*(1+$E1021)^1*$G1021+'Sensitivity &amp; Scenarios'!$C$11*'Sensitivity &amp; Scenarios'!$C$6*((1+$E1021)^1-(1+$E1021)^0))*'Sensitivity &amp; Scenarios'!$C$18/(1+$C1021)^'Sensitivity &amp; Scenarios'!$C$18+('Sensitivity &amp; Scenarios'!$C$6*(1+$E1021)^2*$G1021+'Sensitivity &amp; Scenarios'!$C$11*'Sensitivity &amp; Scenarios'!$C$6*((1+$E1021)^2-(1+$E1021)^1))/(1+$C1021)^('Sensitivity &amp; Scenarios'!$C$18+1)+('Sensitivity &amp; Scenarios'!$C$6*(1+$E1021)^3*$G1021+'Sensitivity &amp; Scenarios'!$C$11*'Sensitivity &amp; Scenarios'!$C$6*((1+$E1021)^3-(1+$E1021)^2))/(1+$C1021)^('Sensitivity &amp; Scenarios'!$C$18+2)+('Sensitivity &amp; Scenarios'!$C$6*(1+$E1021)^4*$G1021+'Sensitivity &amp; Scenarios'!$C$11*'Sensitivity &amp; Scenarios'!$C$6*((1+$E1021)^4-(1+$E1021)^3))/(1+$C1021)^('Sensitivity &amp; Scenarios'!$C$18+3)+('Sensitivity &amp; Scenarios'!$C$6*(1+$E1021)^5*$G1021+'Sensitivity &amp; Scenarios'!$C$11*'Sensitivity &amp; Scenarios'!$C$6*((1+$E1021)^5-(1+$E1021)^4))/(1+$C1021)^('Sensitivity &amp; Scenarios'!$C$18+4)</f>
        <v>22803.067327964436</v>
      </c>
      <c r="I1021" s="209">
        <f>('Sensitivity &amp; Scenarios'!$C$6*(1+$E1021)^5*$G1021+'Sensitivity &amp; Scenarios'!$C$11*'Sensitivity &amp; Scenarios'!$C$6*((1+$E1021)^5-(1+$E1021)^4))*(1+$D1021)/($C1021-$D1021)/(1+$C1021)^('Sensitivity &amp; Scenarios'!$C$18+4)</f>
        <v>62784.915743551988</v>
      </c>
      <c r="J1021" s="209">
        <f>($H1021+$I1021-'Sensitivity &amp; Scenarios'!$C$15+'Sensitivity &amp; Scenarios'!$C$16)/'Sensitivity &amp; Scenarios'!$C$17</f>
        <v>2088.083475827601</v>
      </c>
    </row>
    <row r="1022" spans="2:10" x14ac:dyDescent="0.3">
      <c r="B1022" s="127">
        <v>992</v>
      </c>
      <c r="C1022" s="206">
        <f>$D$7+-0.239471*$E$7</f>
        <v>0.13515754943997799</v>
      </c>
      <c r="D1022" s="206">
        <f>MIN($D$8+-0.80415*$E$8,'Debt &amp; Cost of Capital'!$C$38)</f>
        <v>5.01751E-2</v>
      </c>
      <c r="E1022" s="207">
        <f>$D$9+-0.994773*$E$9</f>
        <v>0.13737790770254635</v>
      </c>
      <c r="F1022" s="207">
        <f>$D$10+-1.044416*$E$10</f>
        <v>0.13246700799999991</v>
      </c>
      <c r="G1022" s="208">
        <f>$F1022*(1-'Sensitivity &amp; Scenarios'!$C$12)+'Sensitivity &amp; Scenarios'!$C$9*'Sensitivity &amp; Scenarios'!$C$12-'Sensitivity &amp; Scenarios'!$C$10</f>
        <v>6.832048017486464E-2</v>
      </c>
      <c r="H1022" s="209">
        <f>('Sensitivity &amp; Scenarios'!$C$6*(1+$E1022)^1*$G1022+'Sensitivity &amp; Scenarios'!$C$11*'Sensitivity &amp; Scenarios'!$C$6*((1+$E1022)^1-(1+$E1022)^0))*'Sensitivity &amp; Scenarios'!$C$18/(1+$C1022)^'Sensitivity &amp; Scenarios'!$C$18+('Sensitivity &amp; Scenarios'!$C$6*(1+$E1022)^2*$G1022+'Sensitivity &amp; Scenarios'!$C$11*'Sensitivity &amp; Scenarios'!$C$6*((1+$E1022)^2-(1+$E1022)^1))/(1+$C1022)^('Sensitivity &amp; Scenarios'!$C$18+1)+('Sensitivity &amp; Scenarios'!$C$6*(1+$E1022)^3*$G1022+'Sensitivity &amp; Scenarios'!$C$11*'Sensitivity &amp; Scenarios'!$C$6*((1+$E1022)^3-(1+$E1022)^2))/(1+$C1022)^('Sensitivity &amp; Scenarios'!$C$18+2)+('Sensitivity &amp; Scenarios'!$C$6*(1+$E1022)^4*$G1022+'Sensitivity &amp; Scenarios'!$C$11*'Sensitivity &amp; Scenarios'!$C$6*((1+$E1022)^4-(1+$E1022)^3))/(1+$C1022)^('Sensitivity &amp; Scenarios'!$C$18+3)+('Sensitivity &amp; Scenarios'!$C$6*(1+$E1022)^5*$G1022+'Sensitivity &amp; Scenarios'!$C$11*'Sensitivity &amp; Scenarios'!$C$6*((1+$E1022)^5-(1+$E1022)^4))/(1+$C1022)^('Sensitivity &amp; Scenarios'!$C$18+4)</f>
        <v>18838.965242297887</v>
      </c>
      <c r="I1022" s="209">
        <f>('Sensitivity &amp; Scenarios'!$C$6*(1+$E1022)^5*$G1022+'Sensitivity &amp; Scenarios'!$C$11*'Sensitivity &amp; Scenarios'!$C$6*((1+$E1022)^5-(1+$E1022)^4))*(1+$D1022)/($C1022-$D1022)/(1+$C1022)^('Sensitivity &amp; Scenarios'!$C$18+4)</f>
        <v>50431.288267279575</v>
      </c>
      <c r="J1022" s="209">
        <f>($H1022+$I1022-'Sensitivity &amp; Scenarios'!$C$15+'Sensitivity &amp; Scenarios'!$C$16)/'Sensitivity &amp; Scenarios'!$C$17</f>
        <v>1744.615236074904</v>
      </c>
    </row>
    <row r="1023" spans="2:10" x14ac:dyDescent="0.3">
      <c r="B1023" s="127">
        <v>993</v>
      </c>
      <c r="C1023" s="206">
        <f>$D$7+-0.618054*$E$7</f>
        <v>0.13137171943997797</v>
      </c>
      <c r="D1023" s="206">
        <f>MIN($D$8+-1.034721*$E$8,'Debt &amp; Cost of Capital'!$C$38)</f>
        <v>4.8791674E-2</v>
      </c>
      <c r="E1023" s="207">
        <f>$D$9+-1.563705*$E$9</f>
        <v>0.12030994770254634</v>
      </c>
      <c r="F1023" s="207">
        <f>$D$10+0.219403*$E$10</f>
        <v>0.14763283599999991</v>
      </c>
      <c r="G1023" s="208">
        <f>$F1023*(1-'Sensitivity &amp; Scenarios'!$C$12)+'Sensitivity &amp; Scenarios'!$C$9*'Sensitivity &amp; Scenarios'!$C$12-'Sensitivity &amp; Scenarios'!$C$10</f>
        <v>7.9669069267264636E-2</v>
      </c>
      <c r="H1023" s="209">
        <f>('Sensitivity &amp; Scenarios'!$C$6*(1+$E1023)^1*$G1023+'Sensitivity &amp; Scenarios'!$C$11*'Sensitivity &amp; Scenarios'!$C$6*((1+$E1023)^1-(1+$E1023)^0))*'Sensitivity &amp; Scenarios'!$C$18/(1+$C1023)^'Sensitivity &amp; Scenarios'!$C$18+('Sensitivity &amp; Scenarios'!$C$6*(1+$E1023)^2*$G1023+'Sensitivity &amp; Scenarios'!$C$11*'Sensitivity &amp; Scenarios'!$C$6*((1+$E1023)^2-(1+$E1023)^1))/(1+$C1023)^('Sensitivity &amp; Scenarios'!$C$18+1)+('Sensitivity &amp; Scenarios'!$C$6*(1+$E1023)^3*$G1023+'Sensitivity &amp; Scenarios'!$C$11*'Sensitivity &amp; Scenarios'!$C$6*((1+$E1023)^3-(1+$E1023)^2))/(1+$C1023)^('Sensitivity &amp; Scenarios'!$C$18+2)+('Sensitivity &amp; Scenarios'!$C$6*(1+$E1023)^4*$G1023+'Sensitivity &amp; Scenarios'!$C$11*'Sensitivity &amp; Scenarios'!$C$6*((1+$E1023)^4-(1+$E1023)^3))/(1+$C1023)^('Sensitivity &amp; Scenarios'!$C$18+3)+('Sensitivity &amp; Scenarios'!$C$6*(1+$E1023)^5*$G1023+'Sensitivity &amp; Scenarios'!$C$11*'Sensitivity &amp; Scenarios'!$C$6*((1+$E1023)^5-(1+$E1023)^4))/(1+$C1023)^('Sensitivity &amp; Scenarios'!$C$18+4)</f>
        <v>20324.130762498371</v>
      </c>
      <c r="I1023" s="209">
        <f>('Sensitivity &amp; Scenarios'!$C$6*(1+$E1023)^5*$G1023+'Sensitivity &amp; Scenarios'!$C$11*'Sensitivity &amp; Scenarios'!$C$6*((1+$E1023)^5-(1+$E1023)^4))*(1+$D1023)/($C1023-$D1023)/(1+$C1023)^('Sensitivity &amp; Scenarios'!$C$18+4)</f>
        <v>54711.583617310673</v>
      </c>
      <c r="J1023" s="209">
        <f>($H1023+$I1023-'Sensitivity &amp; Scenarios'!$C$15+'Sensitivity &amp; Scenarios'!$C$16)/'Sensitivity &amp; Scenarios'!$C$17</f>
        <v>1865.9711323682479</v>
      </c>
    </row>
    <row r="1024" spans="2:10" x14ac:dyDescent="0.3">
      <c r="B1024" s="127">
        <v>994</v>
      </c>
      <c r="C1024" s="206">
        <f>$D$7+0.234596*$E$7</f>
        <v>0.13989821943997799</v>
      </c>
      <c r="D1024" s="206">
        <f>MIN($D$8+1.700793*$E$8,'Debt &amp; Cost of Capital'!$C$38)</f>
        <v>6.5204758000000002E-2</v>
      </c>
      <c r="E1024" s="207">
        <f>$D$9+-0.668338*$E$9</f>
        <v>0.14717095770254635</v>
      </c>
      <c r="F1024" s="207">
        <f>$D$10+0.296101*$E$10</f>
        <v>0.14855321199999991</v>
      </c>
      <c r="G1024" s="208">
        <f>$F1024*(1-'Sensitivity &amp; Scenarios'!$C$12)+'Sensitivity &amp; Scenarios'!$C$9*'Sensitivity &amp; Scenarios'!$C$12-'Sensitivity &amp; Scenarios'!$C$10</f>
        <v>8.0357786628064642E-2</v>
      </c>
      <c r="H1024" s="209">
        <f>('Sensitivity &amp; Scenarios'!$C$6*(1+$E1024)^1*$G1024+'Sensitivity &amp; Scenarios'!$C$11*'Sensitivity &amp; Scenarios'!$C$6*((1+$E1024)^1-(1+$E1024)^0))*'Sensitivity &amp; Scenarios'!$C$18/(1+$C1024)^'Sensitivity &amp; Scenarios'!$C$18+('Sensitivity &amp; Scenarios'!$C$6*(1+$E1024)^2*$G1024+'Sensitivity &amp; Scenarios'!$C$11*'Sensitivity &amp; Scenarios'!$C$6*((1+$E1024)^2-(1+$E1024)^1))/(1+$C1024)^('Sensitivity &amp; Scenarios'!$C$18+1)+('Sensitivity &amp; Scenarios'!$C$6*(1+$E1024)^3*$G1024+'Sensitivity &amp; Scenarios'!$C$11*'Sensitivity &amp; Scenarios'!$C$6*((1+$E1024)^3-(1+$E1024)^2))/(1+$C1024)^('Sensitivity &amp; Scenarios'!$C$18+2)+('Sensitivity &amp; Scenarios'!$C$6*(1+$E1024)^4*$G1024+'Sensitivity &amp; Scenarios'!$C$11*'Sensitivity &amp; Scenarios'!$C$6*((1+$E1024)^4-(1+$E1024)^3))/(1+$C1024)^('Sensitivity &amp; Scenarios'!$C$18+3)+('Sensitivity &amp; Scenarios'!$C$6*(1+$E1024)^5*$G1024+'Sensitivity &amp; Scenarios'!$C$11*'Sensitivity &amp; Scenarios'!$C$6*((1+$E1024)^5-(1+$E1024)^4))/(1+$C1024)^('Sensitivity &amp; Scenarios'!$C$18+4)</f>
        <v>22148.573435493036</v>
      </c>
      <c r="I1024" s="209">
        <f>('Sensitivity &amp; Scenarios'!$C$6*(1+$E1024)^5*$G1024+'Sensitivity &amp; Scenarios'!$C$11*'Sensitivity &amp; Scenarios'!$C$6*((1+$E1024)^5-(1+$E1024)^4))*(1+$D1024)/($C1024-$D1024)/(1+$C1024)^('Sensitivity &amp; Scenarios'!$C$18+4)</f>
        <v>68978.852530760167</v>
      </c>
      <c r="J1024" s="209">
        <f>($H1024+$I1024-'Sensitivity &amp; Scenarios'!$C$15+'Sensitivity &amp; Scenarios'!$C$16)/'Sensitivity &amp; Scenarios'!$C$17</f>
        <v>2204.6819703083333</v>
      </c>
    </row>
    <row r="1025" spans="2:10" x14ac:dyDescent="0.3">
      <c r="B1025" s="127">
        <v>995</v>
      </c>
      <c r="C1025" s="206">
        <f>$D$7+0.312713*$E$7</f>
        <v>0.14067938943997799</v>
      </c>
      <c r="D1025" s="206">
        <f>MIN($D$8+-0.253838*$E$8,'Debt &amp; Cost of Capital'!$C$38)</f>
        <v>5.3476971999999998E-2</v>
      </c>
      <c r="E1025" s="207">
        <f>$D$9+0.744334*$E$9</f>
        <v>0.18955111770254635</v>
      </c>
      <c r="F1025" s="207">
        <f>$D$10+0.775229*$E$10</f>
        <v>0.15430274799999991</v>
      </c>
      <c r="G1025" s="208">
        <f>$F1025*(1-'Sensitivity &amp; Scenarios'!$C$12)+'Sensitivity &amp; Scenarios'!$C$9*'Sensitivity &amp; Scenarios'!$C$12-'Sensitivity &amp; Scenarios'!$C$10</f>
        <v>8.4660164416864636E-2</v>
      </c>
      <c r="H1025" s="209">
        <f>('Sensitivity &amp; Scenarios'!$C$6*(1+$E1025)^1*$G1025+'Sensitivity &amp; Scenarios'!$C$11*'Sensitivity &amp; Scenarios'!$C$6*((1+$E1025)^1-(1+$E1025)^0))*'Sensitivity &amp; Scenarios'!$C$18/(1+$C1025)^'Sensitivity &amp; Scenarios'!$C$18+('Sensitivity &amp; Scenarios'!$C$6*(1+$E1025)^2*$G1025+'Sensitivity &amp; Scenarios'!$C$11*'Sensitivity &amp; Scenarios'!$C$6*((1+$E1025)^2-(1+$E1025)^1))/(1+$C1025)^('Sensitivity &amp; Scenarios'!$C$18+1)+('Sensitivity &amp; Scenarios'!$C$6*(1+$E1025)^3*$G1025+'Sensitivity &amp; Scenarios'!$C$11*'Sensitivity &amp; Scenarios'!$C$6*((1+$E1025)^3-(1+$E1025)^2))/(1+$C1025)^('Sensitivity &amp; Scenarios'!$C$18+2)+('Sensitivity &amp; Scenarios'!$C$6*(1+$E1025)^4*$G1025+'Sensitivity &amp; Scenarios'!$C$11*'Sensitivity &amp; Scenarios'!$C$6*((1+$E1025)^4-(1+$E1025)^3))/(1+$C1025)^('Sensitivity &amp; Scenarios'!$C$18+3)+('Sensitivity &amp; Scenarios'!$C$6*(1+$E1025)^5*$G1025+'Sensitivity &amp; Scenarios'!$C$11*'Sensitivity &amp; Scenarios'!$C$6*((1+$E1025)^5-(1+$E1025)^4))/(1+$C1025)^('Sensitivity &amp; Scenarios'!$C$18+4)</f>
        <v>26857.305104710267</v>
      </c>
      <c r="I1025" s="209">
        <f>('Sensitivity &amp; Scenarios'!$C$6*(1+$E1025)^5*$G1025+'Sensitivity &amp; Scenarios'!$C$11*'Sensitivity &amp; Scenarios'!$C$6*((1+$E1025)^5-(1+$E1025)^4))*(1+$D1025)/($C1025-$D1025)/(1+$C1025)^('Sensitivity &amp; Scenarios'!$C$18+4)</f>
        <v>75538.263083830083</v>
      </c>
      <c r="J1025" s="209">
        <f>($H1025+$I1025-'Sensitivity &amp; Scenarios'!$C$15+'Sensitivity &amp; Scenarios'!$C$16)/'Sensitivity &amp; Scenarios'!$C$17</f>
        <v>2441.8625755929902</v>
      </c>
    </row>
    <row r="1026" spans="2:10" x14ac:dyDescent="0.3">
      <c r="B1026" s="127">
        <v>996</v>
      </c>
      <c r="C1026" s="206">
        <f>$D$7+0.327411*$E$7</f>
        <v>0.14082636943997798</v>
      </c>
      <c r="D1026" s="206">
        <f>MIN($D$8+-0.25564*$E$8,'Debt &amp; Cost of Capital'!$C$38)</f>
        <v>5.3466159999999999E-2</v>
      </c>
      <c r="E1026" s="207">
        <f>$D$9+-0.35753*$E$9</f>
        <v>0.15649519770254633</v>
      </c>
      <c r="F1026" s="207">
        <f>$D$10+-1.367754*$E$10</f>
        <v>0.12858695199999992</v>
      </c>
      <c r="G1026" s="208">
        <f>$F1026*(1-'Sensitivity &amp; Scenarios'!$C$12)+'Sensitivity &amp; Scenarios'!$C$9*'Sensitivity &amp; Scenarios'!$C$12-'Sensitivity &amp; Scenarios'!$C$10</f>
        <v>6.541703427006465E-2</v>
      </c>
      <c r="H1026" s="209">
        <f>('Sensitivity &amp; Scenarios'!$C$6*(1+$E1026)^1*$G1026+'Sensitivity &amp; Scenarios'!$C$11*'Sensitivity &amp; Scenarios'!$C$6*((1+$E1026)^1-(1+$E1026)^0))*'Sensitivity &amp; Scenarios'!$C$18/(1+$C1026)^'Sensitivity &amp; Scenarios'!$C$18+('Sensitivity &amp; Scenarios'!$C$6*(1+$E1026)^2*$G1026+'Sensitivity &amp; Scenarios'!$C$11*'Sensitivity &amp; Scenarios'!$C$6*((1+$E1026)^2-(1+$E1026)^1))/(1+$C1026)^('Sensitivity &amp; Scenarios'!$C$18+1)+('Sensitivity &amp; Scenarios'!$C$6*(1+$E1026)^3*$G1026+'Sensitivity &amp; Scenarios'!$C$11*'Sensitivity &amp; Scenarios'!$C$6*((1+$E1026)^3-(1+$E1026)^2))/(1+$C1026)^('Sensitivity &amp; Scenarios'!$C$18+2)+('Sensitivity &amp; Scenarios'!$C$6*(1+$E1026)^4*$G1026+'Sensitivity &amp; Scenarios'!$C$11*'Sensitivity &amp; Scenarios'!$C$6*((1+$E1026)^4-(1+$E1026)^3))/(1+$C1026)^('Sensitivity &amp; Scenarios'!$C$18+3)+('Sensitivity &amp; Scenarios'!$C$6*(1+$E1026)^5*$G1026+'Sensitivity &amp; Scenarios'!$C$11*'Sensitivity &amp; Scenarios'!$C$6*((1+$E1026)^5-(1+$E1026)^4))/(1+$C1026)^('Sensitivity &amp; Scenarios'!$C$18+4)</f>
        <v>19273.244336194468</v>
      </c>
      <c r="I1026" s="209">
        <f>('Sensitivity &amp; Scenarios'!$C$6*(1+$E1026)^5*$G1026+'Sensitivity &amp; Scenarios'!$C$11*'Sensitivity &amp; Scenarios'!$C$6*((1+$E1026)^5-(1+$E1026)^4))*(1+$D1026)/($C1026-$D1026)/(1+$C1026)^('Sensitivity &amp; Scenarios'!$C$18+4)</f>
        <v>51433.645365656157</v>
      </c>
      <c r="J1026" s="209">
        <f>($H1026+$I1026-'Sensitivity &amp; Scenarios'!$C$15+'Sensitivity &amp; Scenarios'!$C$16)/'Sensitivity &amp; Scenarios'!$C$17</f>
        <v>1774.8546699527658</v>
      </c>
    </row>
    <row r="1027" spans="2:10" x14ac:dyDescent="0.3">
      <c r="B1027" s="127">
        <v>997</v>
      </c>
      <c r="C1027" s="206">
        <f>$D$7+-0.805918*$E$7</f>
        <v>0.12949307943997798</v>
      </c>
      <c r="D1027" s="206">
        <f>MIN($D$8+-0.622008*$E$8,'Debt &amp; Cost of Capital'!$C$38)</f>
        <v>5.1267951999999999E-2</v>
      </c>
      <c r="E1027" s="207">
        <f>$D$9+-1.123972*$E$9</f>
        <v>0.13350193770254634</v>
      </c>
      <c r="F1027" s="207">
        <f>$D$10+0.439924*$E$10</f>
        <v>0.15027908799999989</v>
      </c>
      <c r="G1027" s="208">
        <f>$F1027*(1-'Sensitivity &amp; Scenarios'!$C$12)+'Sensitivity &amp; Scenarios'!$C$9*'Sensitivity &amp; Scenarios'!$C$12-'Sensitivity &amp; Scenarios'!$C$10</f>
        <v>8.164925963886463E-2</v>
      </c>
      <c r="H1027" s="209">
        <f>('Sensitivity &amp; Scenarios'!$C$6*(1+$E1027)^1*$G1027+'Sensitivity &amp; Scenarios'!$C$11*'Sensitivity &amp; Scenarios'!$C$6*((1+$E1027)^1-(1+$E1027)^0))*'Sensitivity &amp; Scenarios'!$C$18/(1+$C1027)^'Sensitivity &amp; Scenarios'!$C$18+('Sensitivity &amp; Scenarios'!$C$6*(1+$E1027)^2*$G1027+'Sensitivity &amp; Scenarios'!$C$11*'Sensitivity &amp; Scenarios'!$C$6*((1+$E1027)^2-(1+$E1027)^1))/(1+$C1027)^('Sensitivity &amp; Scenarios'!$C$18+1)+('Sensitivity &amp; Scenarios'!$C$6*(1+$E1027)^3*$G1027+'Sensitivity &amp; Scenarios'!$C$11*'Sensitivity &amp; Scenarios'!$C$6*((1+$E1027)^3-(1+$E1027)^2))/(1+$C1027)^('Sensitivity &amp; Scenarios'!$C$18+2)+('Sensitivity &amp; Scenarios'!$C$6*(1+$E1027)^4*$G1027+'Sensitivity &amp; Scenarios'!$C$11*'Sensitivity &amp; Scenarios'!$C$6*((1+$E1027)^4-(1+$E1027)^3))/(1+$C1027)^('Sensitivity &amp; Scenarios'!$C$18+3)+('Sensitivity &amp; Scenarios'!$C$6*(1+$E1027)^5*$G1027+'Sensitivity &amp; Scenarios'!$C$11*'Sensitivity &amp; Scenarios'!$C$6*((1+$E1027)^5-(1+$E1027)^4))/(1+$C1027)^('Sensitivity &amp; Scenarios'!$C$18+4)</f>
        <v>21909.352099893389</v>
      </c>
      <c r="I1027" s="209">
        <f>('Sensitivity &amp; Scenarios'!$C$6*(1+$E1027)^5*$G1027+'Sensitivity &amp; Scenarios'!$C$11*'Sensitivity &amp; Scenarios'!$C$6*((1+$E1027)^5-(1+$E1027)^4))*(1+$D1027)/($C1027-$D1027)/(1+$C1027)^('Sensitivity &amp; Scenarios'!$C$18+4)</f>
        <v>63969.72901218701</v>
      </c>
      <c r="J1027" s="209">
        <f>($H1027+$I1027-'Sensitivity &amp; Scenarios'!$C$15+'Sensitivity &amp; Scenarios'!$C$16)/'Sensitivity &amp; Scenarios'!$C$17</f>
        <v>2094.2107333733557</v>
      </c>
    </row>
    <row r="1028" spans="2:10" x14ac:dyDescent="0.3">
      <c r="B1028" s="127">
        <v>998</v>
      </c>
      <c r="C1028" s="206">
        <f>$D$7+1.196628*$E$7</f>
        <v>0.14951853943997798</v>
      </c>
      <c r="D1028" s="206">
        <f>MIN($D$8+-0.908062*$E$8,'Debt &amp; Cost of Capital'!$C$38)</f>
        <v>4.9551628E-2</v>
      </c>
      <c r="E1028" s="207">
        <f>$D$9+0.283441*$E$9</f>
        <v>0.17572432770254634</v>
      </c>
      <c r="F1028" s="207">
        <f>$D$10+-1.034111*$E$10</f>
        <v>0.13259066799999991</v>
      </c>
      <c r="G1028" s="208">
        <f>$F1028*(1-'Sensitivity &amp; Scenarios'!$C$12)+'Sensitivity &amp; Scenarios'!$C$9*'Sensitivity &amp; Scenarios'!$C$12-'Sensitivity &amp; Scenarios'!$C$10</f>
        <v>6.8413014952864643E-2</v>
      </c>
      <c r="H1028" s="209">
        <f>('Sensitivity &amp; Scenarios'!$C$6*(1+$E1028)^1*$G1028+'Sensitivity &amp; Scenarios'!$C$11*'Sensitivity &amp; Scenarios'!$C$6*((1+$E1028)^1-(1+$E1028)^0))*'Sensitivity &amp; Scenarios'!$C$18/(1+$C1028)^'Sensitivity &amp; Scenarios'!$C$18+('Sensitivity &amp; Scenarios'!$C$6*(1+$E1028)^2*$G1028+'Sensitivity &amp; Scenarios'!$C$11*'Sensitivity &amp; Scenarios'!$C$6*((1+$E1028)^2-(1+$E1028)^1))/(1+$C1028)^('Sensitivity &amp; Scenarios'!$C$18+1)+('Sensitivity &amp; Scenarios'!$C$6*(1+$E1028)^3*$G1028+'Sensitivity &amp; Scenarios'!$C$11*'Sensitivity &amp; Scenarios'!$C$6*((1+$E1028)^3-(1+$E1028)^2))/(1+$C1028)^('Sensitivity &amp; Scenarios'!$C$18+2)+('Sensitivity &amp; Scenarios'!$C$6*(1+$E1028)^4*$G1028+'Sensitivity &amp; Scenarios'!$C$11*'Sensitivity &amp; Scenarios'!$C$6*((1+$E1028)^4-(1+$E1028)^3))/(1+$C1028)^('Sensitivity &amp; Scenarios'!$C$18+3)+('Sensitivity &amp; Scenarios'!$C$6*(1+$E1028)^5*$G1028+'Sensitivity &amp; Scenarios'!$C$11*'Sensitivity &amp; Scenarios'!$C$6*((1+$E1028)^5-(1+$E1028)^4))/(1+$C1028)^('Sensitivity &amp; Scenarios'!$C$18+4)</f>
        <v>21010.87156586631</v>
      </c>
      <c r="I1028" s="209">
        <f>('Sensitivity &amp; Scenarios'!$C$6*(1+$E1028)^5*$G1028+'Sensitivity &amp; Scenarios'!$C$11*'Sensitivity &amp; Scenarios'!$C$6*((1+$E1028)^5-(1+$E1028)^4))*(1+$D1028)/($C1028-$D1028)/(1+$C1028)^('Sensitivity &amp; Scenarios'!$C$18+4)</f>
        <v>49609.883227810227</v>
      </c>
      <c r="J1028" s="209">
        <f>($H1028+$I1028-'Sensitivity &amp; Scenarios'!$C$15+'Sensitivity &amp; Scenarios'!$C$16)/'Sensitivity &amp; Scenarios'!$C$17</f>
        <v>1773.0416355364566</v>
      </c>
    </row>
    <row r="1029" spans="2:10" x14ac:dyDescent="0.3">
      <c r="B1029" s="127">
        <v>999</v>
      </c>
      <c r="C1029" s="206">
        <f>$D$7+-0.304922*$E$7</f>
        <v>0.13450303943997799</v>
      </c>
      <c r="D1029" s="206">
        <f>MIN($D$8+-0.69033*$E$8,'Debt &amp; Cost of Capital'!$C$38)</f>
        <v>5.0858020000000004E-2</v>
      </c>
      <c r="E1029" s="207">
        <f>$D$9+0.601896*$E$9</f>
        <v>0.18527797770254634</v>
      </c>
      <c r="F1029" s="207">
        <f>$D$10+-0.678788*$E$10</f>
        <v>0.13685454399999991</v>
      </c>
      <c r="G1029" s="208">
        <f>$F1029*(1-'Sensitivity &amp; Scenarios'!$C$12)+'Sensitivity &amp; Scenarios'!$C$9*'Sensitivity &amp; Scenarios'!$C$12-'Sensitivity &amp; Scenarios'!$C$10</f>
        <v>7.1603673363664633E-2</v>
      </c>
      <c r="H1029" s="209">
        <f>('Sensitivity &amp; Scenarios'!$C$6*(1+$E1029)^1*$G1029+'Sensitivity &amp; Scenarios'!$C$11*'Sensitivity &amp; Scenarios'!$C$6*((1+$E1029)^1-(1+$E1029)^0))*'Sensitivity &amp; Scenarios'!$C$18/(1+$C1029)^'Sensitivity &amp; Scenarios'!$C$18+('Sensitivity &amp; Scenarios'!$C$6*(1+$E1029)^2*$G1029+'Sensitivity &amp; Scenarios'!$C$11*'Sensitivity &amp; Scenarios'!$C$6*((1+$E1029)^2-(1+$E1029)^1))/(1+$C1029)^('Sensitivity &amp; Scenarios'!$C$18+1)+('Sensitivity &amp; Scenarios'!$C$6*(1+$E1029)^3*$G1029+'Sensitivity &amp; Scenarios'!$C$11*'Sensitivity &amp; Scenarios'!$C$6*((1+$E1029)^3-(1+$E1029)^2))/(1+$C1029)^('Sensitivity &amp; Scenarios'!$C$18+2)+('Sensitivity &amp; Scenarios'!$C$6*(1+$E1029)^4*$G1029+'Sensitivity &amp; Scenarios'!$C$11*'Sensitivity &amp; Scenarios'!$C$6*((1+$E1029)^4-(1+$E1029)^3))/(1+$C1029)^('Sensitivity &amp; Scenarios'!$C$18+3)+('Sensitivity &amp; Scenarios'!$C$6*(1+$E1029)^5*$G1029+'Sensitivity &amp; Scenarios'!$C$11*'Sensitivity &amp; Scenarios'!$C$6*((1+$E1029)^5-(1+$E1029)^4))/(1+$C1029)^('Sensitivity &amp; Scenarios'!$C$18+4)</f>
        <v>23430.076767765961</v>
      </c>
      <c r="I1029" s="209">
        <f>('Sensitivity &amp; Scenarios'!$C$6*(1+$E1029)^5*$G1029+'Sensitivity &amp; Scenarios'!$C$11*'Sensitivity &amp; Scenarios'!$C$6*((1+$E1029)^5-(1+$E1029)^4))*(1+$D1029)/($C1029-$D1029)/(1+$C1029)^('Sensitivity &amp; Scenarios'!$C$18+4)</f>
        <v>68752.435266173241</v>
      </c>
      <c r="J1029" s="209">
        <f>($H1029+$I1029-'Sensitivity &amp; Scenarios'!$C$15+'Sensitivity &amp; Scenarios'!$C$16)/'Sensitivity &amp; Scenarios'!$C$17</f>
        <v>2226.8902409553098</v>
      </c>
    </row>
    <row r="1030" spans="2:10" x14ac:dyDescent="0.3">
      <c r="B1030" s="127">
        <v>1000</v>
      </c>
      <c r="C1030" s="206">
        <f>$D$7+1.01166*$E$7</f>
        <v>0.14766885943997798</v>
      </c>
      <c r="D1030" s="206">
        <f>MIN($D$8+-0.245721*$E$8,'Debt &amp; Cost of Capital'!$C$38)</f>
        <v>5.3525674000000002E-2</v>
      </c>
      <c r="E1030" s="207">
        <f>$D$9+-0.649604*$E$9</f>
        <v>0.14773297770254634</v>
      </c>
      <c r="F1030" s="207">
        <f>$D$10+-1.253305*$E$10</f>
        <v>0.1299603399999999</v>
      </c>
      <c r="G1030" s="208">
        <f>$F1030*(1-'Sensitivity &amp; Scenarios'!$C$12)+'Sensitivity &amp; Scenarios'!$C$9*'Sensitivity &amp; Scenarios'!$C$12-'Sensitivity &amp; Scenarios'!$C$10</f>
        <v>6.6444740510464631E-2</v>
      </c>
      <c r="H1030" s="209">
        <f>('Sensitivity &amp; Scenarios'!$C$6*(1+$E1030)^1*$G1030+'Sensitivity &amp; Scenarios'!$C$11*'Sensitivity &amp; Scenarios'!$C$6*((1+$E1030)^1-(1+$E1030)^0))*'Sensitivity &amp; Scenarios'!$C$18/(1+$C1030)^'Sensitivity &amp; Scenarios'!$C$18+('Sensitivity &amp; Scenarios'!$C$6*(1+$E1030)^2*$G1030+'Sensitivity &amp; Scenarios'!$C$11*'Sensitivity &amp; Scenarios'!$C$6*((1+$E1030)^2-(1+$E1030)^1))/(1+$C1030)^('Sensitivity &amp; Scenarios'!$C$18+1)+('Sensitivity &amp; Scenarios'!$C$6*(1+$E1030)^3*$G1030+'Sensitivity &amp; Scenarios'!$C$11*'Sensitivity &amp; Scenarios'!$C$6*((1+$E1030)^3-(1+$E1030)^2))/(1+$C1030)^('Sensitivity &amp; Scenarios'!$C$18+2)+('Sensitivity &amp; Scenarios'!$C$6*(1+$E1030)^4*$G1030+'Sensitivity &amp; Scenarios'!$C$11*'Sensitivity &amp; Scenarios'!$C$6*((1+$E1030)^4-(1+$E1030)^3))/(1+$C1030)^('Sensitivity &amp; Scenarios'!$C$18+3)+('Sensitivity &amp; Scenarios'!$C$6*(1+$E1030)^5*$G1030+'Sensitivity &amp; Scenarios'!$C$11*'Sensitivity &amp; Scenarios'!$C$6*((1+$E1030)^5-(1+$E1030)^4))/(1+$C1030)^('Sensitivity &amp; Scenarios'!$C$18+4)</f>
        <v>18570.673792679518</v>
      </c>
      <c r="I1030" s="209">
        <f>('Sensitivity &amp; Scenarios'!$C$6*(1+$E1030)^5*$G1030+'Sensitivity &amp; Scenarios'!$C$11*'Sensitivity &amp; Scenarios'!$C$6*((1+$E1030)^5-(1+$E1030)^4))*(1+$D1030)/($C1030-$D1030)/(1+$C1030)^('Sensitivity &amp; Scenarios'!$C$18+4)</f>
        <v>44861.917410349706</v>
      </c>
      <c r="J1030" s="209">
        <f>($H1030+$I1030-'Sensitivity &amp; Scenarios'!$C$15+'Sensitivity &amp; Scenarios'!$C$16)/'Sensitivity &amp; Scenarios'!$C$17</f>
        <v>1621.7395878978707</v>
      </c>
    </row>
  </sheetData>
  <mergeCells count="4">
    <mergeCell ref="B1:J1"/>
    <mergeCell ref="B5:J5"/>
    <mergeCell ref="B16:J16"/>
    <mergeCell ref="B28:J28"/>
  </mergeCells>
  <printOptions horizontalCentered="1"/>
  <pageMargins left="0.75" right="0.75" top="1" bottom="1" header="0.511811023622047" footer="0.511811023622047"/>
  <pageSetup orientation="landscape"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13A44"/>
  </sheetPr>
  <dimension ref="B1:I76"/>
  <sheetViews>
    <sheetView showGridLines="0" zoomScale="90" zoomScaleNormal="90" workbookViewId="0">
      <pane xSplit="2" ySplit="6" topLeftCell="C7" activePane="bottomRight" state="frozen"/>
      <selection pane="topRight" activeCell="C1" sqref="C1"/>
      <selection pane="bottomLeft" activeCell="A7" sqref="A7"/>
      <selection pane="bottomRight"/>
    </sheetView>
  </sheetViews>
  <sheetFormatPr defaultColWidth="8.6640625" defaultRowHeight="14.4" x14ac:dyDescent="0.3"/>
  <cols>
    <col min="1" max="1" width="2" customWidth="1"/>
    <col min="2" max="2" width="56" customWidth="1"/>
    <col min="3" max="7" width="13" customWidth="1"/>
    <col min="8" max="9" width="2" customWidth="1"/>
  </cols>
  <sheetData>
    <row r="1" spans="2:9" ht="24" customHeight="1" x14ac:dyDescent="0.3">
      <c r="B1" s="5" t="s">
        <v>0</v>
      </c>
      <c r="C1" s="5"/>
      <c r="D1" s="5"/>
      <c r="E1" s="5"/>
      <c r="F1" s="5"/>
      <c r="G1" s="5"/>
      <c r="H1" s="5"/>
      <c r="I1" s="5"/>
    </row>
    <row r="2" spans="2:9" ht="15" customHeight="1" x14ac:dyDescent="0.3">
      <c r="B2" s="26" t="s">
        <v>72</v>
      </c>
    </row>
    <row r="3" spans="2:9" ht="13.5" customHeight="1" x14ac:dyDescent="0.3">
      <c r="B3" s="27" t="s">
        <v>976</v>
      </c>
    </row>
    <row r="6" spans="2:9" x14ac:dyDescent="0.3">
      <c r="C6" s="45" t="s">
        <v>212</v>
      </c>
      <c r="D6" s="45" t="s">
        <v>213</v>
      </c>
      <c r="E6" s="45" t="s">
        <v>214</v>
      </c>
      <c r="F6" s="45" t="s">
        <v>215</v>
      </c>
      <c r="G6" s="45" t="s">
        <v>216</v>
      </c>
    </row>
    <row r="8" spans="2:9" ht="16.5" customHeight="1" x14ac:dyDescent="0.3">
      <c r="B8" s="10" t="s">
        <v>977</v>
      </c>
      <c r="C8" s="10"/>
      <c r="D8" s="10"/>
      <c r="E8" s="10"/>
      <c r="F8" s="10"/>
      <c r="G8" s="10"/>
      <c r="H8" s="10"/>
      <c r="I8" s="10"/>
    </row>
    <row r="9" spans="2:9" ht="25.5" customHeight="1" x14ac:dyDescent="0.3">
      <c r="B9" s="28"/>
      <c r="E9" s="28" t="s">
        <v>978</v>
      </c>
      <c r="F9" s="28" t="s">
        <v>979</v>
      </c>
      <c r="I9" s="56"/>
    </row>
    <row r="10" spans="2:9" x14ac:dyDescent="0.3">
      <c r="B10" s="187" t="s">
        <v>980</v>
      </c>
      <c r="C10" s="60"/>
      <c r="D10" s="60"/>
      <c r="E10" s="211">
        <f>G25</f>
        <v>10.439768870840373</v>
      </c>
      <c r="F10" s="212" t="str">
        <f>G26</f>
        <v>Safe Zone</v>
      </c>
      <c r="G10" s="60"/>
      <c r="H10" s="60"/>
      <c r="I10" s="61"/>
    </row>
    <row r="11" spans="2:9" x14ac:dyDescent="0.3">
      <c r="B11" s="44" t="s">
        <v>981</v>
      </c>
      <c r="E11" s="141">
        <f>G41</f>
        <v>8</v>
      </c>
      <c r="F11" s="162" t="str">
        <f>G42</f>
        <v>Strong</v>
      </c>
      <c r="I11" s="52"/>
    </row>
    <row r="12" spans="2:9" x14ac:dyDescent="0.3">
      <c r="B12" s="187" t="s">
        <v>982</v>
      </c>
      <c r="C12" s="60"/>
      <c r="D12" s="60"/>
      <c r="E12" s="213">
        <f>G54</f>
        <v>-2.4360698260456486</v>
      </c>
      <c r="F12" s="212" t="str">
        <f>G55</f>
        <v>Unlikely</v>
      </c>
      <c r="G12" s="60"/>
      <c r="H12" s="60"/>
      <c r="I12" s="61"/>
    </row>
    <row r="13" spans="2:9" x14ac:dyDescent="0.3">
      <c r="B13" s="44" t="s">
        <v>983</v>
      </c>
      <c r="E13" s="141">
        <f>G64</f>
        <v>3</v>
      </c>
      <c r="F13" s="162" t="str">
        <f>G65</f>
        <v>Watch</v>
      </c>
      <c r="I13" s="52"/>
    </row>
    <row r="14" spans="2:9" x14ac:dyDescent="0.3">
      <c r="B14" s="187" t="s">
        <v>984</v>
      </c>
      <c r="C14" s="60"/>
      <c r="D14" s="60"/>
      <c r="E14" s="214">
        <f>G72</f>
        <v>-9.226677131706891E-2</v>
      </c>
      <c r="F14" s="212" t="str">
        <f>G73</f>
        <v>High Quality</v>
      </c>
      <c r="G14" s="60"/>
      <c r="H14" s="60"/>
      <c r="I14" s="61"/>
    </row>
    <row r="17" spans="2:9" ht="16.5" customHeight="1" x14ac:dyDescent="0.3">
      <c r="B17" s="10" t="s">
        <v>985</v>
      </c>
      <c r="C17" s="10"/>
      <c r="D17" s="10"/>
      <c r="E17" s="10"/>
      <c r="F17" s="10"/>
      <c r="G17" s="10"/>
      <c r="H17" s="10"/>
      <c r="I17" s="10"/>
    </row>
    <row r="18" spans="2:9" ht="12.75" customHeight="1" x14ac:dyDescent="0.3">
      <c r="B18" s="74"/>
    </row>
    <row r="20" spans="2:9" x14ac:dyDescent="0.3">
      <c r="B20" s="13" t="s">
        <v>986</v>
      </c>
      <c r="C20" s="159">
        <f>('Balance Sheet'!C30-'Balance Sheet'!C16)/'Balance Sheet'!C32</f>
        <v>-0.13972441606452696</v>
      </c>
      <c r="D20" s="159">
        <f>('Balance Sheet'!D30-'Balance Sheet'!D16)/'Balance Sheet'!D32</f>
        <v>-8.547130708211248E-2</v>
      </c>
      <c r="E20" s="159">
        <f>('Balance Sheet'!E30-'Balance Sheet'!E16)/'Balance Sheet'!E32</f>
        <v>-0.12445523596065247</v>
      </c>
      <c r="F20" s="159">
        <f>('Balance Sheet'!F30-'Balance Sheet'!F16)/'Balance Sheet'!F32</f>
        <v>-0.14385243847426193</v>
      </c>
      <c r="G20" s="159">
        <f>('Balance Sheet'!G30-'Balance Sheet'!G16)/'Balance Sheet'!G32</f>
        <v>-0.13501311930853527</v>
      </c>
    </row>
    <row r="21" spans="2:9" x14ac:dyDescent="0.3">
      <c r="B21" s="13" t="s">
        <v>987</v>
      </c>
      <c r="C21" s="159">
        <f>'Balance Sheet'!C9/'Balance Sheet'!C32</f>
        <v>0.40119307679381616</v>
      </c>
      <c r="D21" s="159">
        <f>'Balance Sheet'!D9/'Balance Sheet'!D32</f>
        <v>0.42878582148216965</v>
      </c>
      <c r="E21" s="159">
        <f>'Balance Sheet'!E9/'Balance Sheet'!E32</f>
        <v>0.4783962146681609</v>
      </c>
      <c r="F21" s="159">
        <f>'Balance Sheet'!F9/'Balance Sheet'!F32</f>
        <v>0.49370958849180491</v>
      </c>
      <c r="G21" s="159">
        <f>'Balance Sheet'!G9/'Balance Sheet'!G32</f>
        <v>0.43166383701188454</v>
      </c>
    </row>
    <row r="22" spans="2:9" x14ac:dyDescent="0.3">
      <c r="B22" s="13" t="s">
        <v>988</v>
      </c>
      <c r="C22" s="159">
        <f>'Income Statement'!E22/'Balance Sheet'!C32</f>
        <v>0.11351033439758024</v>
      </c>
      <c r="D22" s="159">
        <f>'Income Statement'!H22/'Balance Sheet'!D32</f>
        <v>0.14607303651825912</v>
      </c>
      <c r="E22" s="159">
        <f>'Income Statement'!K22/'Balance Sheet'!E32</f>
        <v>0.17513385630681111</v>
      </c>
      <c r="F22" s="159">
        <f>'Income Statement'!N22/'Balance Sheet'!F32</f>
        <v>0.18620620520274672</v>
      </c>
      <c r="G22" s="159">
        <f>'Income Statement'!Q22/'Balance Sheet'!G32</f>
        <v>0.19979935175181354</v>
      </c>
    </row>
    <row r="23" spans="2:9" x14ac:dyDescent="0.3">
      <c r="B23" s="13" t="s">
        <v>989</v>
      </c>
      <c r="C23" s="159">
        <f>'Income Statement'!E48/('Balance Sheet'!C13+'Balance Sheet'!C16)</f>
        <v>4.4415703149272696</v>
      </c>
      <c r="D23" s="159">
        <f>'Income Statement'!H48/('Balance Sheet'!D13+'Balance Sheet'!D16)</f>
        <v>6.3452581445115808</v>
      </c>
      <c r="E23" s="159">
        <f>'Income Statement'!K48/('Balance Sheet'!E13+'Balance Sheet'!E16)</f>
        <v>11.694712397983677</v>
      </c>
      <c r="F23" s="159">
        <f>'Income Statement'!N48/('Balance Sheet'!F13+'Balance Sheet'!F16)</f>
        <v>11.222713596578476</v>
      </c>
      <c r="G23" s="159">
        <f>'Income Statement'!Q48/('Balance Sheet'!G13+'Balance Sheet'!G16)</f>
        <v>12.523579388325045</v>
      </c>
    </row>
    <row r="24" spans="2:9" x14ac:dyDescent="0.3">
      <c r="B24" s="13" t="s">
        <v>990</v>
      </c>
      <c r="C24" s="159">
        <f>'Income Statement'!E7/'Balance Sheet'!C32</f>
        <v>1.7468492690304152</v>
      </c>
      <c r="D24" s="159">
        <f>'Income Statement'!H7/'Balance Sheet'!D32</f>
        <v>1.8850853998427786</v>
      </c>
      <c r="E24" s="159">
        <f>'Income Statement'!K7/'Balance Sheet'!E32</f>
        <v>1.9783339559208069</v>
      </c>
      <c r="F24" s="159">
        <f>'Income Statement'!N7/'Balance Sheet'!F32</f>
        <v>1.8170016540524285</v>
      </c>
      <c r="G24" s="159">
        <f>'Income Statement'!Q7/'Balance Sheet'!G32</f>
        <v>1.8239697484179658</v>
      </c>
    </row>
    <row r="25" spans="2:9" x14ac:dyDescent="0.3">
      <c r="B25" s="36" t="s">
        <v>991</v>
      </c>
      <c r="C25" s="215">
        <f>1.2*C20+1.4*C21+3.3*C22+0.6*C23+1*C24</f>
        <v>5.1803765697327018</v>
      </c>
      <c r="D25" s="215">
        <f>1.2*D20+1.4*D21+3.3*D22+0.6*D23+1*D24</f>
        <v>6.6720158886364844</v>
      </c>
      <c r="E25" s="215">
        <f>1.2*E20+1.4*E21+3.3*E22+0.6*E23+1*E24</f>
        <v>10.093511537906132</v>
      </c>
      <c r="F25" s="215">
        <f>1.2*F20+1.4*F21+3.3*F22+0.6*F23+1*F24</f>
        <v>9.6836807868879902</v>
      </c>
      <c r="G25" s="215">
        <f>1.2*G20+1.4*G21+3.3*G22+0.6*G23+1*G24</f>
        <v>10.439768870840373</v>
      </c>
    </row>
    <row r="26" spans="2:9" x14ac:dyDescent="0.3">
      <c r="B26" s="52" t="s">
        <v>992</v>
      </c>
      <c r="C26" s="216" t="str">
        <f>IF(C25&gt;2.99,"Safe Zone",IF(C25&gt;=1.81,"Grey Zone","Distress"))</f>
        <v>Safe Zone</v>
      </c>
      <c r="D26" s="216" t="str">
        <f>IF(D25&gt;2.99,"Safe Zone",IF(D25&gt;=1.81,"Grey Zone","Distress"))</f>
        <v>Safe Zone</v>
      </c>
      <c r="E26" s="216" t="str">
        <f>IF(E25&gt;2.99,"Safe Zone",IF(E25&gt;=1.81,"Grey Zone","Distress"))</f>
        <v>Safe Zone</v>
      </c>
      <c r="F26" s="216" t="str">
        <f>IF(F25&gt;2.99,"Safe Zone",IF(F25&gt;=1.81,"Grey Zone","Distress"))</f>
        <v>Safe Zone</v>
      </c>
      <c r="G26" s="216" t="str">
        <f>IF(G25&gt;2.99,"Safe Zone",IF(G25&gt;=1.81,"Grey Zone","Distress"))</f>
        <v>Safe Zone</v>
      </c>
    </row>
    <row r="28" spans="2:9" ht="16.5" customHeight="1" x14ac:dyDescent="0.3">
      <c r="B28" s="10" t="s">
        <v>993</v>
      </c>
      <c r="C28" s="10"/>
      <c r="D28" s="10"/>
      <c r="E28" s="10"/>
      <c r="F28" s="10"/>
      <c r="G28" s="10"/>
      <c r="H28" s="10"/>
      <c r="I28" s="10"/>
    </row>
    <row r="29" spans="2:9" x14ac:dyDescent="0.3">
      <c r="B29" s="22" t="s">
        <v>994</v>
      </c>
    </row>
    <row r="30" spans="2:9" x14ac:dyDescent="0.3">
      <c r="B30" s="190" t="s">
        <v>995</v>
      </c>
      <c r="D30" s="129">
        <f>IF('Income Statement'!H36&gt;0,1,0)</f>
        <v>1</v>
      </c>
      <c r="E30" s="129">
        <f>IF('Income Statement'!K36&gt;0,1,0)</f>
        <v>1</v>
      </c>
      <c r="F30" s="129">
        <f>IF('Income Statement'!N36&gt;0,1,0)</f>
        <v>1</v>
      </c>
      <c r="G30" s="129">
        <f>IF('Income Statement'!Q36&gt;0,1,0)</f>
        <v>1</v>
      </c>
    </row>
    <row r="31" spans="2:9" x14ac:dyDescent="0.3">
      <c r="B31" s="190" t="s">
        <v>996</v>
      </c>
      <c r="D31" s="129">
        <f>IF('Cash Flows'!D16&gt;0,1,0)</f>
        <v>1</v>
      </c>
      <c r="E31" s="129">
        <f>IF('Cash Flows'!E16&gt;0,1,0)</f>
        <v>1</v>
      </c>
      <c r="F31" s="129">
        <f>IF('Cash Flows'!F16&gt;0,1,0)</f>
        <v>1</v>
      </c>
      <c r="G31" s="129">
        <f>IF('Cash Flows'!G16&gt;0,1,0)</f>
        <v>1</v>
      </c>
    </row>
    <row r="32" spans="2:9" x14ac:dyDescent="0.3">
      <c r="B32" s="190" t="s">
        <v>997</v>
      </c>
      <c r="D32" s="129">
        <f>IF('Income Statement'!H36/'Balance Sheet'!D32&gt;'Income Statement'!E36/'Balance Sheet'!C32,1,0)</f>
        <v>1</v>
      </c>
      <c r="E32" s="129">
        <f>IF('Income Statement'!K36/'Balance Sheet'!E32&gt;'Income Statement'!H36/'Balance Sheet'!D32,1,0)</f>
        <v>1</v>
      </c>
      <c r="F32" s="129">
        <f>IF('Income Statement'!N36/'Balance Sheet'!F32&gt;'Income Statement'!K36/'Balance Sheet'!E32,1,0)</f>
        <v>1</v>
      </c>
      <c r="G32" s="129">
        <f>IF('Income Statement'!Q36/'Balance Sheet'!G32&gt;'Income Statement'!N36/'Balance Sheet'!F32,1,0)</f>
        <v>1</v>
      </c>
    </row>
    <row r="33" spans="2:9" x14ac:dyDescent="0.3">
      <c r="B33" s="190" t="s">
        <v>998</v>
      </c>
      <c r="D33" s="129">
        <f>IF('Cash Flows'!D16&gt;'Income Statement'!H36,1,0)</f>
        <v>1</v>
      </c>
      <c r="E33" s="129">
        <f>IF('Cash Flows'!E16&gt;'Income Statement'!K36,1,0)</f>
        <v>1</v>
      </c>
      <c r="F33" s="129">
        <f>IF('Cash Flows'!F16&gt;'Income Statement'!N36,1,0)</f>
        <v>1</v>
      </c>
      <c r="G33" s="129">
        <f>IF('Cash Flows'!G16&gt;'Income Statement'!Q36,1,0)</f>
        <v>1</v>
      </c>
    </row>
    <row r="34" spans="2:9" x14ac:dyDescent="0.3">
      <c r="B34" s="22" t="s">
        <v>999</v>
      </c>
    </row>
    <row r="35" spans="2:9" x14ac:dyDescent="0.3">
      <c r="B35" s="190" t="s">
        <v>1000</v>
      </c>
      <c r="D35" s="129">
        <f>IF('Balance Sheet'!D13/'Balance Sheet'!D32&lt;'Balance Sheet'!C13/'Balance Sheet'!C32,1,0)</f>
        <v>0</v>
      </c>
      <c r="E35" s="129">
        <f>IF('Balance Sheet'!E13/'Balance Sheet'!E32&lt;'Balance Sheet'!D13/'Balance Sheet'!D32,1,0)</f>
        <v>1</v>
      </c>
      <c r="F35" s="129">
        <f>IF('Balance Sheet'!F13/'Balance Sheet'!F32&lt;'Balance Sheet'!E13/'Balance Sheet'!E32,1,0)</f>
        <v>1</v>
      </c>
      <c r="G35" s="129">
        <f>IF('Balance Sheet'!G13/'Balance Sheet'!G32&lt;'Balance Sheet'!F13/'Balance Sheet'!F32,1,0)</f>
        <v>0</v>
      </c>
    </row>
    <row r="36" spans="2:9" x14ac:dyDescent="0.3">
      <c r="B36" s="190" t="s">
        <v>1001</v>
      </c>
      <c r="D36" s="129">
        <f>IF('Balance Sheet'!D30/'Balance Sheet'!D16&gt;'Balance Sheet'!C30/'Balance Sheet'!C16,1,0)</f>
        <v>1</v>
      </c>
      <c r="E36" s="129">
        <f>IF('Balance Sheet'!E30/'Balance Sheet'!E16&gt;'Balance Sheet'!D30/'Balance Sheet'!D16,1,0)</f>
        <v>0</v>
      </c>
      <c r="F36" s="129">
        <f>IF('Balance Sheet'!F30/'Balance Sheet'!F16&gt;'Balance Sheet'!E30/'Balance Sheet'!E16,1,0)</f>
        <v>0</v>
      </c>
      <c r="G36" s="129">
        <f>IF('Balance Sheet'!G30/'Balance Sheet'!G16&gt;'Balance Sheet'!F30/'Balance Sheet'!F16,1,0)</f>
        <v>1</v>
      </c>
    </row>
    <row r="37" spans="2:9" x14ac:dyDescent="0.3">
      <c r="B37" s="190" t="s">
        <v>1002</v>
      </c>
      <c r="D37" s="129">
        <f>IF('Balance Sheet'!D8&lt;='Balance Sheet'!C8,1,0)</f>
        <v>1</v>
      </c>
      <c r="E37" s="129">
        <f>IF('Balance Sheet'!E8&lt;='Balance Sheet'!D8,1,0)</f>
        <v>1</v>
      </c>
      <c r="F37" s="129">
        <f>IF('Balance Sheet'!F8&lt;='Balance Sheet'!E8,1,0)</f>
        <v>1</v>
      </c>
      <c r="G37" s="129">
        <f>IF('Balance Sheet'!G8&lt;='Balance Sheet'!F8,1,0)</f>
        <v>1</v>
      </c>
    </row>
    <row r="38" spans="2:9" x14ac:dyDescent="0.3">
      <c r="B38" s="22" t="s">
        <v>1003</v>
      </c>
    </row>
    <row r="39" spans="2:9" x14ac:dyDescent="0.3">
      <c r="B39" s="190" t="s">
        <v>1004</v>
      </c>
      <c r="D39" s="129">
        <f>IF(('Income Statement'!H7-'Income Statement'!H10)/'Income Statement'!H7&gt;('Income Statement'!E7-'Income Statement'!E10)/'Income Statement'!E7,1,0)</f>
        <v>1</v>
      </c>
      <c r="E39" s="129">
        <f>IF(('Income Statement'!K7-'Income Statement'!K10)/'Income Statement'!K7&gt;('Income Statement'!H7-'Income Statement'!H10)/'Income Statement'!H7,1,0)</f>
        <v>1</v>
      </c>
      <c r="F39" s="129">
        <f>IF(('Income Statement'!N7-'Income Statement'!N10)/'Income Statement'!N7&gt;('Income Statement'!K7-'Income Statement'!K10)/'Income Statement'!K7,1,0)</f>
        <v>1</v>
      </c>
      <c r="G39" s="129">
        <f>IF(('Income Statement'!Q7-'Income Statement'!Q10)/'Income Statement'!Q7&gt;('Income Statement'!N7-'Income Statement'!N10)/'Income Statement'!N7,1,0)</f>
        <v>1</v>
      </c>
    </row>
    <row r="40" spans="2:9" x14ac:dyDescent="0.3">
      <c r="B40" s="190" t="s">
        <v>1005</v>
      </c>
      <c r="D40" s="129">
        <f>IF('Income Statement'!H7/'Balance Sheet'!D32&gt;'Income Statement'!E7/'Balance Sheet'!C32,1,0)</f>
        <v>1</v>
      </c>
      <c r="E40" s="129">
        <f>IF('Income Statement'!K7/'Balance Sheet'!E32&gt;'Income Statement'!H7/'Balance Sheet'!D32,1,0)</f>
        <v>1</v>
      </c>
      <c r="F40" s="129">
        <f>IF('Income Statement'!N7/'Balance Sheet'!F32&gt;'Income Statement'!K7/'Balance Sheet'!E32,1,0)</f>
        <v>0</v>
      </c>
      <c r="G40" s="129">
        <f>IF('Income Statement'!Q7/'Balance Sheet'!G32&gt;'Income Statement'!N7/'Balance Sheet'!F32,1,0)</f>
        <v>1</v>
      </c>
    </row>
    <row r="41" spans="2:9" x14ac:dyDescent="0.3">
      <c r="B41" s="36" t="s">
        <v>1006</v>
      </c>
      <c r="C41" s="196"/>
      <c r="D41" s="217">
        <f>SUM(D30:D33)+SUM(D35:D37)+SUM(D39:D40)</f>
        <v>8</v>
      </c>
      <c r="E41" s="217">
        <f>SUM(E30:E33)+SUM(E35:E37)+SUM(E39:E40)</f>
        <v>8</v>
      </c>
      <c r="F41" s="217">
        <f>SUM(F30:F33)+SUM(F35:F37)+SUM(F39:F40)</f>
        <v>7</v>
      </c>
      <c r="G41" s="217">
        <f>SUM(G30:G33)+SUM(G35:G37)+SUM(G39:G40)</f>
        <v>8</v>
      </c>
    </row>
    <row r="42" spans="2:9" x14ac:dyDescent="0.3">
      <c r="B42" s="52" t="s">
        <v>1007</v>
      </c>
      <c r="D42" s="216" t="str">
        <f>IF(D41&gt;=8,"Strong",IF(D41&gt;=4,"Average","Weak"))</f>
        <v>Strong</v>
      </c>
      <c r="E42" s="216" t="str">
        <f>IF(E41&gt;=8,"Strong",IF(E41&gt;=4,"Average","Weak"))</f>
        <v>Strong</v>
      </c>
      <c r="F42" s="216" t="str">
        <f>IF(F41&gt;=8,"Strong",IF(F41&gt;=4,"Average","Weak"))</f>
        <v>Average</v>
      </c>
      <c r="G42" s="216" t="str">
        <f>IF(G41&gt;=8,"Strong",IF(G41&gt;=4,"Average","Weak"))</f>
        <v>Strong</v>
      </c>
    </row>
    <row r="44" spans="2:9" ht="16.5" customHeight="1" x14ac:dyDescent="0.3">
      <c r="B44" s="10" t="s">
        <v>1008</v>
      </c>
      <c r="C44" s="10"/>
      <c r="D44" s="10"/>
      <c r="E44" s="10"/>
      <c r="F44" s="10"/>
      <c r="G44" s="10"/>
      <c r="H44" s="10"/>
      <c r="I44" s="10"/>
    </row>
    <row r="45" spans="2:9" ht="12.75" customHeight="1" x14ac:dyDescent="0.3">
      <c r="B45" s="74"/>
    </row>
    <row r="46" spans="2:9" x14ac:dyDescent="0.3">
      <c r="B46" s="13" t="s">
        <v>1009</v>
      </c>
      <c r="D46" s="159">
        <f>('Balance Sheet'!D28/'Income Statement'!H7)/('Balance Sheet'!C28/'Income Statement'!E7)</f>
        <v>0.82352941176470584</v>
      </c>
      <c r="E46" s="159">
        <f>('Balance Sheet'!E28/'Income Statement'!K7)/('Balance Sheet'!D28/'Income Statement'!H7)</f>
        <v>1.0714285714285714</v>
      </c>
      <c r="F46" s="159">
        <f>('Balance Sheet'!F28/'Income Statement'!N7)/('Balance Sheet'!E28/'Income Statement'!K7)</f>
        <v>0.8666666666666667</v>
      </c>
      <c r="G46" s="159">
        <f>('Balance Sheet'!G28/'Income Statement'!Q7)/('Balance Sheet'!F28/'Income Statement'!N7)</f>
        <v>1.2307692307692311</v>
      </c>
    </row>
    <row r="47" spans="2:9" x14ac:dyDescent="0.3">
      <c r="B47" s="13" t="s">
        <v>1010</v>
      </c>
      <c r="D47" s="159">
        <f>(('Income Statement'!E7-'Income Statement'!E10)/'Income Statement'!E7)/(('Income Statement'!H7-'Income Statement'!H10)/'Income Statement'!H7)</f>
        <v>0.98086384849850417</v>
      </c>
      <c r="E47" s="159">
        <f>(('Income Statement'!H7-'Income Statement'!H10)/'Income Statement'!H7)/(('Income Statement'!K7-'Income Statement'!K10)/'Income Statement'!K7)</f>
        <v>0.9594034027099595</v>
      </c>
      <c r="F47" s="159">
        <f>(('Income Statement'!K7-'Income Statement'!K10)/'Income Statement'!K7)/(('Income Statement'!N7-'Income Statement'!N10)/'Income Statement'!N7)</f>
        <v>0.96433526204487663</v>
      </c>
      <c r="G47" s="159">
        <f>(('Income Statement'!N7-'Income Statement'!N10)/'Income Statement'!N7)/(('Income Statement'!Q7-'Income Statement'!Q10)/'Income Statement'!Q7)</f>
        <v>0.9894585891344061</v>
      </c>
    </row>
    <row r="48" spans="2:9" x14ac:dyDescent="0.3">
      <c r="B48" s="13" t="s">
        <v>1011</v>
      </c>
      <c r="D48" s="159">
        <f>(1-('Balance Sheet'!D30+'Balance Sheet'!D20)/'Balance Sheet'!D32)/(1-('Balance Sheet'!C30+'Balance Sheet'!C20)/'Balance Sheet'!C32)</f>
        <v>1.0445109158247827</v>
      </c>
      <c r="E48" s="159">
        <f>(1-('Balance Sheet'!E30+'Balance Sheet'!E20)/'Balance Sheet'!E32)/(1-('Balance Sheet'!D30+'Balance Sheet'!D20)/'Balance Sheet'!D32)</f>
        <v>1.0932619563229244</v>
      </c>
      <c r="F48" s="159">
        <f>(1-('Balance Sheet'!F30+'Balance Sheet'!F20)/'Balance Sheet'!F32)/(1-('Balance Sheet'!E30+'Balance Sheet'!E20)/'Balance Sheet'!E32)</f>
        <v>1.0572356255909923</v>
      </c>
      <c r="G48" s="159">
        <f>(1-('Balance Sheet'!G30+'Balance Sheet'!G20)/'Balance Sheet'!G32)/(1-('Balance Sheet'!F30+'Balance Sheet'!F20)/'Balance Sheet'!F32)</f>
        <v>0.96262467141634789</v>
      </c>
    </row>
    <row r="49" spans="2:9" x14ac:dyDescent="0.3">
      <c r="B49" s="13" t="s">
        <v>1012</v>
      </c>
      <c r="D49" s="159">
        <f>'Income Statement'!H7/'Income Statement'!E7</f>
        <v>1.2687220431917656</v>
      </c>
      <c r="E49" s="159">
        <f>'Income Statement'!K7/'Income Statement'!H7</f>
        <v>1.2046402304951096</v>
      </c>
      <c r="F49" s="159">
        <f>'Income Statement'!N7/'Income Statement'!K7</f>
        <v>1.140829556898288</v>
      </c>
      <c r="G49" s="159">
        <f>'Income Statement'!Q7/'Income Statement'!N7</f>
        <v>1.3039640285785219</v>
      </c>
    </row>
    <row r="50" spans="2:9" x14ac:dyDescent="0.3">
      <c r="B50" s="13" t="s">
        <v>1013</v>
      </c>
      <c r="D50" s="159">
        <f>('Income Statement'!E21/('Income Statement'!E21+'Balance Sheet'!C20))/('Income Statement'!H21/('Income Statement'!H21+'Balance Sheet'!D20))</f>
        <v>1.0446713085770174</v>
      </c>
      <c r="E50" s="159">
        <f>('Income Statement'!H21/('Income Statement'!H21+'Balance Sheet'!D20))/('Income Statement'!K21/('Income Statement'!K21+'Balance Sheet'!E20))</f>
        <v>0.95367602825374298</v>
      </c>
      <c r="F50" s="159">
        <f>('Income Statement'!K21/('Income Statement'!K21+'Balance Sheet'!E20))/('Income Statement'!N21/('Income Statement'!N21+'Balance Sheet'!F20))</f>
        <v>1.0777099097892531</v>
      </c>
      <c r="G50" s="159">
        <f>('Income Statement'!N21/('Income Statement'!N21+'Balance Sheet'!F20))/('Income Statement'!Q21/('Income Statement'!Q21+'Balance Sheet'!G20))</f>
        <v>1.0254039201318923</v>
      </c>
    </row>
    <row r="51" spans="2:9" x14ac:dyDescent="0.3">
      <c r="B51" s="13" t="s">
        <v>1014</v>
      </c>
      <c r="D51" s="159">
        <f>('Income Statement'!H14/'Income Statement'!H7)/('Income Statement'!E14/'Income Statement'!E7)</f>
        <v>1.0090665142766511</v>
      </c>
      <c r="E51" s="159">
        <f>('Income Statement'!K14/'Income Statement'!K7)/('Income Statement'!H14/'Income Statement'!H7)</f>
        <v>1.0179038315794751</v>
      </c>
      <c r="F51" s="159">
        <f>('Income Statement'!N14/'Income Statement'!N7)/('Income Statement'!K14/'Income Statement'!K7)</f>
        <v>0.96656556669357963</v>
      </c>
      <c r="G51" s="159">
        <f>('Income Statement'!Q14/'Income Statement'!Q7)/('Income Statement'!N14/'Income Statement'!N7)</f>
        <v>0.995050052292072</v>
      </c>
    </row>
    <row r="52" spans="2:9" x14ac:dyDescent="0.3">
      <c r="B52" s="13" t="s">
        <v>1015</v>
      </c>
      <c r="D52" s="159">
        <f>(('Balance Sheet'!D13+'Balance Sheet'!D16)/'Balance Sheet'!D32)/(('Balance Sheet'!C13+'Balance Sheet'!C16)/'Balance Sheet'!C32)</f>
        <v>0.9542315087981581</v>
      </c>
      <c r="E52" s="159">
        <f>(('Balance Sheet'!E13+'Balance Sheet'!E16)/'Balance Sheet'!E32)/(('Balance Sheet'!D13+'Balance Sheet'!D16)/'Balance Sheet'!D32)</f>
        <v>0.91373705717133624</v>
      </c>
      <c r="F52" s="159">
        <f>(('Balance Sheet'!F13+'Balance Sheet'!F16)/'Balance Sheet'!F32)/(('Balance Sheet'!E13+'Balance Sheet'!E16)/'Balance Sheet'!E32)</f>
        <v>0.97145921574107164</v>
      </c>
      <c r="G52" s="159">
        <f>(('Balance Sheet'!G13+'Balance Sheet'!G16)/'Balance Sheet'!G32)/(('Balance Sheet'!F13+'Balance Sheet'!F16)/'Balance Sheet'!F32)</f>
        <v>1.1241220199931021</v>
      </c>
    </row>
    <row r="53" spans="2:9" x14ac:dyDescent="0.3">
      <c r="B53" s="13" t="s">
        <v>1016</v>
      </c>
      <c r="D53" s="159">
        <f>('Income Statement'!H36-'Cash Flows'!D16)/'Balance Sheet'!D32</f>
        <v>-3.5803616093761169E-2</v>
      </c>
      <c r="E53" s="159">
        <f>('Income Statement'!K36-'Cash Flows'!E16)/'Balance Sheet'!E32</f>
        <v>-9.5567177188394969E-2</v>
      </c>
      <c r="F53" s="159">
        <f>('Income Statement'!N36-'Cash Flows'!F16)/'Balance Sheet'!F32</f>
        <v>-8.3053481028519879E-2</v>
      </c>
      <c r="G53" s="159">
        <f>('Income Statement'!Q36-'Cash Flows'!G16)/'Balance Sheet'!G32</f>
        <v>-8.1648402531254827E-2</v>
      </c>
    </row>
    <row r="54" spans="2:9" x14ac:dyDescent="0.3">
      <c r="B54" s="36" t="s">
        <v>1017</v>
      </c>
      <c r="C54" s="196"/>
      <c r="D54" s="218">
        <f>-4.84+0.92*D46+0.528*D47+0.404*D48+0.892*D49+0.115*D50-0.172*D51-0.327*D52+4.679*D53</f>
        <v>-2.5437554196979262</v>
      </c>
      <c r="E54" s="218">
        <f>-4.84+0.92*E46+0.528*E47+0.404*E48+0.892*E49+0.115*E50-0.172*E51-0.327*E52+4.679*E53</f>
        <v>-2.6428613572407724</v>
      </c>
      <c r="F54" s="218">
        <f>-4.84+0.92*F46+0.528*F47+0.404*F48+0.892*F49+0.115*F50-0.172*F51-0.327*F52+4.679*F53</f>
        <v>-2.837341529940244</v>
      </c>
      <c r="G54" s="218">
        <f>-4.84+0.92*G46+0.528*G47+0.404*G48+0.892*G49+0.115*G50-0.172*G51-0.327*G52+4.679*G53</f>
        <v>-2.4360698260456486</v>
      </c>
    </row>
    <row r="55" spans="2:9" x14ac:dyDescent="0.3">
      <c r="B55" s="52" t="s">
        <v>1018</v>
      </c>
      <c r="D55" s="216" t="str">
        <f>IF(D54&gt;-1.78,"Likely Manipulator","Unlikely")</f>
        <v>Unlikely</v>
      </c>
      <c r="E55" s="216" t="str">
        <f>IF(E54&gt;-1.78,"Likely Manipulator","Unlikely")</f>
        <v>Unlikely</v>
      </c>
      <c r="F55" s="216" t="str">
        <f>IF(F54&gt;-1.78,"Likely Manipulator","Unlikely")</f>
        <v>Unlikely</v>
      </c>
      <c r="G55" s="216" t="str">
        <f>IF(G54&gt;-1.78,"Likely Manipulator","Unlikely")</f>
        <v>Unlikely</v>
      </c>
    </row>
    <row r="57" spans="2:9" ht="16.5" customHeight="1" x14ac:dyDescent="0.3">
      <c r="B57" s="10" t="s">
        <v>1019</v>
      </c>
      <c r="C57" s="10"/>
      <c r="D57" s="10"/>
      <c r="E57" s="10"/>
      <c r="F57" s="10"/>
      <c r="G57" s="10"/>
      <c r="H57" s="10"/>
      <c r="I57" s="10"/>
    </row>
    <row r="58" spans="2:9" x14ac:dyDescent="0.3">
      <c r="B58" s="13" t="s">
        <v>1020</v>
      </c>
      <c r="D58" s="129">
        <f>IF('Income Statement'!H36&gt;'Cash Flows'!D16,1,0)</f>
        <v>0</v>
      </c>
      <c r="E58" s="129">
        <f>IF('Income Statement'!K36&gt;'Cash Flows'!E16,1,0)</f>
        <v>0</v>
      </c>
      <c r="F58" s="129">
        <f>IF('Income Statement'!N36&gt;'Cash Flows'!F16,1,0)</f>
        <v>0</v>
      </c>
      <c r="G58" s="129">
        <f>IF('Income Statement'!Q36&gt;'Cash Flows'!G16,1,0)</f>
        <v>0</v>
      </c>
    </row>
    <row r="59" spans="2:9" x14ac:dyDescent="0.3">
      <c r="B59" s="13" t="s">
        <v>1021</v>
      </c>
      <c r="D59" s="129">
        <f>IF('Balance Sheet'!D28/'Income Statement'!H7&gt;'Balance Sheet'!C28/'Income Statement'!E7,1,0)</f>
        <v>0</v>
      </c>
      <c r="E59" s="129">
        <f>IF('Balance Sheet'!E28/'Income Statement'!K7&gt;'Balance Sheet'!D28/'Income Statement'!H7,1,0)</f>
        <v>1</v>
      </c>
      <c r="F59" s="129">
        <f>IF('Balance Sheet'!F28/'Income Statement'!N7&gt;'Balance Sheet'!E28/'Income Statement'!K7,1,0)</f>
        <v>0</v>
      </c>
      <c r="G59" s="129">
        <f>IF('Balance Sheet'!G28/'Income Statement'!Q7&gt;'Balance Sheet'!F28/'Income Statement'!N7,1,0)</f>
        <v>1</v>
      </c>
    </row>
    <row r="60" spans="2:9" x14ac:dyDescent="0.3">
      <c r="B60" s="13" t="s">
        <v>1022</v>
      </c>
      <c r="D60" s="129">
        <f>IF('Balance Sheet'!D26/'Income Statement'!H10&gt;'Balance Sheet'!C26/'Income Statement'!E10,1,0)</f>
        <v>0</v>
      </c>
      <c r="E60" s="129">
        <f>IF('Balance Sheet'!E26/'Income Statement'!K10&gt;'Balance Sheet'!D26/'Income Statement'!H10,1,0)</f>
        <v>0</v>
      </c>
      <c r="F60" s="129">
        <f>IF('Balance Sheet'!F26/'Income Statement'!N10&gt;'Balance Sheet'!E26/'Income Statement'!K10,1,0)</f>
        <v>1</v>
      </c>
      <c r="G60" s="129">
        <f>IF('Balance Sheet'!G26/'Income Statement'!Q10&gt;'Balance Sheet'!F26/'Income Statement'!N10,1,0)</f>
        <v>0</v>
      </c>
    </row>
    <row r="61" spans="2:9" x14ac:dyDescent="0.3">
      <c r="B61" s="13" t="s">
        <v>1023</v>
      </c>
      <c r="D61" s="129">
        <f>IF('Balance Sheet'!D29/'Income Statement'!H7&gt;'Balance Sheet'!C29/'Income Statement'!E7,1,0)</f>
        <v>1</v>
      </c>
      <c r="E61" s="129">
        <f>IF('Balance Sheet'!E29/'Income Statement'!K7&gt;'Balance Sheet'!D29/'Income Statement'!H7,1,0)</f>
        <v>0</v>
      </c>
      <c r="F61" s="129">
        <f>IF('Balance Sheet'!F29/'Income Statement'!N7&gt;'Balance Sheet'!E29/'Income Statement'!K7,1,0)</f>
        <v>1</v>
      </c>
      <c r="G61" s="129">
        <f>IF('Balance Sheet'!G29/'Income Statement'!Q7&gt;'Balance Sheet'!F29/'Income Statement'!N7,1,0)</f>
        <v>1</v>
      </c>
    </row>
    <row r="62" spans="2:9" x14ac:dyDescent="0.3">
      <c r="B62" s="13" t="s">
        <v>1024</v>
      </c>
      <c r="D62" s="129">
        <f>IF('Balance Sheet'!D32/'Balance Sheet'!C32&gt;'Income Statement'!H7/'Income Statement'!E7,1,0)</f>
        <v>0</v>
      </c>
      <c r="E62" s="129">
        <f>IF('Balance Sheet'!E32/'Balance Sheet'!D32&gt;'Income Statement'!K7/'Income Statement'!H7,1,0)</f>
        <v>0</v>
      </c>
      <c r="F62" s="129">
        <f>IF('Balance Sheet'!F32/'Balance Sheet'!E32&gt;'Income Statement'!N7/'Income Statement'!K7,1,0)</f>
        <v>1</v>
      </c>
      <c r="G62" s="129">
        <f>IF('Balance Sheet'!G32/'Balance Sheet'!F32&gt;'Income Statement'!Q7/'Income Statement'!N7,1,0)</f>
        <v>0</v>
      </c>
    </row>
    <row r="63" spans="2:9" x14ac:dyDescent="0.3">
      <c r="B63" s="13" t="s">
        <v>1025</v>
      </c>
      <c r="D63" s="129">
        <f>IF('Balance Sheet'!D13/'Balance Sheet'!D32&gt;'Balance Sheet'!C13/'Balance Sheet'!C32,1,0)</f>
        <v>1</v>
      </c>
      <c r="E63" s="129">
        <f>IF('Balance Sheet'!E13/'Balance Sheet'!E32&gt;'Balance Sheet'!D13/'Balance Sheet'!D32,1,0)</f>
        <v>0</v>
      </c>
      <c r="F63" s="129">
        <f>IF('Balance Sheet'!F13/'Balance Sheet'!F32&gt;'Balance Sheet'!E13/'Balance Sheet'!E32,1,0)</f>
        <v>0</v>
      </c>
      <c r="G63" s="129">
        <f>IF('Balance Sheet'!G13/'Balance Sheet'!G32&gt;'Balance Sheet'!F13/'Balance Sheet'!F32,1,0)</f>
        <v>1</v>
      </c>
    </row>
    <row r="64" spans="2:9" x14ac:dyDescent="0.3">
      <c r="B64" s="36" t="s">
        <v>1026</v>
      </c>
      <c r="C64" s="196"/>
      <c r="D64" s="217">
        <f>SUM(D58:D63)</f>
        <v>2</v>
      </c>
      <c r="E64" s="217">
        <f>SUM(E58:E63)</f>
        <v>1</v>
      </c>
      <c r="F64" s="217">
        <f>SUM(F58:F63)</f>
        <v>3</v>
      </c>
      <c r="G64" s="217">
        <f>SUM(G58:G63)</f>
        <v>3</v>
      </c>
    </row>
    <row r="65" spans="2:9" x14ac:dyDescent="0.3">
      <c r="B65" s="52" t="s">
        <v>1027</v>
      </c>
      <c r="D65" s="216" t="str">
        <f>IF(D64&gt;=4,"High Risk",IF(D64&gt;=2,"Watch","Low Risk"))</f>
        <v>Watch</v>
      </c>
      <c r="E65" s="216" t="str">
        <f>IF(E64&gt;=4,"High Risk",IF(E64&gt;=2,"Watch","Low Risk"))</f>
        <v>Low Risk</v>
      </c>
      <c r="F65" s="216" t="str">
        <f>IF(F64&gt;=4,"High Risk",IF(F64&gt;=2,"Watch","Low Risk"))</f>
        <v>Watch</v>
      </c>
      <c r="G65" s="216" t="str">
        <f>IF(G64&gt;=4,"High Risk",IF(G64&gt;=2,"Watch","Low Risk"))</f>
        <v>Watch</v>
      </c>
    </row>
    <row r="67" spans="2:9" ht="16.5" customHeight="1" x14ac:dyDescent="0.3">
      <c r="B67" s="10" t="s">
        <v>1028</v>
      </c>
      <c r="C67" s="10"/>
      <c r="D67" s="10"/>
      <c r="E67" s="10"/>
      <c r="F67" s="10"/>
      <c r="G67" s="10"/>
      <c r="H67" s="10"/>
      <c r="I67" s="10"/>
    </row>
    <row r="68" spans="2:9" x14ac:dyDescent="0.3">
      <c r="B68" s="13" t="s">
        <v>1029</v>
      </c>
      <c r="C68" s="148">
        <f>'Income Statement'!E36</f>
        <v>895</v>
      </c>
      <c r="D68" s="148">
        <f>'Income Statement'!H36</f>
        <v>1492</v>
      </c>
      <c r="E68" s="148">
        <f>'Income Statement'!K36</f>
        <v>2082</v>
      </c>
      <c r="F68" s="148">
        <f>'Income Statement'!N36</f>
        <v>2635</v>
      </c>
      <c r="G68" s="148">
        <f>'Income Statement'!Q36</f>
        <v>3614</v>
      </c>
    </row>
    <row r="69" spans="2:9" x14ac:dyDescent="0.3">
      <c r="B69" s="13" t="s">
        <v>1030</v>
      </c>
      <c r="C69" s="148">
        <f>'Cash Flows'!C16</f>
        <v>1498</v>
      </c>
      <c r="D69" s="148">
        <f>'Cash Flows'!D16</f>
        <v>1993</v>
      </c>
      <c r="E69" s="148">
        <f>'Cash Flows'!E16</f>
        <v>3617</v>
      </c>
      <c r="F69" s="148">
        <f>'Cash Flows'!F16</f>
        <v>4292</v>
      </c>
      <c r="G69" s="148">
        <f>'Cash Flows'!G16</f>
        <v>5730</v>
      </c>
    </row>
    <row r="70" spans="2:9" x14ac:dyDescent="0.3">
      <c r="B70" s="13" t="s">
        <v>1031</v>
      </c>
      <c r="C70" s="148">
        <f>'Balance Sheet'!C32</f>
        <v>11902</v>
      </c>
      <c r="D70" s="148">
        <f>AVERAGE('Balance Sheet'!C32,'Balance Sheet'!D32)</f>
        <v>12947.5</v>
      </c>
      <c r="E70" s="148">
        <f>AVERAGE('Balance Sheet'!D32,'Balance Sheet'!E32)</f>
        <v>15027.5</v>
      </c>
      <c r="F70" s="148">
        <f>AVERAGE('Balance Sheet'!E32,'Balance Sheet'!F32)</f>
        <v>18006.5</v>
      </c>
      <c r="G70" s="148">
        <f>AVERAGE('Balance Sheet'!F32,'Balance Sheet'!G32)</f>
        <v>22933.5</v>
      </c>
    </row>
    <row r="72" spans="2:9" x14ac:dyDescent="0.3">
      <c r="B72" s="36" t="s">
        <v>1032</v>
      </c>
      <c r="C72" s="122">
        <f>(C68-C69)/C70</f>
        <v>-5.0663753990925896E-2</v>
      </c>
      <c r="D72" s="122">
        <f>(D68-D69)/D70</f>
        <v>-3.8694728712106587E-2</v>
      </c>
      <c r="E72" s="122">
        <f>(E68-E69)/E70</f>
        <v>-0.10214606554649809</v>
      </c>
      <c r="F72" s="122">
        <f>(F68-F69)/F70</f>
        <v>-9.2022325271429756E-2</v>
      </c>
      <c r="G72" s="122">
        <f>(G68-G69)/G70</f>
        <v>-9.226677131706891E-2</v>
      </c>
    </row>
    <row r="73" spans="2:9" x14ac:dyDescent="0.3">
      <c r="B73" s="52" t="s">
        <v>1033</v>
      </c>
      <c r="C73" s="216" t="str">
        <f>IF(ABS(C72)&lt;0.1,"High Quality","Low Quality")</f>
        <v>High Quality</v>
      </c>
      <c r="D73" s="216" t="str">
        <f>IF(ABS(D72)&lt;0.1,"High Quality","Low Quality")</f>
        <v>High Quality</v>
      </c>
      <c r="E73" s="216" t="str">
        <f>IF(ABS(E72)&lt;0.1,"High Quality","Low Quality")</f>
        <v>Low Quality</v>
      </c>
      <c r="F73" s="216" t="str">
        <f>IF(ABS(F72)&lt;0.1,"High Quality","Low Quality")</f>
        <v>High Quality</v>
      </c>
      <c r="G73" s="216" t="str">
        <f>IF(ABS(G72)&lt;0.1,"High Quality","Low Quality")</f>
        <v>High Quality</v>
      </c>
    </row>
    <row r="75" spans="2:9" ht="16.5" customHeight="1" x14ac:dyDescent="0.3">
      <c r="B75" s="10" t="s">
        <v>1034</v>
      </c>
      <c r="C75" s="10"/>
      <c r="D75" s="10"/>
      <c r="E75" s="10"/>
      <c r="F75" s="10"/>
      <c r="G75" s="10"/>
      <c r="H75" s="10"/>
      <c r="I75" s="10"/>
    </row>
    <row r="76" spans="2:9" ht="39.75" customHeight="1" x14ac:dyDescent="0.3">
      <c r="B76" s="12"/>
    </row>
  </sheetData>
  <mergeCells count="8">
    <mergeCell ref="B57:I57"/>
    <mergeCell ref="B67:I67"/>
    <mergeCell ref="B75:I75"/>
    <mergeCell ref="B1:I1"/>
    <mergeCell ref="B8:I8"/>
    <mergeCell ref="B17:I17"/>
    <mergeCell ref="B28:I28"/>
    <mergeCell ref="B44:I44"/>
  </mergeCells>
  <printOptions horizontalCentered="1"/>
  <pageMargins left="0.75" right="0.75" top="1" bottom="1" header="0.511811023622047" footer="0.511811023622047"/>
  <pageSetup orientation="landscape" horizontalDpi="300" verticalDpi="300"/>
  <drawing r:id="rId1"/>
  <legacy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 Page</vt:lpstr>
      <vt:lpstr>Control Panel</vt:lpstr>
      <vt:lpstr>Balance Sheet</vt:lpstr>
      <vt:lpstr>Income Statement</vt:lpstr>
      <vt:lpstr>Cash Flows</vt:lpstr>
      <vt:lpstr>Graphical Representation</vt:lpstr>
      <vt:lpstr>Guidance &amp; Assumptions</vt:lpstr>
      <vt:lpstr>Revenue Segments</vt:lpstr>
      <vt:lpstr>Cost Structure &amp; Hedging</vt:lpstr>
      <vt:lpstr>Debt &amp; Cost of Capital</vt:lpstr>
      <vt:lpstr>DCF - FCFF</vt:lpstr>
      <vt:lpstr>DCF - FCFE &amp; DDM</vt:lpstr>
      <vt:lpstr>TVS Credit (NBFC)</vt:lpstr>
      <vt:lpstr>Peer Comps</vt:lpstr>
      <vt:lpstr>Precedent Transactions</vt:lpstr>
      <vt:lpstr>Asset-Based Valuation</vt:lpstr>
      <vt:lpstr>SOTP &amp; Football Field</vt:lpstr>
      <vt:lpstr>Sensitivity &amp; Scenarios</vt:lpstr>
      <vt:lpstr>Monte Carlo</vt:lpstr>
      <vt:lpstr>Credit &amp; Quality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Niranjan Desai</cp:lastModifiedBy>
  <cp:revision>1</cp:revision>
  <dcterms:created xsi:type="dcterms:W3CDTF">2026-08-19T04:00:46Z</dcterms:created>
  <dcterms:modified xsi:type="dcterms:W3CDTF">2026-08-19T05:11:57Z</dcterms:modified>
  <dc:language>en-US</dc:language>
</cp:coreProperties>
</file>